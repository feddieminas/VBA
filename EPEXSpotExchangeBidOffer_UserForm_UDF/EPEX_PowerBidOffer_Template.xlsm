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bookViews>
    <workbookView xWindow="165" yWindow="75" windowWidth="18870" windowHeight="11640" activeTab="2"/>
  </bookViews>
  <sheets>
    <sheet name="MyLists" sheetId="2" r:id="rId1"/>
    <sheet name="DayAheadDeals" sheetId="4" r:id="rId2"/>
    <sheet name="MyTemplate" sheetId="1" r:id="rId3"/>
    <sheet name="MarketResults" sheetId="3" r:id="rId4"/>
  </sheets>
  <functionGroups builtInGroupCount="18"/>
  <definedNames>
    <definedName name="BlockBids">OFFSET(MyTemplate!$L$56,0,0,COUNT(MyTemplate!$P$56:$P$75),29)</definedName>
    <definedName name="Book">MyTemplate!$D$6:$D$1000</definedName>
    <definedName name="DAM">MyLists!$B$2:$B$5</definedName>
    <definedName name="DDay">MyLists!$C$2</definedName>
    <definedName name="FolderPathtoUse">MyLists!$I$2</definedName>
    <definedName name="Interpolationbid">OFFSET(MyTemplate!$K$5,0,0,25,MATCH(MyTemplate!$N$106,MyTemplate!$5:$5,0)-10)</definedName>
    <definedName name="MyAPP">MyTemplate!$F$6:$F$1006</definedName>
    <definedName name="MyBids">MyTemplate!$C$6:$C$1000</definedName>
    <definedName name="MyDistinctBids">MyTemplate!$I$6:$I$1956</definedName>
    <definedName name="MyEPEXBooks">MyLists!$A$2:$A$6</definedName>
    <definedName name="MyFullBids">MyTemplate!$G$6:$G$2001</definedName>
    <definedName name="MyLBoundC">MyTemplate!$M$107</definedName>
    <definedName name="MySortedBids">MyTemplate!$H$6:$H$2001</definedName>
    <definedName name="MyUBoundC">MyTemplate!$N$107</definedName>
    <definedName name="SchedulingBids">MyTemplate!$B$6:$B$29</definedName>
    <definedName name="TriggerHourlyTemplate">MyTemplate!$A$30:$D$1000</definedName>
  </definedNames>
  <calcPr calcId="152511"/>
  <fileRecoveryPr autoRecover="0"/>
</workbook>
</file>

<file path=xl/calcChain.xml><?xml version="1.0" encoding="utf-8"?>
<calcChain xmlns="http://schemas.openxmlformats.org/spreadsheetml/2006/main">
  <c r="E40" i="3" l="1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M106" i="1" a="1"/>
  <c r="N106" i="1" s="1"/>
  <c r="N107" i="1" s="1"/>
  <c r="F1002" i="1" s="1"/>
  <c r="N108" i="1"/>
  <c r="M108" i="1"/>
  <c r="Q36" i="1"/>
  <c r="P36" i="1" s="1"/>
  <c r="Q37" i="1"/>
  <c r="P37" i="1" s="1"/>
  <c r="Q38" i="1"/>
  <c r="Q39" i="1"/>
  <c r="P39" i="1" s="1"/>
  <c r="Q40" i="1"/>
  <c r="P40" i="1" s="1"/>
  <c r="Q41" i="1"/>
  <c r="P41" i="1" s="1"/>
  <c r="Q42" i="1"/>
  <c r="P42" i="1" s="1"/>
  <c r="Q43" i="1"/>
  <c r="P43" i="1" s="1"/>
  <c r="Q44" i="1"/>
  <c r="P44" i="1" s="1"/>
  <c r="Q45" i="1"/>
  <c r="P45" i="1" s="1"/>
  <c r="Q46" i="1"/>
  <c r="P46" i="1" s="1"/>
  <c r="Q47" i="1"/>
  <c r="P47" i="1" s="1"/>
  <c r="Q48" i="1"/>
  <c r="P48" i="1" s="1"/>
  <c r="Q49" i="1"/>
  <c r="P49" i="1" s="1"/>
  <c r="Q50" i="1"/>
  <c r="P50" i="1" s="1"/>
  <c r="Q51" i="1"/>
  <c r="P51" i="1" s="1"/>
  <c r="Q52" i="1"/>
  <c r="P52" i="1" s="1"/>
  <c r="Q53" i="1"/>
  <c r="P53" i="1" s="1"/>
  <c r="Q54" i="1"/>
  <c r="P54" i="1" s="1"/>
  <c r="R35" i="1" a="1"/>
  <c r="R37" i="1" s="1"/>
  <c r="Q35" i="1"/>
  <c r="P35" i="1" s="1"/>
  <c r="H1" i="1"/>
  <c r="E1" i="1"/>
  <c r="L28" i="4"/>
  <c r="K40" i="1" s="1"/>
  <c r="K41" i="1" s="1"/>
  <c r="M28" i="4"/>
  <c r="K42" i="1" s="1"/>
  <c r="K43" i="1" s="1"/>
  <c r="J28" i="4"/>
  <c r="K4" i="4" a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M106" i="1" l="1"/>
  <c r="AO56" i="1" a="1"/>
  <c r="AO75" i="1" s="1"/>
  <c r="P38" i="1"/>
  <c r="R54" i="1"/>
  <c r="R50" i="1"/>
  <c r="R38" i="1"/>
  <c r="R51" i="1"/>
  <c r="R47" i="1"/>
  <c r="R43" i="1"/>
  <c r="R39" i="1"/>
  <c r="R35" i="1"/>
  <c r="R42" i="1"/>
  <c r="R52" i="1"/>
  <c r="R48" i="1"/>
  <c r="R44" i="1"/>
  <c r="R40" i="1"/>
  <c r="R36" i="1"/>
  <c r="R46" i="1"/>
  <c r="R53" i="1"/>
  <c r="R49" i="1"/>
  <c r="R45" i="1"/>
  <c r="R41" i="1"/>
  <c r="M107" i="1" l="1"/>
  <c r="F1001" i="1" s="1"/>
  <c r="C6" i="1" a="1"/>
  <c r="AO70" i="1"/>
  <c r="AO65" i="1"/>
  <c r="AO60" i="1"/>
  <c r="AO67" i="1"/>
  <c r="AO66" i="1"/>
  <c r="AO61" i="1"/>
  <c r="AO56" i="1"/>
  <c r="AO72" i="1"/>
  <c r="AO58" i="1"/>
  <c r="AO63" i="1"/>
  <c r="AO59" i="1"/>
  <c r="AO62" i="1"/>
  <c r="AO57" i="1"/>
  <c r="AO73" i="1"/>
  <c r="AO68" i="1"/>
  <c r="AO71" i="1"/>
  <c r="AO74" i="1"/>
  <c r="AO69" i="1"/>
  <c r="AO64" i="1"/>
  <c r="C8" i="1" l="1"/>
  <c r="C25" i="1"/>
  <c r="C9" i="1"/>
  <c r="C14" i="1"/>
  <c r="C23" i="1"/>
  <c r="C7" i="1"/>
  <c r="C16" i="1"/>
  <c r="C29" i="1"/>
  <c r="C13" i="1"/>
  <c r="C18" i="1"/>
  <c r="C27" i="1"/>
  <c r="C11" i="1"/>
  <c r="C20" i="1"/>
  <c r="C17" i="1"/>
  <c r="C22" i="1"/>
  <c r="C6" i="1"/>
  <c r="C15" i="1"/>
  <c r="C24" i="1"/>
  <c r="C21" i="1"/>
  <c r="C26" i="1"/>
  <c r="C10" i="1"/>
  <c r="C19" i="1"/>
  <c r="C28" i="1"/>
  <c r="C12" i="1"/>
  <c r="F6" i="1" l="1" a="1"/>
  <c r="F15" i="1" s="1"/>
  <c r="K1" i="1"/>
  <c r="F18" i="1" l="1"/>
  <c r="F10" i="1"/>
  <c r="F25" i="1"/>
  <c r="F34" i="1"/>
  <c r="F66" i="1"/>
  <c r="F98" i="1"/>
  <c r="F130" i="1"/>
  <c r="F162" i="1"/>
  <c r="F194" i="1"/>
  <c r="F226" i="1"/>
  <c r="F258" i="1"/>
  <c r="F290" i="1"/>
  <c r="F322" i="1"/>
  <c r="F354" i="1"/>
  <c r="F386" i="1"/>
  <c r="F418" i="1"/>
  <c r="F450" i="1"/>
  <c r="F482" i="1"/>
  <c r="F514" i="1"/>
  <c r="F546" i="1"/>
  <c r="F578" i="1"/>
  <c r="F610" i="1"/>
  <c r="F642" i="1"/>
  <c r="F674" i="1"/>
  <c r="F706" i="1"/>
  <c r="F738" i="1"/>
  <c r="F766" i="1"/>
  <c r="F787" i="1"/>
  <c r="F809" i="1"/>
  <c r="F830" i="1"/>
  <c r="F851" i="1"/>
  <c r="F873" i="1"/>
  <c r="F894" i="1"/>
  <c r="F915" i="1"/>
  <c r="F937" i="1"/>
  <c r="F958" i="1"/>
  <c r="F979" i="1"/>
  <c r="F9" i="1"/>
  <c r="F57" i="1"/>
  <c r="F89" i="1"/>
  <c r="F121" i="1"/>
  <c r="F153" i="1"/>
  <c r="F185" i="1"/>
  <c r="F217" i="1"/>
  <c r="F249" i="1"/>
  <c r="F281" i="1"/>
  <c r="F313" i="1"/>
  <c r="F345" i="1"/>
  <c r="F377" i="1"/>
  <c r="F409" i="1"/>
  <c r="F441" i="1"/>
  <c r="F473" i="1"/>
  <c r="F505" i="1"/>
  <c r="F537" i="1"/>
  <c r="F569" i="1"/>
  <c r="F601" i="1"/>
  <c r="F633" i="1"/>
  <c r="F665" i="1"/>
  <c r="F697" i="1"/>
  <c r="F729" i="1"/>
  <c r="F759" i="1"/>
  <c r="F781" i="1"/>
  <c r="F802" i="1"/>
  <c r="F823" i="1"/>
  <c r="F845" i="1"/>
  <c r="F866" i="1"/>
  <c r="F887" i="1"/>
  <c r="F909" i="1"/>
  <c r="F930" i="1"/>
  <c r="F951" i="1"/>
  <c r="F973" i="1"/>
  <c r="F994" i="1"/>
  <c r="F22" i="1"/>
  <c r="F54" i="1"/>
  <c r="F86" i="1"/>
  <c r="F118" i="1"/>
  <c r="F150" i="1"/>
  <c r="F182" i="1"/>
  <c r="F214" i="1"/>
  <c r="F246" i="1"/>
  <c r="F278" i="1"/>
  <c r="F310" i="1"/>
  <c r="F342" i="1"/>
  <c r="F374" i="1"/>
  <c r="F406" i="1"/>
  <c r="F438" i="1"/>
  <c r="F470" i="1"/>
  <c r="F502" i="1"/>
  <c r="F534" i="1"/>
  <c r="F566" i="1"/>
  <c r="F598" i="1"/>
  <c r="F630" i="1"/>
  <c r="F662" i="1"/>
  <c r="F694" i="1"/>
  <c r="F726" i="1"/>
  <c r="F758" i="1"/>
  <c r="F779" i="1"/>
  <c r="F801" i="1"/>
  <c r="F822" i="1"/>
  <c r="F843" i="1"/>
  <c r="F865" i="1"/>
  <c r="F886" i="1"/>
  <c r="F907" i="1"/>
  <c r="F929" i="1"/>
  <c r="F950" i="1"/>
  <c r="F971" i="1"/>
  <c r="F993" i="1"/>
  <c r="F37" i="1"/>
  <c r="F69" i="1"/>
  <c r="F101" i="1"/>
  <c r="F133" i="1"/>
  <c r="F165" i="1"/>
  <c r="F197" i="1"/>
  <c r="F229" i="1"/>
  <c r="F261" i="1"/>
  <c r="F293" i="1"/>
  <c r="F325" i="1"/>
  <c r="F357" i="1"/>
  <c r="F389" i="1"/>
  <c r="F421" i="1"/>
  <c r="F453" i="1"/>
  <c r="F485" i="1"/>
  <c r="F517" i="1"/>
  <c r="F549" i="1"/>
  <c r="F581" i="1"/>
  <c r="F613" i="1"/>
  <c r="F645" i="1"/>
  <c r="F677" i="1"/>
  <c r="F709" i="1"/>
  <c r="F26" i="1"/>
  <c r="F58" i="1"/>
  <c r="F90" i="1"/>
  <c r="F122" i="1"/>
  <c r="F154" i="1"/>
  <c r="F186" i="1"/>
  <c r="F218" i="1"/>
  <c r="F250" i="1"/>
  <c r="F282" i="1"/>
  <c r="F314" i="1"/>
  <c r="F346" i="1"/>
  <c r="F378" i="1"/>
  <c r="F410" i="1"/>
  <c r="F442" i="1"/>
  <c r="F474" i="1"/>
  <c r="F506" i="1"/>
  <c r="F538" i="1"/>
  <c r="F570" i="1"/>
  <c r="F602" i="1"/>
  <c r="F634" i="1"/>
  <c r="F666" i="1"/>
  <c r="F698" i="1"/>
  <c r="F730" i="1"/>
  <c r="F761" i="1"/>
  <c r="F782" i="1"/>
  <c r="F803" i="1"/>
  <c r="F825" i="1"/>
  <c r="F846" i="1"/>
  <c r="F867" i="1"/>
  <c r="F889" i="1"/>
  <c r="F910" i="1"/>
  <c r="F931" i="1"/>
  <c r="F953" i="1"/>
  <c r="F974" i="1"/>
  <c r="F995" i="1"/>
  <c r="F49" i="1"/>
  <c r="F81" i="1"/>
  <c r="F113" i="1"/>
  <c r="F145" i="1"/>
  <c r="F177" i="1"/>
  <c r="F209" i="1"/>
  <c r="F241" i="1"/>
  <c r="F273" i="1"/>
  <c r="F305" i="1"/>
  <c r="F337" i="1"/>
  <c r="F369" i="1"/>
  <c r="F401" i="1"/>
  <c r="F433" i="1"/>
  <c r="F465" i="1"/>
  <c r="F497" i="1"/>
  <c r="F529" i="1"/>
  <c r="F561" i="1"/>
  <c r="F593" i="1"/>
  <c r="F625" i="1"/>
  <c r="F657" i="1"/>
  <c r="F689" i="1"/>
  <c r="F721" i="1"/>
  <c r="F753" i="1"/>
  <c r="F775" i="1"/>
  <c r="F797" i="1"/>
  <c r="F818" i="1"/>
  <c r="F839" i="1"/>
  <c r="F861" i="1"/>
  <c r="F882" i="1"/>
  <c r="F903" i="1"/>
  <c r="F925" i="1"/>
  <c r="F946" i="1"/>
  <c r="F967" i="1"/>
  <c r="F989" i="1"/>
  <c r="F14" i="1"/>
  <c r="F46" i="1"/>
  <c r="F78" i="1"/>
  <c r="F110" i="1"/>
  <c r="F142" i="1"/>
  <c r="F174" i="1"/>
  <c r="F206" i="1"/>
  <c r="F238" i="1"/>
  <c r="F270" i="1"/>
  <c r="F302" i="1"/>
  <c r="F334" i="1"/>
  <c r="F366" i="1"/>
  <c r="F398" i="1"/>
  <c r="F430" i="1"/>
  <c r="F462" i="1"/>
  <c r="F494" i="1"/>
  <c r="F526" i="1"/>
  <c r="F558" i="1"/>
  <c r="F590" i="1"/>
  <c r="F622" i="1"/>
  <c r="F654" i="1"/>
  <c r="F686" i="1"/>
  <c r="F718" i="1"/>
  <c r="F750" i="1"/>
  <c r="F774" i="1"/>
  <c r="F795" i="1"/>
  <c r="F817" i="1"/>
  <c r="F838" i="1"/>
  <c r="F859" i="1"/>
  <c r="F881" i="1"/>
  <c r="F902" i="1"/>
  <c r="F923" i="1"/>
  <c r="F945" i="1"/>
  <c r="F966" i="1"/>
  <c r="F987" i="1"/>
  <c r="F29" i="1"/>
  <c r="F61" i="1"/>
  <c r="F93" i="1"/>
  <c r="F125" i="1"/>
  <c r="F157" i="1"/>
  <c r="F189" i="1"/>
  <c r="F221" i="1"/>
  <c r="F253" i="1"/>
  <c r="F285" i="1"/>
  <c r="F317" i="1"/>
  <c r="F349" i="1"/>
  <c r="F381" i="1"/>
  <c r="F413" i="1"/>
  <c r="F445" i="1"/>
  <c r="F477" i="1"/>
  <c r="F509" i="1"/>
  <c r="F541" i="1"/>
  <c r="F573" i="1"/>
  <c r="F605" i="1"/>
  <c r="F637" i="1"/>
  <c r="F669" i="1"/>
  <c r="F701" i="1"/>
  <c r="F733" i="1"/>
  <c r="F762" i="1"/>
  <c r="F783" i="1"/>
  <c r="F805" i="1"/>
  <c r="F826" i="1"/>
  <c r="F847" i="1"/>
  <c r="F869" i="1"/>
  <c r="F922" i="1"/>
  <c r="F890" i="1"/>
  <c r="F975" i="1"/>
  <c r="F917" i="1"/>
  <c r="F885" i="1"/>
  <c r="F991" i="1"/>
  <c r="F671" i="1"/>
  <c r="F603" i="1"/>
  <c r="F539" i="1"/>
  <c r="F475" i="1"/>
  <c r="F411" i="1"/>
  <c r="F347" i="1"/>
  <c r="F283" i="1"/>
  <c r="F219" i="1"/>
  <c r="F155" i="1"/>
  <c r="F91" i="1"/>
  <c r="F27" i="1"/>
  <c r="F988" i="1"/>
  <c r="F924" i="1"/>
  <c r="F860" i="1"/>
  <c r="F796" i="1"/>
  <c r="F732" i="1"/>
  <c r="F668" i="1"/>
  <c r="F604" i="1"/>
  <c r="F540" i="1"/>
  <c r="F476" i="1"/>
  <c r="F412" i="1"/>
  <c r="F348" i="1"/>
  <c r="F284" i="1"/>
  <c r="F220" i="1"/>
  <c r="F156" i="1"/>
  <c r="F76" i="1"/>
  <c r="F611" i="1"/>
  <c r="F804" i="1"/>
  <c r="F596" i="1"/>
  <c r="F420" i="1"/>
  <c r="F196" i="1"/>
  <c r="F735" i="1"/>
  <c r="F659" i="1"/>
  <c r="F591" i="1"/>
  <c r="F527" i="1"/>
  <c r="F463" i="1"/>
  <c r="F399" i="1"/>
  <c r="F335" i="1"/>
  <c r="F271" i="1"/>
  <c r="F207" i="1"/>
  <c r="F143" i="1"/>
  <c r="F79" i="1"/>
  <c r="F743" i="1"/>
  <c r="F960" i="1"/>
  <c r="F896" i="1"/>
  <c r="F832" i="1"/>
  <c r="F768" i="1"/>
  <c r="F704" i="1"/>
  <c r="F640" i="1"/>
  <c r="F576" i="1"/>
  <c r="F512" i="1"/>
  <c r="F448" i="1"/>
  <c r="F384" i="1"/>
  <c r="F320" i="1"/>
  <c r="F256" i="1"/>
  <c r="F192" i="1"/>
  <c r="F128" i="1"/>
  <c r="F64" i="1"/>
  <c r="F747" i="1"/>
  <c r="F647" i="1"/>
  <c r="F563" i="1"/>
  <c r="F499" i="1"/>
  <c r="F435" i="1"/>
  <c r="F371" i="1"/>
  <c r="F307" i="1"/>
  <c r="F243" i="1"/>
  <c r="F179" i="1"/>
  <c r="F99" i="1"/>
  <c r="F19" i="1"/>
  <c r="F948" i="1"/>
  <c r="F788" i="1"/>
  <c r="F612" i="1"/>
  <c r="F404" i="1"/>
  <c r="F228" i="1"/>
  <c r="F36" i="1"/>
  <c r="F683" i="1"/>
  <c r="F615" i="1"/>
  <c r="F551" i="1"/>
  <c r="F487" i="1"/>
  <c r="F423" i="1"/>
  <c r="F359" i="1"/>
  <c r="F295" i="1"/>
  <c r="F231" i="1"/>
  <c r="F167" i="1"/>
  <c r="F103" i="1"/>
  <c r="F39" i="1"/>
  <c r="F1000" i="1"/>
  <c r="F936" i="1"/>
  <c r="F872" i="1"/>
  <c r="F808" i="1"/>
  <c r="F744" i="1"/>
  <c r="F680" i="1"/>
  <c r="F616" i="1"/>
  <c r="F552" i="1"/>
  <c r="F488" i="1"/>
  <c r="F424" i="1"/>
  <c r="F360" i="1"/>
  <c r="F296" i="1"/>
  <c r="F232" i="1"/>
  <c r="F168" i="1"/>
  <c r="F104" i="1"/>
  <c r="F40" i="1"/>
  <c r="F715" i="1"/>
  <c r="F900" i="1"/>
  <c r="F724" i="1"/>
  <c r="F532" i="1"/>
  <c r="F340" i="1"/>
  <c r="F164" i="1"/>
  <c r="F8" i="1"/>
  <c r="F50" i="1"/>
  <c r="F82" i="1"/>
  <c r="F114" i="1"/>
  <c r="F178" i="1"/>
  <c r="F242" i="1"/>
  <c r="F306" i="1"/>
  <c r="F370" i="1"/>
  <c r="F434" i="1"/>
  <c r="F498" i="1"/>
  <c r="F562" i="1"/>
  <c r="F626" i="1"/>
  <c r="F690" i="1"/>
  <c r="F754" i="1"/>
  <c r="F798" i="1"/>
  <c r="F841" i="1"/>
  <c r="F883" i="1"/>
  <c r="F926" i="1"/>
  <c r="F969" i="1"/>
  <c r="F41" i="1"/>
  <c r="F105" i="1"/>
  <c r="F169" i="1"/>
  <c r="F233" i="1"/>
  <c r="F297" i="1"/>
  <c r="F361" i="1"/>
  <c r="F425" i="1"/>
  <c r="F489" i="1"/>
  <c r="F553" i="1"/>
  <c r="F617" i="1"/>
  <c r="F681" i="1"/>
  <c r="F745" i="1"/>
  <c r="F791" i="1"/>
  <c r="F834" i="1"/>
  <c r="F877" i="1"/>
  <c r="F919" i="1"/>
  <c r="F962" i="1"/>
  <c r="F6" i="1"/>
  <c r="F70" i="1"/>
  <c r="F134" i="1"/>
  <c r="F198" i="1"/>
  <c r="F262" i="1"/>
  <c r="F326" i="1"/>
  <c r="F390" i="1"/>
  <c r="F454" i="1"/>
  <c r="F518" i="1"/>
  <c r="F582" i="1"/>
  <c r="F646" i="1"/>
  <c r="F710" i="1"/>
  <c r="F769" i="1"/>
  <c r="F811" i="1"/>
  <c r="F854" i="1"/>
  <c r="F897" i="1"/>
  <c r="F939" i="1"/>
  <c r="F982" i="1"/>
  <c r="F53" i="1"/>
  <c r="F117" i="1"/>
  <c r="F181" i="1"/>
  <c r="F245" i="1"/>
  <c r="F309" i="1"/>
  <c r="F373" i="1"/>
  <c r="F437" i="1"/>
  <c r="F501" i="1"/>
  <c r="F565" i="1"/>
  <c r="F629" i="1"/>
  <c r="F693" i="1"/>
  <c r="F749" i="1"/>
  <c r="F778" i="1"/>
  <c r="F810" i="1"/>
  <c r="F837" i="1"/>
  <c r="F863" i="1"/>
  <c r="F943" i="1"/>
  <c r="F933" i="1"/>
  <c r="F895" i="1"/>
  <c r="F927" i="1"/>
  <c r="F703" i="1"/>
  <c r="F619" i="1"/>
  <c r="F523" i="1"/>
  <c r="F443" i="1"/>
  <c r="F363" i="1"/>
  <c r="F267" i="1"/>
  <c r="F187" i="1"/>
  <c r="F107" i="1"/>
  <c r="F11" i="1"/>
  <c r="F956" i="1"/>
  <c r="F876" i="1"/>
  <c r="F780" i="1"/>
  <c r="F700" i="1"/>
  <c r="F620" i="1"/>
  <c r="F524" i="1"/>
  <c r="F444" i="1"/>
  <c r="F364" i="1"/>
  <c r="F268" i="1"/>
  <c r="F188" i="1"/>
  <c r="F92" i="1"/>
  <c r="F67" i="1"/>
  <c r="F708" i="1"/>
  <c r="F468" i="1"/>
  <c r="F148" i="1"/>
  <c r="F691" i="1"/>
  <c r="F607" i="1"/>
  <c r="F511" i="1"/>
  <c r="F431" i="1"/>
  <c r="F351" i="1"/>
  <c r="F255" i="1"/>
  <c r="F175" i="1"/>
  <c r="F95" i="1"/>
  <c r="F707" i="1"/>
  <c r="F928" i="1"/>
  <c r="F848" i="1"/>
  <c r="F752" i="1"/>
  <c r="F672" i="1"/>
  <c r="F592" i="1"/>
  <c r="F496" i="1"/>
  <c r="F416" i="1"/>
  <c r="F336" i="1"/>
  <c r="F240" i="1"/>
  <c r="F160" i="1"/>
  <c r="F80" i="1"/>
  <c r="F695" i="1"/>
  <c r="F595" i="1"/>
  <c r="F515" i="1"/>
  <c r="F419" i="1"/>
  <c r="F339" i="1"/>
  <c r="F259" i="1"/>
  <c r="F163" i="1"/>
  <c r="F51" i="1"/>
  <c r="F980" i="1"/>
  <c r="F740" i="1"/>
  <c r="F516" i="1"/>
  <c r="F276" i="1"/>
  <c r="F755" i="1"/>
  <c r="F651" i="1"/>
  <c r="F567" i="1"/>
  <c r="F471" i="1"/>
  <c r="F391" i="1"/>
  <c r="F311" i="1"/>
  <c r="F215" i="1"/>
  <c r="F135" i="1"/>
  <c r="F55" i="1"/>
  <c r="F984" i="1"/>
  <c r="F904" i="1"/>
  <c r="F824" i="1"/>
  <c r="F728" i="1"/>
  <c r="F648" i="1"/>
  <c r="F568" i="1"/>
  <c r="F472" i="1"/>
  <c r="F392" i="1"/>
  <c r="F312" i="1"/>
  <c r="F216" i="1"/>
  <c r="F136" i="1"/>
  <c r="F56" i="1"/>
  <c r="F115" i="1"/>
  <c r="F820" i="1"/>
  <c r="F580" i="1"/>
  <c r="F292" i="1"/>
  <c r="F68" i="1"/>
  <c r="F45" i="1"/>
  <c r="F911" i="1"/>
  <c r="F639" i="1"/>
  <c r="F459" i="1"/>
  <c r="F379" i="1"/>
  <c r="F203" i="1"/>
  <c r="F123" i="1"/>
  <c r="F972" i="1"/>
  <c r="F812" i="1"/>
  <c r="F636" i="1"/>
  <c r="F556" i="1"/>
  <c r="F380" i="1"/>
  <c r="F300" i="1"/>
  <c r="F108" i="1"/>
  <c r="F756" i="1"/>
  <c r="F260" i="1"/>
  <c r="F711" i="1"/>
  <c r="F543" i="1"/>
  <c r="F447" i="1"/>
  <c r="F287" i="1"/>
  <c r="F111" i="1"/>
  <c r="F944" i="1"/>
  <c r="F864" i="1"/>
  <c r="F688" i="1"/>
  <c r="F608" i="1"/>
  <c r="F432" i="1"/>
  <c r="F272" i="1"/>
  <c r="F96" i="1"/>
  <c r="F16" i="1"/>
  <c r="F531" i="1"/>
  <c r="F355" i="1"/>
  <c r="F275" i="1"/>
  <c r="F83" i="1"/>
  <c r="F996" i="1"/>
  <c r="F564" i="1"/>
  <c r="F308" i="1"/>
  <c r="F667" i="1"/>
  <c r="F583" i="1"/>
  <c r="F407" i="1"/>
  <c r="F327" i="1"/>
  <c r="F71" i="1"/>
  <c r="F920" i="1"/>
  <c r="F664" i="1"/>
  <c r="F408" i="1"/>
  <c r="F152" i="1"/>
  <c r="F28" i="1"/>
  <c r="F388" i="1"/>
  <c r="F106" i="1"/>
  <c r="F170" i="1"/>
  <c r="F234" i="1"/>
  <c r="F298" i="1"/>
  <c r="F362" i="1"/>
  <c r="F426" i="1"/>
  <c r="F490" i="1"/>
  <c r="F554" i="1"/>
  <c r="F618" i="1"/>
  <c r="F682" i="1"/>
  <c r="F746" i="1"/>
  <c r="F793" i="1"/>
  <c r="F835" i="1"/>
  <c r="F878" i="1"/>
  <c r="F921" i="1"/>
  <c r="F963" i="1"/>
  <c r="F33" i="1"/>
  <c r="F97" i="1"/>
  <c r="F161" i="1"/>
  <c r="F225" i="1"/>
  <c r="F289" i="1"/>
  <c r="F353" i="1"/>
  <c r="F417" i="1"/>
  <c r="F481" i="1"/>
  <c r="F545" i="1"/>
  <c r="F609" i="1"/>
  <c r="F673" i="1"/>
  <c r="F737" i="1"/>
  <c r="F786" i="1"/>
  <c r="F829" i="1"/>
  <c r="F871" i="1"/>
  <c r="F914" i="1"/>
  <c r="F957" i="1"/>
  <c r="F999" i="1"/>
  <c r="F62" i="1"/>
  <c r="F126" i="1"/>
  <c r="F190" i="1"/>
  <c r="F254" i="1"/>
  <c r="F318" i="1"/>
  <c r="F382" i="1"/>
  <c r="F446" i="1"/>
  <c r="F510" i="1"/>
  <c r="F574" i="1"/>
  <c r="F638" i="1"/>
  <c r="F702" i="1"/>
  <c r="F763" i="1"/>
  <c r="F806" i="1"/>
  <c r="F849" i="1"/>
  <c r="F891" i="1"/>
  <c r="F934" i="1"/>
  <c r="F977" i="1"/>
  <c r="F109" i="1"/>
  <c r="F173" i="1"/>
  <c r="F237" i="1"/>
  <c r="F301" i="1"/>
  <c r="F365" i="1"/>
  <c r="F429" i="1"/>
  <c r="F493" i="1"/>
  <c r="F557" i="1"/>
  <c r="F621" i="1"/>
  <c r="F685" i="1"/>
  <c r="F741" i="1"/>
  <c r="F773" i="1"/>
  <c r="F799" i="1"/>
  <c r="F831" i="1"/>
  <c r="F858" i="1"/>
  <c r="F901" i="1"/>
  <c r="F874" i="1"/>
  <c r="F981" i="1"/>
  <c r="F727" i="1"/>
  <c r="F555" i="1"/>
  <c r="F299" i="1"/>
  <c r="F43" i="1"/>
  <c r="F892" i="1"/>
  <c r="F716" i="1"/>
  <c r="F460" i="1"/>
  <c r="F204" i="1"/>
  <c r="F12" i="1"/>
  <c r="F500" i="1"/>
  <c r="F623" i="1"/>
  <c r="F367" i="1"/>
  <c r="F191" i="1"/>
  <c r="F31" i="1"/>
  <c r="F784" i="1"/>
  <c r="F528" i="1"/>
  <c r="F352" i="1"/>
  <c r="F176" i="1"/>
  <c r="F631" i="1"/>
  <c r="F451" i="1"/>
  <c r="F195" i="1"/>
  <c r="F836" i="1"/>
  <c r="F84" i="1"/>
  <c r="F503" i="1"/>
  <c r="F247" i="1"/>
  <c r="F731" i="1"/>
  <c r="F840" i="1"/>
  <c r="F584" i="1"/>
  <c r="F328" i="1"/>
  <c r="F852" i="1"/>
  <c r="F74" i="1"/>
  <c r="F146" i="1"/>
  <c r="F210" i="1"/>
  <c r="F274" i="1"/>
  <c r="F338" i="1"/>
  <c r="F402" i="1"/>
  <c r="F466" i="1"/>
  <c r="F530" i="1"/>
  <c r="F594" i="1"/>
  <c r="F658" i="1"/>
  <c r="F722" i="1"/>
  <c r="F777" i="1"/>
  <c r="F819" i="1"/>
  <c r="F862" i="1"/>
  <c r="F905" i="1"/>
  <c r="F947" i="1"/>
  <c r="F990" i="1"/>
  <c r="F73" i="1"/>
  <c r="F137" i="1"/>
  <c r="F201" i="1"/>
  <c r="F265" i="1"/>
  <c r="F329" i="1"/>
  <c r="F393" i="1"/>
  <c r="F457" i="1"/>
  <c r="F521" i="1"/>
  <c r="F585" i="1"/>
  <c r="F649" i="1"/>
  <c r="F713" i="1"/>
  <c r="F770" i="1"/>
  <c r="F813" i="1"/>
  <c r="F855" i="1"/>
  <c r="F898" i="1"/>
  <c r="F941" i="1"/>
  <c r="F983" i="1"/>
  <c r="F38" i="1"/>
  <c r="F102" i="1"/>
  <c r="F166" i="1"/>
  <c r="F230" i="1"/>
  <c r="F294" i="1"/>
  <c r="F358" i="1"/>
  <c r="F422" i="1"/>
  <c r="F486" i="1"/>
  <c r="F550" i="1"/>
  <c r="F614" i="1"/>
  <c r="F678" i="1"/>
  <c r="F742" i="1"/>
  <c r="F790" i="1"/>
  <c r="F833" i="1"/>
  <c r="F875" i="1"/>
  <c r="F918" i="1"/>
  <c r="F961" i="1"/>
  <c r="F21" i="1"/>
  <c r="F85" i="1"/>
  <c r="F149" i="1"/>
  <c r="F213" i="1"/>
  <c r="F277" i="1"/>
  <c r="F341" i="1"/>
  <c r="F405" i="1"/>
  <c r="F469" i="1"/>
  <c r="F533" i="1"/>
  <c r="F597" i="1"/>
  <c r="F661" i="1"/>
  <c r="F725" i="1"/>
  <c r="F767" i="1"/>
  <c r="F794" i="1"/>
  <c r="F821" i="1"/>
  <c r="F853" i="1"/>
  <c r="F879" i="1"/>
  <c r="F986" i="1"/>
  <c r="F997" i="1"/>
  <c r="F959" i="1"/>
  <c r="F970" i="1"/>
  <c r="F655" i="1"/>
  <c r="F571" i="1"/>
  <c r="F491" i="1"/>
  <c r="F395" i="1"/>
  <c r="F315" i="1"/>
  <c r="F235" i="1"/>
  <c r="F139" i="1"/>
  <c r="F59" i="1"/>
  <c r="F627" i="1"/>
  <c r="F908" i="1"/>
  <c r="F828" i="1"/>
  <c r="F748" i="1"/>
  <c r="F652" i="1"/>
  <c r="F572" i="1"/>
  <c r="F492" i="1"/>
  <c r="F396" i="1"/>
  <c r="F316" i="1"/>
  <c r="F236" i="1"/>
  <c r="F140" i="1"/>
  <c r="F44" i="1"/>
  <c r="F868" i="1"/>
  <c r="F548" i="1"/>
  <c r="F324" i="1"/>
  <c r="F52" i="1"/>
  <c r="F643" i="1"/>
  <c r="F559" i="1"/>
  <c r="F479" i="1"/>
  <c r="F383" i="1"/>
  <c r="F303" i="1"/>
  <c r="F223" i="1"/>
  <c r="F127" i="1"/>
  <c r="F47" i="1"/>
  <c r="F976" i="1"/>
  <c r="F880" i="1"/>
  <c r="F800" i="1"/>
  <c r="F720" i="1"/>
  <c r="F624" i="1"/>
  <c r="F544" i="1"/>
  <c r="F464" i="1"/>
  <c r="F368" i="1"/>
  <c r="F288" i="1"/>
  <c r="F208" i="1"/>
  <c r="F112" i="1"/>
  <c r="F32" i="1"/>
  <c r="F663" i="1"/>
  <c r="F547" i="1"/>
  <c r="F467" i="1"/>
  <c r="F387" i="1"/>
  <c r="F291" i="1"/>
  <c r="F211" i="1"/>
  <c r="F131" i="1"/>
  <c r="F751" i="1"/>
  <c r="F884" i="1"/>
  <c r="F660" i="1"/>
  <c r="F356" i="1"/>
  <c r="F132" i="1"/>
  <c r="F699" i="1"/>
  <c r="F599" i="1"/>
  <c r="F519" i="1"/>
  <c r="F439" i="1"/>
  <c r="F343" i="1"/>
  <c r="F263" i="1"/>
  <c r="F183" i="1"/>
  <c r="F87" i="1"/>
  <c r="F7" i="1"/>
  <c r="F952" i="1"/>
  <c r="F856" i="1"/>
  <c r="F776" i="1"/>
  <c r="F696" i="1"/>
  <c r="F600" i="1"/>
  <c r="F520" i="1"/>
  <c r="F440" i="1"/>
  <c r="F344" i="1"/>
  <c r="F264" i="1"/>
  <c r="F184" i="1"/>
  <c r="F88" i="1"/>
  <c r="F124" i="1"/>
  <c r="F964" i="1"/>
  <c r="F676" i="1"/>
  <c r="F436" i="1"/>
  <c r="F212" i="1"/>
  <c r="F42" i="1"/>
  <c r="F138" i="1"/>
  <c r="F202" i="1"/>
  <c r="F266" i="1"/>
  <c r="F330" i="1"/>
  <c r="F394" i="1"/>
  <c r="F458" i="1"/>
  <c r="F522" i="1"/>
  <c r="F586" i="1"/>
  <c r="F650" i="1"/>
  <c r="F714" i="1"/>
  <c r="F771" i="1"/>
  <c r="F814" i="1"/>
  <c r="F857" i="1"/>
  <c r="F899" i="1"/>
  <c r="F942" i="1"/>
  <c r="F985" i="1"/>
  <c r="F65" i="1"/>
  <c r="F129" i="1"/>
  <c r="F193" i="1"/>
  <c r="F257" i="1"/>
  <c r="F321" i="1"/>
  <c r="F385" i="1"/>
  <c r="F449" i="1"/>
  <c r="F513" i="1"/>
  <c r="F577" i="1"/>
  <c r="F641" i="1"/>
  <c r="F705" i="1"/>
  <c r="F765" i="1"/>
  <c r="F807" i="1"/>
  <c r="F850" i="1"/>
  <c r="F893" i="1"/>
  <c r="F935" i="1"/>
  <c r="F978" i="1"/>
  <c r="F30" i="1"/>
  <c r="F94" i="1"/>
  <c r="F158" i="1"/>
  <c r="F222" i="1"/>
  <c r="F286" i="1"/>
  <c r="F350" i="1"/>
  <c r="F414" i="1"/>
  <c r="F478" i="1"/>
  <c r="F542" i="1"/>
  <c r="F606" i="1"/>
  <c r="F670" i="1"/>
  <c r="F734" i="1"/>
  <c r="F785" i="1"/>
  <c r="F827" i="1"/>
  <c r="F870" i="1"/>
  <c r="F913" i="1"/>
  <c r="F955" i="1"/>
  <c r="F998" i="1"/>
  <c r="F77" i="1"/>
  <c r="F141" i="1"/>
  <c r="F205" i="1"/>
  <c r="F269" i="1"/>
  <c r="F333" i="1"/>
  <c r="F397" i="1"/>
  <c r="F461" i="1"/>
  <c r="F525" i="1"/>
  <c r="F589" i="1"/>
  <c r="F653" i="1"/>
  <c r="F717" i="1"/>
  <c r="F757" i="1"/>
  <c r="F789" i="1"/>
  <c r="F815" i="1"/>
  <c r="F842" i="1"/>
  <c r="F906" i="1"/>
  <c r="F965" i="1"/>
  <c r="F954" i="1"/>
  <c r="F938" i="1"/>
  <c r="F949" i="1"/>
  <c r="F687" i="1"/>
  <c r="F587" i="1"/>
  <c r="F507" i="1"/>
  <c r="F427" i="1"/>
  <c r="F331" i="1"/>
  <c r="F251" i="1"/>
  <c r="F171" i="1"/>
  <c r="F75" i="1"/>
  <c r="F739" i="1"/>
  <c r="F940" i="1"/>
  <c r="F844" i="1"/>
  <c r="F764" i="1"/>
  <c r="F684" i="1"/>
  <c r="F588" i="1"/>
  <c r="F508" i="1"/>
  <c r="F428" i="1"/>
  <c r="F332" i="1"/>
  <c r="F252" i="1"/>
  <c r="F172" i="1"/>
  <c r="F60" i="1"/>
  <c r="F932" i="1"/>
  <c r="F644" i="1"/>
  <c r="F372" i="1"/>
  <c r="F100" i="1"/>
  <c r="F675" i="1"/>
  <c r="F575" i="1"/>
  <c r="F495" i="1"/>
  <c r="F415" i="1"/>
  <c r="F319" i="1"/>
  <c r="F239" i="1"/>
  <c r="F159" i="1"/>
  <c r="F63" i="1"/>
  <c r="F992" i="1"/>
  <c r="F912" i="1"/>
  <c r="F816" i="1"/>
  <c r="F736" i="1"/>
  <c r="F656" i="1"/>
  <c r="F560" i="1"/>
  <c r="F480" i="1"/>
  <c r="F400" i="1"/>
  <c r="F304" i="1"/>
  <c r="F224" i="1"/>
  <c r="F144" i="1"/>
  <c r="F48" i="1"/>
  <c r="F679" i="1"/>
  <c r="F579" i="1"/>
  <c r="F483" i="1"/>
  <c r="F403" i="1"/>
  <c r="F323" i="1"/>
  <c r="F227" i="1"/>
  <c r="F147" i="1"/>
  <c r="F35" i="1"/>
  <c r="F916" i="1"/>
  <c r="F692" i="1"/>
  <c r="F452" i="1"/>
  <c r="F180" i="1"/>
  <c r="F719" i="1"/>
  <c r="F635" i="1"/>
  <c r="F535" i="1"/>
  <c r="F455" i="1"/>
  <c r="F375" i="1"/>
  <c r="F279" i="1"/>
  <c r="F199" i="1"/>
  <c r="F119" i="1"/>
  <c r="F23" i="1"/>
  <c r="F968" i="1"/>
  <c r="F888" i="1"/>
  <c r="F792" i="1"/>
  <c r="F712" i="1"/>
  <c r="F632" i="1"/>
  <c r="F536" i="1"/>
  <c r="F456" i="1"/>
  <c r="F376" i="1"/>
  <c r="F280" i="1"/>
  <c r="F200" i="1"/>
  <c r="F120" i="1"/>
  <c r="F24" i="1"/>
  <c r="F723" i="1"/>
  <c r="F772" i="1"/>
  <c r="F484" i="1"/>
  <c r="F244" i="1"/>
  <c r="F20" i="1"/>
  <c r="F151" i="1"/>
  <c r="F760" i="1"/>
  <c r="F504" i="1"/>
  <c r="F248" i="1"/>
  <c r="F72" i="1"/>
  <c r="F628" i="1"/>
  <c r="F116" i="1"/>
  <c r="F13" i="1"/>
  <c r="F17" i="1"/>
  <c r="T41" i="3"/>
  <c r="T42" i="3"/>
  <c r="T43" i="3"/>
  <c r="T44" i="3"/>
  <c r="T45" i="3"/>
  <c r="Q45" i="3" s="1"/>
  <c r="T46" i="3"/>
  <c r="Q46" i="3" s="1"/>
  <c r="T47" i="3"/>
  <c r="Q47" i="3" s="1"/>
  <c r="T48" i="3"/>
  <c r="T49" i="3"/>
  <c r="T50" i="3"/>
  <c r="Q50" i="3" s="1"/>
  <c r="T51" i="3"/>
  <c r="Q51" i="3" s="1"/>
  <c r="T52" i="3"/>
  <c r="T53" i="3"/>
  <c r="Q53" i="3" s="1"/>
  <c r="T54" i="3"/>
  <c r="Q54" i="3" s="1"/>
  <c r="T55" i="3"/>
  <c r="Q55" i="3" s="1"/>
  <c r="T56" i="3"/>
  <c r="Q56" i="3" s="1"/>
  <c r="T57" i="3"/>
  <c r="Q57" i="3" s="1"/>
  <c r="T58" i="3"/>
  <c r="T59" i="3"/>
  <c r="Q59" i="3" s="1"/>
  <c r="T60" i="3"/>
  <c r="T61" i="3"/>
  <c r="Q61" i="3" s="1"/>
  <c r="T62" i="3"/>
  <c r="Q62" i="3" s="1"/>
  <c r="T63" i="3"/>
  <c r="Q63" i="3" s="1"/>
  <c r="T40" i="3"/>
  <c r="Q40" i="3" s="1"/>
  <c r="Q41" i="3"/>
  <c r="Q42" i="3"/>
  <c r="Q43" i="3"/>
  <c r="Q44" i="3"/>
  <c r="Q48" i="3"/>
  <c r="Q49" i="3"/>
  <c r="Q52" i="3"/>
  <c r="Q58" i="3"/>
  <c r="Q6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40" i="3"/>
  <c r="C2" i="2"/>
  <c r="F1004" i="1" l="1"/>
  <c r="F1006" i="1" s="1"/>
  <c r="F1003" i="1"/>
  <c r="F1005" i="1" s="1"/>
  <c r="B3" i="1"/>
  <c r="H1" i="4"/>
  <c r="G6" i="1" a="1"/>
  <c r="G36" i="1" l="1"/>
  <c r="G100" i="1"/>
  <c r="G164" i="1"/>
  <c r="G228" i="1"/>
  <c r="G292" i="1"/>
  <c r="G44" i="1"/>
  <c r="G108" i="1"/>
  <c r="G172" i="1"/>
  <c r="G236" i="1"/>
  <c r="G300" i="1"/>
  <c r="G364" i="1"/>
  <c r="G428" i="1"/>
  <c r="G492" i="1"/>
  <c r="G556" i="1"/>
  <c r="G620" i="1"/>
  <c r="G684" i="1"/>
  <c r="G748" i="1"/>
  <c r="G43" i="1"/>
  <c r="G107" i="1"/>
  <c r="G171" i="1"/>
  <c r="G235" i="1"/>
  <c r="G299" i="1"/>
  <c r="G363" i="1"/>
  <c r="G427" i="1"/>
  <c r="G491" i="1"/>
  <c r="G555" i="1"/>
  <c r="G619" i="1"/>
  <c r="G683" i="1"/>
  <c r="G747" i="1"/>
  <c r="G811" i="1"/>
  <c r="G875" i="1"/>
  <c r="G939" i="1"/>
  <c r="G1003" i="1"/>
  <c r="G42" i="1"/>
  <c r="G106" i="1"/>
  <c r="G170" i="1"/>
  <c r="G234" i="1"/>
  <c r="G298" i="1"/>
  <c r="G362" i="1"/>
  <c r="G426" i="1"/>
  <c r="G490" i="1"/>
  <c r="G554" i="1"/>
  <c r="G618" i="1"/>
  <c r="G682" i="1"/>
  <c r="G746" i="1"/>
  <c r="G810" i="1"/>
  <c r="G874" i="1"/>
  <c r="G938" i="1"/>
  <c r="G1002" i="1"/>
  <c r="G161" i="1"/>
  <c r="G417" i="1"/>
  <c r="G673" i="1"/>
  <c r="G852" i="1"/>
  <c r="G980" i="1"/>
  <c r="G1068" i="1"/>
  <c r="G1132" i="1"/>
  <c r="G1196" i="1"/>
  <c r="G213" i="1"/>
  <c r="G469" i="1"/>
  <c r="G725" i="1"/>
  <c r="G877" i="1"/>
  <c r="G1005" i="1"/>
  <c r="G1081" i="1"/>
  <c r="G1145" i="1"/>
  <c r="G1209" i="1"/>
  <c r="G1273" i="1"/>
  <c r="G1337" i="1"/>
  <c r="G1401" i="1"/>
  <c r="G1465" i="1"/>
  <c r="G1529" i="1"/>
  <c r="G1593" i="1"/>
  <c r="G1657" i="1"/>
  <c r="G1721" i="1"/>
  <c r="G445" i="1"/>
  <c r="G1866" i="1"/>
  <c r="G976" i="1"/>
  <c r="G48" i="1"/>
  <c r="G176" i="1"/>
  <c r="G304" i="1"/>
  <c r="G392" i="1"/>
  <c r="G480" i="1"/>
  <c r="G564" i="1"/>
  <c r="G648" i="1"/>
  <c r="G736" i="1"/>
  <c r="G51" i="1"/>
  <c r="G135" i="1"/>
  <c r="G223" i="1"/>
  <c r="G307" i="1"/>
  <c r="G391" i="1"/>
  <c r="G479" i="1"/>
  <c r="G563" i="1"/>
  <c r="G647" i="1"/>
  <c r="G735" i="1"/>
  <c r="G819" i="1"/>
  <c r="G903" i="1"/>
  <c r="G991" i="1"/>
  <c r="G50" i="1"/>
  <c r="G134" i="1"/>
  <c r="G222" i="1"/>
  <c r="G306" i="1"/>
  <c r="G390" i="1"/>
  <c r="G478" i="1"/>
  <c r="G562" i="1"/>
  <c r="G646" i="1"/>
  <c r="G734" i="1"/>
  <c r="G818" i="1"/>
  <c r="G902" i="1"/>
  <c r="G990" i="1"/>
  <c r="G193" i="1"/>
  <c r="G529" i="1"/>
  <c r="G828" i="1"/>
  <c r="G996" i="1"/>
  <c r="G1096" i="1"/>
  <c r="G1184" i="1"/>
  <c r="G245" i="1"/>
  <c r="G581" i="1"/>
  <c r="G853" i="1"/>
  <c r="G1021" i="1"/>
  <c r="G1109" i="1"/>
  <c r="G1197" i="1"/>
  <c r="G1281" i="1"/>
  <c r="G1365" i="1"/>
  <c r="G1453" i="1"/>
  <c r="G1537" i="1"/>
  <c r="G1621" i="1"/>
  <c r="G1709" i="1"/>
  <c r="G509" i="1"/>
  <c r="G1950" i="1"/>
  <c r="G1194" i="1"/>
  <c r="G1375" i="1"/>
  <c r="G1546" i="1"/>
  <c r="G1716" i="1"/>
  <c r="G329" i="1"/>
  <c r="G808" i="1"/>
  <c r="G1046" i="1"/>
  <c r="G1174" i="1"/>
  <c r="G1271" i="1"/>
  <c r="G1356" i="1"/>
  <c r="G1442" i="1"/>
  <c r="G1527" i="1"/>
  <c r="G1612" i="1"/>
  <c r="G1698" i="1"/>
  <c r="G1771" i="1"/>
  <c r="G1835" i="1"/>
  <c r="G1899" i="1"/>
  <c r="G1963" i="1"/>
  <c r="G833" i="1"/>
  <c r="G1067" i="1"/>
  <c r="G1203" i="1"/>
  <c r="G1291" i="1"/>
  <c r="G1382" i="1"/>
  <c r="G1467" i="1"/>
  <c r="G1558" i="1"/>
  <c r="G1643" i="1"/>
  <c r="G1734" i="1"/>
  <c r="G1802" i="1"/>
  <c r="G1874" i="1"/>
  <c r="G1974" i="1"/>
  <c r="G409" i="1"/>
  <c r="G864" i="1"/>
  <c r="G1186" i="1"/>
  <c r="G1359" i="1"/>
  <c r="G1530" i="1"/>
  <c r="G1700" i="1"/>
  <c r="G1055" i="1"/>
  <c r="G1448" i="1"/>
  <c r="G1768" i="1"/>
  <c r="G1896" i="1"/>
  <c r="G333" i="1"/>
  <c r="G1272" i="1"/>
  <c r="G1614" i="1"/>
  <c r="G1829" i="1"/>
  <c r="G1957" i="1"/>
  <c r="G1039" i="1"/>
  <c r="G1438" i="1"/>
  <c r="G1764" i="1"/>
  <c r="G96" i="1"/>
  <c r="G224" i="1"/>
  <c r="G340" i="1"/>
  <c r="G424" i="1"/>
  <c r="G512" i="1"/>
  <c r="G596" i="1"/>
  <c r="G680" i="1"/>
  <c r="G768" i="1"/>
  <c r="G83" i="1"/>
  <c r="G167" i="1"/>
  <c r="G255" i="1"/>
  <c r="G339" i="1"/>
  <c r="G423" i="1"/>
  <c r="G511" i="1"/>
  <c r="G595" i="1"/>
  <c r="G679" i="1"/>
  <c r="G767" i="1"/>
  <c r="G851" i="1"/>
  <c r="G935" i="1"/>
  <c r="G1023" i="1"/>
  <c r="G82" i="1"/>
  <c r="G166" i="1"/>
  <c r="G254" i="1"/>
  <c r="G338" i="1"/>
  <c r="G422" i="1"/>
  <c r="G510" i="1"/>
  <c r="G594" i="1"/>
  <c r="G678" i="1"/>
  <c r="G766" i="1"/>
  <c r="G850" i="1"/>
  <c r="G934" i="1"/>
  <c r="G1022" i="1"/>
  <c r="G321" i="1"/>
  <c r="G657" i="1"/>
  <c r="G892" i="1"/>
  <c r="G1044" i="1"/>
  <c r="G1128" i="1"/>
  <c r="G37" i="1"/>
  <c r="G373" i="1"/>
  <c r="G709" i="1"/>
  <c r="G917" i="1"/>
  <c r="G1057" i="1"/>
  <c r="G1141" i="1"/>
  <c r="G1229" i="1"/>
  <c r="G1313" i="1"/>
  <c r="G1397" i="1"/>
  <c r="G1485" i="1"/>
  <c r="G1569" i="1"/>
  <c r="G1653" i="1"/>
  <c r="G93" i="1"/>
  <c r="G1131" i="1"/>
  <c r="G944" i="1"/>
  <c r="G1263" i="1"/>
  <c r="G1439" i="1"/>
  <c r="G1610" i="1"/>
  <c r="G9" i="1"/>
  <c r="G521" i="1"/>
  <c r="G904" i="1"/>
  <c r="G1094" i="1"/>
  <c r="G1218" i="1"/>
  <c r="G1303" i="1"/>
  <c r="G1388" i="1"/>
  <c r="G1474" i="1"/>
  <c r="G1559" i="1"/>
  <c r="G1644" i="1"/>
  <c r="G1730" i="1"/>
  <c r="G1795" i="1"/>
  <c r="G1859" i="1"/>
  <c r="G1923" i="1"/>
  <c r="G1987" i="1"/>
  <c r="G929" i="1"/>
  <c r="G1115" i="1"/>
  <c r="G1238" i="1"/>
  <c r="G1323" i="1"/>
  <c r="G1414" i="1"/>
  <c r="G1499" i="1"/>
  <c r="G1590" i="1"/>
  <c r="G1680" i="1"/>
  <c r="G1758" i="1"/>
  <c r="G1826" i="1"/>
  <c r="G20" i="1"/>
  <c r="G84" i="1"/>
  <c r="G148" i="1"/>
  <c r="G212" i="1"/>
  <c r="G276" i="1"/>
  <c r="G28" i="1"/>
  <c r="G92" i="1"/>
  <c r="G156" i="1"/>
  <c r="G220" i="1"/>
  <c r="G284" i="1"/>
  <c r="G348" i="1"/>
  <c r="G412" i="1"/>
  <c r="G476" i="1"/>
  <c r="G540" i="1"/>
  <c r="G604" i="1"/>
  <c r="G668" i="1"/>
  <c r="G732" i="1"/>
  <c r="G27" i="1"/>
  <c r="G91" i="1"/>
  <c r="G155" i="1"/>
  <c r="G219" i="1"/>
  <c r="G283" i="1"/>
  <c r="G347" i="1"/>
  <c r="G411" i="1"/>
  <c r="G475" i="1"/>
  <c r="G539" i="1"/>
  <c r="G603" i="1"/>
  <c r="G667" i="1"/>
  <c r="G731" i="1"/>
  <c r="G795" i="1"/>
  <c r="G859" i="1"/>
  <c r="G923" i="1"/>
  <c r="G987" i="1"/>
  <c r="G26" i="1"/>
  <c r="G90" i="1"/>
  <c r="G154" i="1"/>
  <c r="G218" i="1"/>
  <c r="G282" i="1"/>
  <c r="G346" i="1"/>
  <c r="G410" i="1"/>
  <c r="G474" i="1"/>
  <c r="G538" i="1"/>
  <c r="G602" i="1"/>
  <c r="G666" i="1"/>
  <c r="G730" i="1"/>
  <c r="G794" i="1"/>
  <c r="G858" i="1"/>
  <c r="G922" i="1"/>
  <c r="G986" i="1"/>
  <c r="G97" i="1"/>
  <c r="G353" i="1"/>
  <c r="G609" i="1"/>
  <c r="G820" i="1"/>
  <c r="G948" i="1"/>
  <c r="G1052" i="1"/>
  <c r="G1116" i="1"/>
  <c r="G1180" i="1"/>
  <c r="G149" i="1"/>
  <c r="G405" i="1"/>
  <c r="G661" i="1"/>
  <c r="G845" i="1"/>
  <c r="G973" i="1"/>
  <c r="G1065" i="1"/>
  <c r="G1129" i="1"/>
  <c r="G1193" i="1"/>
  <c r="G1257" i="1"/>
  <c r="G1321" i="1"/>
  <c r="G1385" i="1"/>
  <c r="G1449" i="1"/>
  <c r="G1513" i="1"/>
  <c r="G1577" i="1"/>
  <c r="G1641" i="1"/>
  <c r="G1705" i="1"/>
  <c r="G317" i="1"/>
  <c r="G1504" i="1"/>
  <c r="G57" i="1"/>
  <c r="G16" i="1"/>
  <c r="G144" i="1"/>
  <c r="G272" i="1"/>
  <c r="G372" i="1"/>
  <c r="G456" i="1"/>
  <c r="G544" i="1"/>
  <c r="G628" i="1"/>
  <c r="G712" i="1"/>
  <c r="G31" i="1"/>
  <c r="G115" i="1"/>
  <c r="G199" i="1"/>
  <c r="G287" i="1"/>
  <c r="G371" i="1"/>
  <c r="G455" i="1"/>
  <c r="G543" i="1"/>
  <c r="G627" i="1"/>
  <c r="G711" i="1"/>
  <c r="G799" i="1"/>
  <c r="G883" i="1"/>
  <c r="G967" i="1"/>
  <c r="G30" i="1"/>
  <c r="G114" i="1"/>
  <c r="G198" i="1"/>
  <c r="G286" i="1"/>
  <c r="G370" i="1"/>
  <c r="G454" i="1"/>
  <c r="G542" i="1"/>
  <c r="G626" i="1"/>
  <c r="G710" i="1"/>
  <c r="G798" i="1"/>
  <c r="G882" i="1"/>
  <c r="G966" i="1"/>
  <c r="G113" i="1"/>
  <c r="G449" i="1"/>
  <c r="G780" i="1"/>
  <c r="G956" i="1"/>
  <c r="G1076" i="1"/>
  <c r="G1160" i="1"/>
  <c r="G165" i="1"/>
  <c r="G501" i="1"/>
  <c r="G805" i="1"/>
  <c r="G981" i="1"/>
  <c r="G1089" i="1"/>
  <c r="G1173" i="1"/>
  <c r="G1261" i="1"/>
  <c r="G1345" i="1"/>
  <c r="G1429" i="1"/>
  <c r="G1517" i="1"/>
  <c r="G1601" i="1"/>
  <c r="G1685" i="1"/>
  <c r="G349" i="1"/>
  <c r="G1902" i="1"/>
  <c r="G1114" i="1"/>
  <c r="G1332" i="1"/>
  <c r="G1503" i="1"/>
  <c r="G1674" i="1"/>
  <c r="G201" i="1"/>
  <c r="G713" i="1"/>
  <c r="G1000" i="1"/>
  <c r="G1142" i="1"/>
  <c r="G1250" i="1"/>
  <c r="G1335" i="1"/>
  <c r="G1420" i="1"/>
  <c r="G1506" i="1"/>
  <c r="G1591" i="1"/>
  <c r="G1676" i="1"/>
  <c r="G1755" i="1"/>
  <c r="G1819" i="1"/>
  <c r="G1883" i="1"/>
  <c r="G1947" i="1"/>
  <c r="G733" i="1"/>
  <c r="G1035" i="1"/>
  <c r="G1171" i="1"/>
  <c r="G1270" i="1"/>
  <c r="G1360" i="1"/>
  <c r="G1446" i="1"/>
  <c r="G1536" i="1"/>
  <c r="G1622" i="1"/>
  <c r="G1712" i="1"/>
  <c r="G1786" i="1"/>
  <c r="G1854" i="1"/>
  <c r="G1946" i="1"/>
  <c r="G281" i="1"/>
  <c r="G800" i="1"/>
  <c r="G1122" i="1"/>
  <c r="G1316" i="1"/>
  <c r="G1487" i="1"/>
  <c r="G1658" i="1"/>
  <c r="G825" i="1"/>
  <c r="G1363" i="1"/>
  <c r="G1704" i="1"/>
  <c r="G1864" i="1"/>
  <c r="G1992" i="1"/>
  <c r="G1175" i="1"/>
  <c r="G1528" i="1"/>
  <c r="G1797" i="1"/>
  <c r="G1925" i="1"/>
  <c r="G793" i="1"/>
  <c r="G1352" i="1"/>
  <c r="G1694" i="1"/>
  <c r="G64" i="1"/>
  <c r="G192" i="1"/>
  <c r="G320" i="1"/>
  <c r="G404" i="1"/>
  <c r="G488" i="1"/>
  <c r="G576" i="1"/>
  <c r="G660" i="1"/>
  <c r="G744" i="1"/>
  <c r="G63" i="1"/>
  <c r="G147" i="1"/>
  <c r="G231" i="1"/>
  <c r="G319" i="1"/>
  <c r="G403" i="1"/>
  <c r="G487" i="1"/>
  <c r="G575" i="1"/>
  <c r="G659" i="1"/>
  <c r="G743" i="1"/>
  <c r="G831" i="1"/>
  <c r="G915" i="1"/>
  <c r="G999" i="1"/>
  <c r="G62" i="1"/>
  <c r="G146" i="1"/>
  <c r="G230" i="1"/>
  <c r="G318" i="1"/>
  <c r="G402" i="1"/>
  <c r="G486" i="1"/>
  <c r="G574" i="1"/>
  <c r="G658" i="1"/>
  <c r="G742" i="1"/>
  <c r="G830" i="1"/>
  <c r="G914" i="1"/>
  <c r="G998" i="1"/>
  <c r="G241" i="1"/>
  <c r="G577" i="1"/>
  <c r="G844" i="1"/>
  <c r="G1020" i="1"/>
  <c r="G1108" i="1"/>
  <c r="G1192" i="1"/>
  <c r="G293" i="1"/>
  <c r="G629" i="1"/>
  <c r="G869" i="1"/>
  <c r="G1037" i="1"/>
  <c r="G1121" i="1"/>
  <c r="G68" i="1"/>
  <c r="G132" i="1"/>
  <c r="G196" i="1"/>
  <c r="G260" i="1"/>
  <c r="G12" i="1"/>
  <c r="G76" i="1"/>
  <c r="G140" i="1"/>
  <c r="G204" i="1"/>
  <c r="G268" i="1"/>
  <c r="G332" i="1"/>
  <c r="G396" i="1"/>
  <c r="G460" i="1"/>
  <c r="G524" i="1"/>
  <c r="G588" i="1"/>
  <c r="G652" i="1"/>
  <c r="G716" i="1"/>
  <c r="G11" i="1"/>
  <c r="G75" i="1"/>
  <c r="G139" i="1"/>
  <c r="G203" i="1"/>
  <c r="G267" i="1"/>
  <c r="G331" i="1"/>
  <c r="G395" i="1"/>
  <c r="G459" i="1"/>
  <c r="G523" i="1"/>
  <c r="G587" i="1"/>
  <c r="G651" i="1"/>
  <c r="G715" i="1"/>
  <c r="G779" i="1"/>
  <c r="G843" i="1"/>
  <c r="G907" i="1"/>
  <c r="G971" i="1"/>
  <c r="G10" i="1"/>
  <c r="G74" i="1"/>
  <c r="G138" i="1"/>
  <c r="G202" i="1"/>
  <c r="G266" i="1"/>
  <c r="G330" i="1"/>
  <c r="G394" i="1"/>
  <c r="G458" i="1"/>
  <c r="G522" i="1"/>
  <c r="G586" i="1"/>
  <c r="G650" i="1"/>
  <c r="G714" i="1"/>
  <c r="G778" i="1"/>
  <c r="G842" i="1"/>
  <c r="G906" i="1"/>
  <c r="G970" i="1"/>
  <c r="G33" i="1"/>
  <c r="G289" i="1"/>
  <c r="G545" i="1"/>
  <c r="G788" i="1"/>
  <c r="G916" i="1"/>
  <c r="G1036" i="1"/>
  <c r="G1100" i="1"/>
  <c r="G1164" i="1"/>
  <c r="G85" i="1"/>
  <c r="G341" i="1"/>
  <c r="G597" i="1"/>
  <c r="G813" i="1"/>
  <c r="G941" i="1"/>
  <c r="G1049" i="1"/>
  <c r="G1113" i="1"/>
  <c r="G1177" i="1"/>
  <c r="G1241" i="1"/>
  <c r="G1305" i="1"/>
  <c r="G1369" i="1"/>
  <c r="G1433" i="1"/>
  <c r="G1497" i="1"/>
  <c r="G1561" i="1"/>
  <c r="G1625" i="1"/>
  <c r="G1689" i="1"/>
  <c r="G189" i="1"/>
  <c r="G801" i="1"/>
  <c r="G1962" i="1"/>
  <c r="G1130" i="1"/>
  <c r="G112" i="1"/>
  <c r="G240" i="1"/>
  <c r="G352" i="1"/>
  <c r="G436" i="1"/>
  <c r="G520" i="1"/>
  <c r="G608" i="1"/>
  <c r="G692" i="1"/>
  <c r="G7" i="1"/>
  <c r="G95" i="1"/>
  <c r="G179" i="1"/>
  <c r="G263" i="1"/>
  <c r="G351" i="1"/>
  <c r="G435" i="1"/>
  <c r="G519" i="1"/>
  <c r="G607" i="1"/>
  <c r="G691" i="1"/>
  <c r="G775" i="1"/>
  <c r="G863" i="1"/>
  <c r="G947" i="1"/>
  <c r="G6" i="1"/>
  <c r="G94" i="1"/>
  <c r="G178" i="1"/>
  <c r="G262" i="1"/>
  <c r="G350" i="1"/>
  <c r="G434" i="1"/>
  <c r="G518" i="1"/>
  <c r="G606" i="1"/>
  <c r="G690" i="1"/>
  <c r="G774" i="1"/>
  <c r="G862" i="1"/>
  <c r="G946" i="1"/>
  <c r="G17" i="1"/>
  <c r="G369" i="1"/>
  <c r="G705" i="1"/>
  <c r="G908" i="1"/>
  <c r="G1056" i="1"/>
  <c r="G1140" i="1"/>
  <c r="G69" i="1"/>
  <c r="G421" i="1"/>
  <c r="G757" i="1"/>
  <c r="G933" i="1"/>
  <c r="G1069" i="1"/>
  <c r="G1153" i="1"/>
  <c r="G1237" i="1"/>
  <c r="G1325" i="1"/>
  <c r="G1409" i="1"/>
  <c r="G1493" i="1"/>
  <c r="G1581" i="1"/>
  <c r="G1665" i="1"/>
  <c r="G157" i="1"/>
  <c r="G1654" i="1"/>
  <c r="G1034" i="1"/>
  <c r="G1284" i="1"/>
  <c r="G1460" i="1"/>
  <c r="G1631" i="1"/>
  <c r="G73" i="1"/>
  <c r="G585" i="1"/>
  <c r="G936" i="1"/>
  <c r="G1110" i="1"/>
  <c r="G1228" i="1"/>
  <c r="G1314" i="1"/>
  <c r="G1399" i="1"/>
  <c r="G1484" i="1"/>
  <c r="G1570" i="1"/>
  <c r="G1655" i="1"/>
  <c r="G1739" i="1"/>
  <c r="G1803" i="1"/>
  <c r="G1867" i="1"/>
  <c r="G1931" i="1"/>
  <c r="G1995" i="1"/>
  <c r="G977" i="1"/>
  <c r="G1139" i="1"/>
  <c r="G1248" i="1"/>
  <c r="G1339" i="1"/>
  <c r="G1424" i="1"/>
  <c r="G1515" i="1"/>
  <c r="G1600" i="1"/>
  <c r="G1691" i="1"/>
  <c r="G1770" i="1"/>
  <c r="G1838" i="1"/>
  <c r="G1918" i="1"/>
  <c r="G153" i="1"/>
  <c r="G665" i="1"/>
  <c r="G1058" i="1"/>
  <c r="G1279" i="1"/>
  <c r="G1444" i="1"/>
  <c r="G1615" i="1"/>
  <c r="G365" i="1"/>
  <c r="G1278" i="1"/>
  <c r="G1619" i="1"/>
  <c r="G1832" i="1"/>
  <c r="G1960" i="1"/>
  <c r="G1047" i="1"/>
  <c r="G1443" i="1"/>
  <c r="G1765" i="1"/>
  <c r="G1893" i="1"/>
  <c r="G301" i="1"/>
  <c r="G1267" i="1"/>
  <c r="G1608" i="1"/>
  <c r="G32" i="1"/>
  <c r="G160" i="1"/>
  <c r="G288" i="1"/>
  <c r="G384" i="1"/>
  <c r="G468" i="1"/>
  <c r="G552" i="1"/>
  <c r="G640" i="1"/>
  <c r="G724" i="1"/>
  <c r="G39" i="1"/>
  <c r="G127" i="1"/>
  <c r="G211" i="1"/>
  <c r="G295" i="1"/>
  <c r="G383" i="1"/>
  <c r="G467" i="1"/>
  <c r="G551" i="1"/>
  <c r="G639" i="1"/>
  <c r="G723" i="1"/>
  <c r="G807" i="1"/>
  <c r="G895" i="1"/>
  <c r="G979" i="1"/>
  <c r="G38" i="1"/>
  <c r="G126" i="1"/>
  <c r="G210" i="1"/>
  <c r="G294" i="1"/>
  <c r="G382" i="1"/>
  <c r="G466" i="1"/>
  <c r="G550" i="1"/>
  <c r="G638" i="1"/>
  <c r="G722" i="1"/>
  <c r="G806" i="1"/>
  <c r="G894" i="1"/>
  <c r="G978" i="1"/>
  <c r="G145" i="1"/>
  <c r="G497" i="1"/>
  <c r="G804" i="1"/>
  <c r="G972" i="1"/>
  <c r="G1088" i="1"/>
  <c r="G1172" i="1"/>
  <c r="G197" i="1"/>
  <c r="G549" i="1"/>
  <c r="G829" i="1"/>
  <c r="G997" i="1"/>
  <c r="G1101" i="1"/>
  <c r="G1185" i="1"/>
  <c r="G1269" i="1"/>
  <c r="G1357" i="1"/>
  <c r="G1441" i="1"/>
  <c r="G1525" i="1"/>
  <c r="G1613" i="1"/>
  <c r="G1697" i="1"/>
  <c r="G413" i="1"/>
  <c r="G1930" i="1"/>
  <c r="G1162" i="1"/>
  <c r="G1354" i="1"/>
  <c r="G1524" i="1"/>
  <c r="G1695" i="1"/>
  <c r="G265" i="1"/>
  <c r="G776" i="1"/>
  <c r="G1030" i="1"/>
  <c r="G1158" i="1"/>
  <c r="G1260" i="1"/>
  <c r="G1346" i="1"/>
  <c r="G1431" i="1"/>
  <c r="G1516" i="1"/>
  <c r="G1602" i="1"/>
  <c r="G1687" i="1"/>
  <c r="G1763" i="1"/>
  <c r="G1827" i="1"/>
  <c r="G1891" i="1"/>
  <c r="G1955" i="1"/>
  <c r="G785" i="1"/>
  <c r="G1051" i="1"/>
  <c r="G1187" i="1"/>
  <c r="G1280" i="1"/>
  <c r="G1371" i="1"/>
  <c r="G1456" i="1"/>
  <c r="G1547" i="1"/>
  <c r="G1632" i="1"/>
  <c r="G1723" i="1"/>
  <c r="G1794" i="1"/>
  <c r="G1862" i="1"/>
  <c r="G1958" i="1"/>
  <c r="G345" i="1"/>
  <c r="G832" i="1"/>
  <c r="G1154" i="1"/>
  <c r="G1338" i="1"/>
  <c r="G1508" i="1"/>
  <c r="G180" i="1"/>
  <c r="G124" i="1"/>
  <c r="G380" i="1"/>
  <c r="G636" i="1"/>
  <c r="G123" i="1"/>
  <c r="G379" i="1"/>
  <c r="G635" i="1"/>
  <c r="G891" i="1"/>
  <c r="G122" i="1"/>
  <c r="G378" i="1"/>
  <c r="G634" i="1"/>
  <c r="G890" i="1"/>
  <c r="G481" i="1"/>
  <c r="G1084" i="1"/>
  <c r="G533" i="1"/>
  <c r="G1097" i="1"/>
  <c r="G1353" i="1"/>
  <c r="G1609" i="1"/>
  <c r="G1922" i="1"/>
  <c r="G328" i="1"/>
  <c r="G672" i="1"/>
  <c r="G243" i="1"/>
  <c r="G583" i="1"/>
  <c r="G927" i="1"/>
  <c r="G242" i="1"/>
  <c r="G582" i="1"/>
  <c r="G926" i="1"/>
  <c r="G868" i="1"/>
  <c r="G325" i="1"/>
  <c r="G1133" i="1"/>
  <c r="G1473" i="1"/>
  <c r="G701" i="1"/>
  <c r="G1588" i="1"/>
  <c r="G1078" i="1"/>
  <c r="G1463" i="1"/>
  <c r="G1787" i="1"/>
  <c r="G897" i="1"/>
  <c r="G1403" i="1"/>
  <c r="G1750" i="1"/>
  <c r="G537" i="1"/>
  <c r="G1572" i="1"/>
  <c r="G1800" i="1"/>
  <c r="G1699" i="1"/>
  <c r="G1523" i="1"/>
  <c r="G360" i="1"/>
  <c r="G704" i="1"/>
  <c r="G275" i="1"/>
  <c r="G615" i="1"/>
  <c r="G959" i="1"/>
  <c r="G274" i="1"/>
  <c r="G614" i="1"/>
  <c r="G958" i="1"/>
  <c r="G932" i="1"/>
  <c r="G453" i="1"/>
  <c r="G1165" i="1"/>
  <c r="G1333" i="1"/>
  <c r="G1505" i="1"/>
  <c r="G1677" i="1"/>
  <c r="G1830" i="1"/>
  <c r="G1311" i="1"/>
  <c r="G1652" i="1"/>
  <c r="G649" i="1"/>
  <c r="G1126" i="1"/>
  <c r="G1324" i="1"/>
  <c r="G1495" i="1"/>
  <c r="G1666" i="1"/>
  <c r="G1811" i="1"/>
  <c r="G1939" i="1"/>
  <c r="G1009" i="1"/>
  <c r="G1259" i="1"/>
  <c r="G1435" i="1"/>
  <c r="G1611" i="1"/>
  <c r="G1778" i="1"/>
  <c r="G1906" i="1"/>
  <c r="G217" i="1"/>
  <c r="G912" i="1"/>
  <c r="G1258" i="1"/>
  <c r="G1466" i="1"/>
  <c r="G1679" i="1"/>
  <c r="G953" i="1"/>
  <c r="G1406" i="1"/>
  <c r="G1744" i="1"/>
  <c r="G1880" i="1"/>
  <c r="G77" i="1"/>
  <c r="G1230" i="1"/>
  <c r="G1571" i="1"/>
  <c r="G1813" i="1"/>
  <c r="G1941" i="1"/>
  <c r="G921" i="1"/>
  <c r="G1395" i="1"/>
  <c r="G1736" i="1"/>
  <c r="G1876" i="1"/>
  <c r="G141" i="1"/>
  <c r="G1240" i="1"/>
  <c r="G1582" i="1"/>
  <c r="G1993" i="1"/>
  <c r="G1785" i="1"/>
  <c r="G56" i="1"/>
  <c r="G312" i="1"/>
  <c r="G484" i="1"/>
  <c r="G656" i="1"/>
  <c r="G55" i="1"/>
  <c r="G227" i="1"/>
  <c r="G399" i="1"/>
  <c r="G567" i="1"/>
  <c r="G739" i="1"/>
  <c r="G911" i="1"/>
  <c r="G54" i="1"/>
  <c r="G226" i="1"/>
  <c r="G398" i="1"/>
  <c r="G566" i="1"/>
  <c r="G738" i="1"/>
  <c r="G910" i="1"/>
  <c r="G209" i="1"/>
  <c r="G836" i="1"/>
  <c r="G1104" i="1"/>
  <c r="G261" i="1"/>
  <c r="G861" i="1"/>
  <c r="G1117" i="1"/>
  <c r="G1285" i="1"/>
  <c r="G1457" i="1"/>
  <c r="G1669" i="1"/>
  <c r="G1766" i="1"/>
  <c r="G1300" i="1"/>
  <c r="G361" i="1"/>
  <c r="G1575" i="1"/>
  <c r="G1202" i="1"/>
  <c r="G1063" i="1"/>
  <c r="G1857" i="1"/>
  <c r="G88" i="1"/>
  <c r="G676" i="1"/>
  <c r="G419" i="1"/>
  <c r="G931" i="1"/>
  <c r="G374" i="1"/>
  <c r="G802" i="1"/>
  <c r="G876" i="1"/>
  <c r="G693" i="1"/>
  <c r="G1349" i="1"/>
  <c r="G381" i="1"/>
  <c r="G1757" i="1"/>
  <c r="G1340" i="1"/>
  <c r="G1823" i="1"/>
  <c r="G1179" i="1"/>
  <c r="G1718" i="1"/>
  <c r="G816" i="1"/>
  <c r="G1214" i="1"/>
  <c r="G1720" i="1"/>
  <c r="G1852" i="1"/>
  <c r="G1977" i="1"/>
  <c r="G168" i="1"/>
  <c r="G388" i="1"/>
  <c r="G560" i="1"/>
  <c r="G728" i="1"/>
  <c r="G131" i="1"/>
  <c r="G303" i="1"/>
  <c r="G471" i="1"/>
  <c r="G643" i="1"/>
  <c r="G815" i="1"/>
  <c r="G983" i="1"/>
  <c r="G130" i="1"/>
  <c r="G302" i="1"/>
  <c r="G470" i="1"/>
  <c r="G642" i="1"/>
  <c r="G814" i="1"/>
  <c r="G982" i="1"/>
  <c r="G513" i="1"/>
  <c r="G988" i="1"/>
  <c r="G1176" i="1"/>
  <c r="G565" i="1"/>
  <c r="G1013" i="1"/>
  <c r="G1189" i="1"/>
  <c r="G1361" i="1"/>
  <c r="G1533" i="1"/>
  <c r="G1701" i="1"/>
  <c r="G1938" i="1"/>
  <c r="G1364" i="1"/>
  <c r="G1706" i="1"/>
  <c r="G792" i="1"/>
  <c r="G1166" i="1"/>
  <c r="G1351" i="1"/>
  <c r="G1522" i="1"/>
  <c r="G1692" i="1"/>
  <c r="G1831" i="1"/>
  <c r="G1959" i="1"/>
  <c r="G1059" i="1"/>
  <c r="G1286" i="1"/>
  <c r="G1462" i="1"/>
  <c r="G1638" i="1"/>
  <c r="G1798" i="1"/>
  <c r="G1966" i="1"/>
  <c r="G848" i="1"/>
  <c r="G1348" i="1"/>
  <c r="G1690" i="1"/>
  <c r="G1427" i="1"/>
  <c r="G1888" i="1"/>
  <c r="G1251" i="1"/>
  <c r="G1821" i="1"/>
  <c r="G985" i="1"/>
  <c r="G1752" i="1"/>
  <c r="G1948" i="1"/>
  <c r="G1304" i="1"/>
  <c r="G152" i="1"/>
  <c r="G720" i="1"/>
  <c r="G463" i="1"/>
  <c r="G975" i="1"/>
  <c r="G462" i="1"/>
  <c r="G974" i="1"/>
  <c r="G1208" i="1"/>
  <c r="G1221" i="1"/>
  <c r="G945" i="1"/>
  <c r="G888" i="1"/>
  <c r="G1511" i="1"/>
  <c r="G1951" i="1"/>
  <c r="G1542" i="1"/>
  <c r="G569" i="1"/>
  <c r="G889" i="1"/>
  <c r="G1379" i="1"/>
  <c r="G1804" i="1"/>
  <c r="G1518" i="1"/>
  <c r="G136" i="1"/>
  <c r="G368" i="1"/>
  <c r="G536" i="1"/>
  <c r="G708" i="1"/>
  <c r="G111" i="1"/>
  <c r="G279" i="1"/>
  <c r="G451" i="1"/>
  <c r="G623" i="1"/>
  <c r="G791" i="1"/>
  <c r="G963" i="1"/>
  <c r="G110" i="1"/>
  <c r="G278" i="1"/>
  <c r="G450" i="1"/>
  <c r="G622" i="1"/>
  <c r="G790" i="1"/>
  <c r="G962" i="1"/>
  <c r="G433" i="1"/>
  <c r="G940" i="1"/>
  <c r="G1156" i="1"/>
  <c r="G485" i="1"/>
  <c r="G965" i="1"/>
  <c r="G1169" i="1"/>
  <c r="G1341" i="1"/>
  <c r="G1509" i="1"/>
  <c r="G1681" i="1"/>
  <c r="G1886" i="1"/>
  <c r="G1322" i="1"/>
  <c r="G1663" i="1"/>
  <c r="G681" i="1"/>
  <c r="G1134" i="1"/>
  <c r="G1330" i="1"/>
  <c r="G1500" i="1"/>
  <c r="G1671" i="1"/>
  <c r="G1815" i="1"/>
  <c r="G1943" i="1"/>
  <c r="G1025" i="1"/>
  <c r="G1264" i="1"/>
  <c r="G116" i="1"/>
  <c r="G188" i="1"/>
  <c r="G508" i="1"/>
  <c r="G59" i="1"/>
  <c r="G443" i="1"/>
  <c r="G763" i="1"/>
  <c r="G58" i="1"/>
  <c r="G442" i="1"/>
  <c r="G762" i="1"/>
  <c r="G225" i="1"/>
  <c r="G1148" i="1"/>
  <c r="G909" i="1"/>
  <c r="G1289" i="1"/>
  <c r="G1673" i="1"/>
  <c r="G80" i="1"/>
  <c r="G584" i="1"/>
  <c r="G327" i="1"/>
  <c r="G755" i="1"/>
  <c r="G158" i="1"/>
  <c r="G670" i="1"/>
  <c r="G273" i="1"/>
  <c r="G1204" i="1"/>
  <c r="G1217" i="1"/>
  <c r="G1645" i="1"/>
  <c r="G1418" i="1"/>
  <c r="G1206" i="1"/>
  <c r="G1634" i="1"/>
  <c r="G1979" i="1"/>
  <c r="G1488" i="1"/>
  <c r="G1894" i="1"/>
  <c r="G1402" i="1"/>
  <c r="G1928" i="1"/>
  <c r="G1989" i="1"/>
  <c r="G256" i="1"/>
  <c r="G19" i="1"/>
  <c r="G447" i="1"/>
  <c r="G871" i="1"/>
  <c r="G358" i="1"/>
  <c r="G786" i="1"/>
  <c r="G753" i="1"/>
  <c r="G789" i="1"/>
  <c r="G1249" i="1"/>
  <c r="G1461" i="1"/>
  <c r="G1717" i="1"/>
  <c r="G1082" i="1"/>
  <c r="G1567" i="1"/>
  <c r="G840" i="1"/>
  <c r="G1239" i="1"/>
  <c r="G1452" i="1"/>
  <c r="G1708" i="1"/>
  <c r="G1875" i="1"/>
  <c r="G865" i="1"/>
  <c r="G1302" i="1"/>
  <c r="G1526" i="1"/>
  <c r="G1742" i="1"/>
  <c r="G1934" i="1"/>
  <c r="G601" i="1"/>
  <c r="G1215" i="1"/>
  <c r="G1551" i="1"/>
  <c r="G109" i="1"/>
  <c r="G1320" i="1"/>
  <c r="G1784" i="1"/>
  <c r="G1944" i="1"/>
  <c r="G1111" i="1"/>
  <c r="G1656" i="1"/>
  <c r="G1877" i="1"/>
  <c r="G557" i="1"/>
  <c r="G1480" i="1"/>
  <c r="G1812" i="1"/>
  <c r="G1972" i="1"/>
  <c r="G1326" i="1"/>
  <c r="G13" i="1"/>
  <c r="G1921" i="1"/>
  <c r="G120" i="1"/>
  <c r="G400" i="1"/>
  <c r="G612" i="1"/>
  <c r="G99" i="1"/>
  <c r="G311" i="1"/>
  <c r="G527" i="1"/>
  <c r="G783" i="1"/>
  <c r="G995" i="1"/>
  <c r="G182" i="1"/>
  <c r="G438" i="1"/>
  <c r="G654" i="1"/>
  <c r="G866" i="1"/>
  <c r="G385" i="1"/>
  <c r="G1004" i="1"/>
  <c r="G101" i="1"/>
  <c r="G949" i="1"/>
  <c r="G1201" i="1"/>
  <c r="G1413" i="1"/>
  <c r="G1713" i="1"/>
  <c r="G1050" i="1"/>
  <c r="G1642" i="1"/>
  <c r="G1807" i="1"/>
  <c r="G1901" i="1"/>
  <c r="G1961" i="1"/>
  <c r="G280" i="1"/>
  <c r="G163" i="1"/>
  <c r="G803" i="1"/>
  <c r="G502" i="1"/>
  <c r="G1014" i="1"/>
  <c r="G357" i="1"/>
  <c r="G1477" i="1"/>
  <c r="G1343" i="1"/>
  <c r="G1212" i="1"/>
  <c r="G1919" i="1"/>
  <c r="G1451" i="1"/>
  <c r="G25" i="1"/>
  <c r="G1726" i="1"/>
  <c r="G1199" i="1"/>
  <c r="G1624" i="1"/>
  <c r="G232" i="1"/>
  <c r="G472" i="1"/>
  <c r="G688" i="1"/>
  <c r="G175" i="1"/>
  <c r="G387" i="1"/>
  <c r="G599" i="1"/>
  <c r="G855" i="1"/>
  <c r="G46" i="1"/>
  <c r="G258" i="1"/>
  <c r="G514" i="1"/>
  <c r="G726" i="1"/>
  <c r="G942" i="1"/>
  <c r="G689" i="1"/>
  <c r="G1092" i="1"/>
  <c r="G389" i="1"/>
  <c r="G1061" i="1"/>
  <c r="G1277" i="1"/>
  <c r="G1489" i="1"/>
  <c r="G125" i="1"/>
  <c r="G1178" i="1"/>
  <c r="G1620" i="1"/>
  <c r="G920" i="1"/>
  <c r="G1266" i="1"/>
  <c r="G1479" i="1"/>
  <c r="G1735" i="1"/>
  <c r="G1895" i="1"/>
  <c r="G961" i="1"/>
  <c r="G1328" i="1"/>
  <c r="G1552" i="1"/>
  <c r="G1762" i="1"/>
  <c r="G121" i="1"/>
  <c r="G1170" i="1"/>
  <c r="G1604" i="1"/>
  <c r="G1598" i="1"/>
  <c r="G205" i="1"/>
  <c r="G1756" i="1"/>
  <c r="G1246" i="1"/>
  <c r="G1860" i="1"/>
  <c r="G1031" i="1"/>
  <c r="G336" i="1"/>
  <c r="G207" i="1"/>
  <c r="G847" i="1"/>
  <c r="G630" i="1"/>
  <c r="G796" i="1"/>
  <c r="G1093" i="1"/>
  <c r="G1252" i="1"/>
  <c r="G1298" i="1"/>
  <c r="G1855" i="1"/>
  <c r="G1675" i="1"/>
  <c r="G1327" i="1"/>
  <c r="G2000" i="1"/>
  <c r="G1892" i="1"/>
  <c r="G1953" i="1"/>
  <c r="G324" i="1"/>
  <c r="G580" i="1"/>
  <c r="G23" i="1"/>
  <c r="G239" i="1"/>
  <c r="G495" i="1"/>
  <c r="G707" i="1"/>
  <c r="G919" i="1"/>
  <c r="G150" i="1"/>
  <c r="G366" i="1"/>
  <c r="G578" i="1"/>
  <c r="G834" i="1"/>
  <c r="G81" i="1"/>
  <c r="G860" i="1"/>
  <c r="G1200" i="1"/>
  <c r="G797" i="1"/>
  <c r="G1125" i="1"/>
  <c r="G1381" i="1"/>
  <c r="G1597" i="1"/>
  <c r="G637" i="1"/>
  <c r="G1407" i="1"/>
  <c r="G169" i="1"/>
  <c r="G1070" i="1"/>
  <c r="G1372" i="1"/>
  <c r="G1586" i="1"/>
  <c r="G1783" i="1"/>
  <c r="G1975" i="1"/>
  <c r="G1163" i="1"/>
  <c r="G1398" i="1"/>
  <c r="G1574" i="1"/>
  <c r="G1746" i="1"/>
  <c r="G1890" i="1"/>
  <c r="G505" i="1"/>
  <c r="G1226" i="1"/>
  <c r="G1562" i="1"/>
  <c r="G1151" i="1"/>
  <c r="G1792" i="1"/>
  <c r="G717" i="1"/>
  <c r="G1678" i="1"/>
  <c r="G1981" i="1"/>
  <c r="G1502" i="1"/>
  <c r="G1884" i="1"/>
  <c r="G841" i="1"/>
  <c r="G1475" i="1"/>
  <c r="G1817" i="1"/>
  <c r="G1873" i="1"/>
  <c r="G105" i="1"/>
  <c r="G1118" i="1"/>
  <c r="G1362" i="1"/>
  <c r="G1618" i="1"/>
  <c r="G1775" i="1"/>
  <c r="G1935" i="1"/>
  <c r="G1075" i="1"/>
  <c r="G1296" i="1"/>
  <c r="G1472" i="1"/>
  <c r="G1648" i="1"/>
  <c r="G1842" i="1"/>
  <c r="G185" i="1"/>
  <c r="G1074" i="1"/>
  <c r="G1540" i="1"/>
  <c r="G1087" i="1"/>
  <c r="G1776" i="1"/>
  <c r="G1079" i="1"/>
  <c r="G1773" i="1"/>
  <c r="G1071" i="1"/>
  <c r="G1772" i="1"/>
  <c r="G1996" i="1"/>
  <c r="G1560" i="1"/>
  <c r="G1191" i="1"/>
  <c r="G1913" i="1"/>
  <c r="G504" i="1"/>
  <c r="G247" i="1"/>
  <c r="G719" i="1"/>
  <c r="G290" i="1"/>
  <c r="G846" i="1"/>
  <c r="G1124" i="1"/>
  <c r="G1181" i="1"/>
  <c r="G1733" i="1"/>
  <c r="G1684" i="1"/>
  <c r="G1426" i="1"/>
  <c r="G1887" i="1"/>
  <c r="G1366" i="1"/>
  <c r="G1858" i="1"/>
  <c r="G1749" i="1"/>
  <c r="G1550" i="1"/>
  <c r="G1932" i="1"/>
  <c r="G1761" i="1"/>
  <c r="G817" i="1"/>
  <c r="G1897" i="1"/>
  <c r="G407" i="1"/>
  <c r="G879" i="1"/>
  <c r="G322" i="1"/>
  <c r="G534" i="1"/>
  <c r="G1006" i="1"/>
  <c r="G1112" i="1"/>
  <c r="G1085" i="1"/>
  <c r="G1553" i="1"/>
  <c r="G1231" i="1"/>
  <c r="G1745" i="1"/>
  <c r="G1287" i="1"/>
  <c r="G1543" i="1"/>
  <c r="G1751" i="1"/>
  <c r="G1091" i="1"/>
  <c r="G1355" i="1"/>
  <c r="G1707" i="1"/>
  <c r="G249" i="1"/>
  <c r="G1476" i="1"/>
  <c r="G749" i="1"/>
  <c r="G1984" i="1"/>
  <c r="G1507" i="1"/>
  <c r="G1331" i="1"/>
  <c r="G1836" i="1"/>
  <c r="G1368" i="1"/>
  <c r="G1833" i="1"/>
  <c r="G1727" i="1"/>
  <c r="G952" i="1"/>
  <c r="G1532" i="1"/>
  <c r="G1743" i="1"/>
  <c r="G849" i="1"/>
  <c r="G1254" i="1"/>
  <c r="G1606" i="1"/>
  <c r="G1806" i="1"/>
  <c r="G880" i="1"/>
  <c r="G1455" i="1"/>
  <c r="G1640" i="1"/>
  <c r="G461" i="1"/>
  <c r="G429" i="1"/>
  <c r="G1630" i="1"/>
  <c r="G1347" i="1"/>
  <c r="G1748" i="1"/>
  <c r="G376" i="1"/>
  <c r="G119" i="1"/>
  <c r="G162" i="1"/>
  <c r="G674" i="1"/>
  <c r="G1053" i="1"/>
  <c r="G1605" i="1"/>
  <c r="G1255" i="1"/>
  <c r="G1791" i="1"/>
  <c r="G1754" i="1"/>
  <c r="G1412" i="1"/>
  <c r="G1715" i="1"/>
  <c r="G1295" i="1"/>
  <c r="G1376" i="1"/>
  <c r="G878" i="1"/>
  <c r="G1222" i="1"/>
  <c r="G1647" i="1"/>
  <c r="G1789" i="1"/>
  <c r="G1924" i="1"/>
  <c r="G1603" i="1"/>
  <c r="G617" i="1"/>
  <c r="G1839" i="1"/>
  <c r="G1344" i="1"/>
  <c r="G1878" i="1"/>
  <c r="G1626" i="1"/>
  <c r="G1294" i="1"/>
  <c r="G1288" i="1"/>
  <c r="G1801" i="1"/>
  <c r="G632" i="1"/>
  <c r="G418" i="1"/>
  <c r="G1910" i="1"/>
  <c r="G765" i="1"/>
  <c r="G313" i="1"/>
  <c r="G905" i="1"/>
  <c r="G52" i="1"/>
  <c r="G60" i="1"/>
  <c r="G444" i="1"/>
  <c r="G764" i="1"/>
  <c r="G315" i="1"/>
  <c r="G699" i="1"/>
  <c r="G1019" i="1"/>
  <c r="G314" i="1"/>
  <c r="G698" i="1"/>
  <c r="G1018" i="1"/>
  <c r="G1012" i="1"/>
  <c r="G781" i="1"/>
  <c r="G1225" i="1"/>
  <c r="G1545" i="1"/>
  <c r="G1066" i="1"/>
  <c r="G500" i="1"/>
  <c r="G159" i="1"/>
  <c r="G671" i="1"/>
  <c r="G70" i="1"/>
  <c r="G498" i="1"/>
  <c r="G1010" i="1"/>
  <c r="G1120" i="1"/>
  <c r="G1045" i="1"/>
  <c r="G1557" i="1"/>
  <c r="G1242" i="1"/>
  <c r="G872" i="1"/>
  <c r="G1548" i="1"/>
  <c r="G1915" i="1"/>
  <c r="G1312" i="1"/>
  <c r="G1818" i="1"/>
  <c r="G1236" i="1"/>
  <c r="G1534" i="1"/>
  <c r="G1861" i="1"/>
  <c r="G128" i="1"/>
  <c r="G616" i="1"/>
  <c r="G359" i="1"/>
  <c r="G787" i="1"/>
  <c r="G190" i="1"/>
  <c r="G702" i="1"/>
  <c r="G401" i="1"/>
  <c r="G117" i="1"/>
  <c r="G1205" i="1"/>
  <c r="G1421" i="1"/>
  <c r="G1633" i="1"/>
  <c r="G1982" i="1"/>
  <c r="G1482" i="1"/>
  <c r="G393" i="1"/>
  <c r="G1190" i="1"/>
  <c r="G1410" i="1"/>
  <c r="G1623" i="1"/>
  <c r="G1843" i="1"/>
  <c r="G61" i="1"/>
  <c r="G1216" i="1"/>
  <c r="G1478" i="1"/>
  <c r="G1702" i="1"/>
  <c r="G1882" i="1"/>
  <c r="G473" i="1"/>
  <c r="G1090" i="1"/>
  <c r="G1423" i="1"/>
  <c r="G1722" i="1"/>
  <c r="G1235" i="1"/>
  <c r="G1662" i="1"/>
  <c r="G1912" i="1"/>
  <c r="G937" i="1"/>
  <c r="G1486" i="1"/>
  <c r="G1845" i="1"/>
  <c r="G45" i="1"/>
  <c r="G1310" i="1"/>
  <c r="G1780" i="1"/>
  <c r="G1940" i="1"/>
  <c r="G1127" i="1"/>
  <c r="G1667" i="1"/>
  <c r="G1793" i="1"/>
  <c r="G24" i="1"/>
  <c r="G356" i="1"/>
  <c r="G568" i="1"/>
  <c r="G15" i="1"/>
  <c r="G271" i="1"/>
  <c r="G483" i="1"/>
  <c r="G695" i="1"/>
  <c r="G951" i="1"/>
  <c r="G142" i="1"/>
  <c r="G354" i="1"/>
  <c r="G610" i="1"/>
  <c r="G822" i="1"/>
  <c r="G49" i="1"/>
  <c r="G924" i="1"/>
  <c r="G1188" i="1"/>
  <c r="G773" i="1"/>
  <c r="G1157" i="1"/>
  <c r="G1373" i="1"/>
  <c r="G1629" i="1"/>
  <c r="G1970" i="1"/>
  <c r="G1556" i="1"/>
  <c r="G1404" i="1"/>
  <c r="G1968" i="1"/>
  <c r="G1688" i="1"/>
  <c r="G1985" i="1"/>
  <c r="G35" i="1"/>
  <c r="G675" i="1"/>
  <c r="G246" i="1"/>
  <c r="G930" i="1"/>
  <c r="G1168" i="1"/>
  <c r="G1265" i="1"/>
  <c r="G896" i="1"/>
  <c r="G1016" i="1"/>
  <c r="G1724" i="1"/>
  <c r="G1318" i="1"/>
  <c r="G1898" i="1"/>
  <c r="G1668" i="1"/>
  <c r="G1933" i="1"/>
  <c r="G1159" i="1"/>
  <c r="G104" i="1"/>
  <c r="G432" i="1"/>
  <c r="G644" i="1"/>
  <c r="G87" i="1"/>
  <c r="G343" i="1"/>
  <c r="G559" i="1"/>
  <c r="G771" i="1"/>
  <c r="G1027" i="1"/>
  <c r="G214" i="1"/>
  <c r="G430" i="1"/>
  <c r="G686" i="1"/>
  <c r="G898" i="1"/>
  <c r="G337" i="1"/>
  <c r="G1048" i="1"/>
  <c r="G229" i="1"/>
  <c r="G925" i="1"/>
  <c r="G1233" i="1"/>
  <c r="G1445" i="1"/>
  <c r="G1661" i="1"/>
  <c r="G1008" i="1"/>
  <c r="G1535" i="1"/>
  <c r="G553" i="1"/>
  <c r="G1223" i="1"/>
  <c r="G1436" i="1"/>
  <c r="G1650" i="1"/>
  <c r="G1863" i="1"/>
  <c r="G1243" i="1"/>
  <c r="G1510" i="1"/>
  <c r="G1728" i="1"/>
  <c r="G1914" i="1"/>
  <c r="G1042" i="1"/>
  <c r="G1519" i="1"/>
  <c r="G1256" i="1"/>
  <c r="G1952" i="1"/>
  <c r="G1592" i="1"/>
  <c r="G173" i="1"/>
  <c r="G1820" i="1"/>
  <c r="G525" i="1"/>
  <c r="G1777" i="1"/>
  <c r="G79" i="1"/>
  <c r="G759" i="1"/>
  <c r="G334" i="1"/>
  <c r="G305" i="1"/>
  <c r="G901" i="1"/>
  <c r="G1693" i="1"/>
  <c r="G1150" i="1"/>
  <c r="G1759" i="1"/>
  <c r="G1408" i="1"/>
  <c r="G1138" i="1"/>
  <c r="G1808" i="1"/>
  <c r="G1374" i="1"/>
  <c r="G264" i="1"/>
  <c r="G496" i="1"/>
  <c r="G752" i="1"/>
  <c r="G195" i="1"/>
  <c r="G663" i="1"/>
  <c r="G66" i="1"/>
  <c r="G750" i="1"/>
  <c r="G769" i="1"/>
  <c r="G645" i="1"/>
  <c r="G1297" i="1"/>
  <c r="G285" i="1"/>
  <c r="G984" i="1"/>
  <c r="G1911" i="1"/>
  <c r="G1531" i="1"/>
  <c r="G1850" i="1"/>
  <c r="G1106" i="1"/>
  <c r="G1683" i="1"/>
  <c r="G1917" i="1"/>
  <c r="G269" i="1"/>
  <c r="G1849" i="1"/>
  <c r="G1319" i="1"/>
  <c r="G1903" i="1"/>
  <c r="G1430" i="1"/>
  <c r="G1978" i="1"/>
  <c r="G493" i="1"/>
  <c r="G1635" i="1"/>
  <c r="G1956" i="1"/>
  <c r="G1825" i="1"/>
  <c r="G591" i="1"/>
  <c r="G964" i="1"/>
  <c r="G1428" i="1"/>
  <c r="G1275" i="1"/>
  <c r="G873" i="1"/>
  <c r="G1731" i="1"/>
  <c r="G729" i="1"/>
  <c r="G1927" i="1"/>
  <c r="G1007" i="1"/>
  <c r="G1198" i="1"/>
  <c r="G1616" i="1"/>
  <c r="G761" i="1"/>
  <c r="G1342" i="1"/>
  <c r="G1143" i="1"/>
  <c r="G1672" i="1"/>
  <c r="G1095" i="1"/>
  <c r="G1501" i="1"/>
  <c r="G1182" i="1"/>
  <c r="G1660" i="1"/>
  <c r="G1967" i="1"/>
  <c r="G1520" i="1"/>
  <c r="G441" i="1"/>
  <c r="G1299" i="1"/>
  <c r="G1837" i="1"/>
  <c r="G777" i="1"/>
  <c r="G8" i="1"/>
  <c r="G375" i="1"/>
  <c r="G129" i="1"/>
  <c r="G1309" i="1"/>
  <c r="G1554" i="1"/>
  <c r="G1384" i="1"/>
  <c r="G308" i="1"/>
  <c r="G316" i="1"/>
  <c r="G700" i="1"/>
  <c r="G251" i="1"/>
  <c r="G571" i="1"/>
  <c r="G955" i="1"/>
  <c r="G250" i="1"/>
  <c r="G570" i="1"/>
  <c r="G954" i="1"/>
  <c r="G884" i="1"/>
  <c r="G277" i="1"/>
  <c r="G1161" i="1"/>
  <c r="G1481" i="1"/>
  <c r="G573" i="1"/>
  <c r="G416" i="1"/>
  <c r="G71" i="1"/>
  <c r="G499" i="1"/>
  <c r="G1011" i="1"/>
  <c r="G414" i="1"/>
  <c r="G838" i="1"/>
  <c r="G1032" i="1"/>
  <c r="G893" i="1"/>
  <c r="G1389" i="1"/>
  <c r="G784" i="1"/>
  <c r="G457" i="1"/>
  <c r="G1378" i="1"/>
  <c r="G1851" i="1"/>
  <c r="G1227" i="1"/>
  <c r="G1670" i="1"/>
  <c r="G960" i="1"/>
  <c r="G1183" i="1"/>
  <c r="G1358" i="1"/>
  <c r="G1796" i="1"/>
  <c r="G532" i="1"/>
  <c r="G191" i="1"/>
  <c r="G703" i="1"/>
  <c r="G102" i="1"/>
  <c r="G530" i="1"/>
  <c r="G65" i="1"/>
  <c r="G1152" i="1"/>
  <c r="G1077" i="1"/>
  <c r="G1377" i="1"/>
  <c r="G1589" i="1"/>
  <c r="G605" i="1"/>
  <c r="G1396" i="1"/>
  <c r="G137" i="1"/>
  <c r="G1062" i="1"/>
  <c r="G1367" i="1"/>
  <c r="G1580" i="1"/>
  <c r="G1779" i="1"/>
  <c r="G1971" i="1"/>
  <c r="G1155" i="1"/>
  <c r="G1392" i="1"/>
  <c r="G1659" i="1"/>
  <c r="G1846" i="1"/>
  <c r="G89" i="1"/>
  <c r="G1024" i="1"/>
  <c r="G1380" i="1"/>
  <c r="G1636" i="1"/>
  <c r="G1119" i="1"/>
  <c r="G1576" i="1"/>
  <c r="G1848" i="1"/>
  <c r="G589" i="1"/>
  <c r="G1400" i="1"/>
  <c r="G1781" i="1"/>
  <c r="G1973" i="1"/>
  <c r="G1224" i="1"/>
  <c r="G1651" i="1"/>
  <c r="G1908" i="1"/>
  <c r="G969" i="1"/>
  <c r="G1496" i="1"/>
  <c r="G1841" i="1"/>
  <c r="G2001" i="1"/>
  <c r="G248" i="1"/>
  <c r="G528" i="1"/>
  <c r="G740" i="1"/>
  <c r="G183" i="1"/>
  <c r="G439" i="1"/>
  <c r="G655" i="1"/>
  <c r="G867" i="1"/>
  <c r="G98" i="1"/>
  <c r="G310" i="1"/>
  <c r="G526" i="1"/>
  <c r="G782" i="1"/>
  <c r="G994" i="1"/>
  <c r="G721" i="1"/>
  <c r="G1144" i="1"/>
  <c r="G613" i="1"/>
  <c r="G1073" i="1"/>
  <c r="G1329" i="1"/>
  <c r="G1585" i="1"/>
  <c r="G541" i="1"/>
  <c r="G1386" i="1"/>
  <c r="G1276" i="1"/>
  <c r="G1696" i="1"/>
  <c r="G1454" i="1"/>
  <c r="G1769" i="1"/>
  <c r="G548" i="1"/>
  <c r="G547" i="1"/>
  <c r="G118" i="1"/>
  <c r="G718" i="1"/>
  <c r="G1080" i="1"/>
  <c r="G1137" i="1"/>
  <c r="G1649" i="1"/>
  <c r="G489" i="1"/>
  <c r="G1596" i="1"/>
  <c r="G1043" i="1"/>
  <c r="G1790" i="1"/>
  <c r="G1498" i="1"/>
  <c r="G1207" i="1"/>
  <c r="G1980" i="1"/>
  <c r="G40" i="1"/>
  <c r="G344" i="1"/>
  <c r="G600" i="1"/>
  <c r="G47" i="1"/>
  <c r="G259" i="1"/>
  <c r="G515" i="1"/>
  <c r="G727" i="1"/>
  <c r="G943" i="1"/>
  <c r="G174" i="1"/>
  <c r="G386" i="1"/>
  <c r="G598" i="1"/>
  <c r="G854" i="1"/>
  <c r="G177" i="1"/>
  <c r="G900" i="1"/>
  <c r="G53" i="1"/>
  <c r="G837" i="1"/>
  <c r="G1149" i="1"/>
  <c r="G1405" i="1"/>
  <c r="G1617" i="1"/>
  <c r="G1334" i="1"/>
  <c r="G1450" i="1"/>
  <c r="G297" i="1"/>
  <c r="G1102" i="1"/>
  <c r="G1394" i="1"/>
  <c r="G1607" i="1"/>
  <c r="G1799" i="1"/>
  <c r="G1991" i="1"/>
  <c r="G1195" i="1"/>
  <c r="G1419" i="1"/>
  <c r="G1686" i="1"/>
  <c r="G1870" i="1"/>
  <c r="G633" i="1"/>
  <c r="G1434" i="1"/>
  <c r="G1017" i="1"/>
  <c r="G1824" i="1"/>
  <c r="G1422" i="1"/>
  <c r="G1949" i="1"/>
  <c r="G1587" i="1"/>
  <c r="G1988" i="1"/>
  <c r="G1646" i="1"/>
  <c r="G592" i="1"/>
  <c r="G631" i="1"/>
  <c r="G206" i="1"/>
  <c r="G886" i="1"/>
  <c r="G517" i="1"/>
  <c r="G1521" i="1"/>
  <c r="G233" i="1"/>
  <c r="G1639" i="1"/>
  <c r="G1232" i="1"/>
  <c r="G1954" i="1"/>
  <c r="G1555" i="1"/>
  <c r="G1997" i="1"/>
  <c r="G1283" i="1"/>
  <c r="G200" i="1"/>
  <c r="G452" i="1"/>
  <c r="G664" i="1"/>
  <c r="G151" i="1"/>
  <c r="G367" i="1"/>
  <c r="G579" i="1"/>
  <c r="G835" i="1"/>
  <c r="G22" i="1"/>
  <c r="G238" i="1"/>
  <c r="G494" i="1"/>
  <c r="G706" i="1"/>
  <c r="G918" i="1"/>
  <c r="G593" i="1"/>
  <c r="G1072" i="1"/>
  <c r="G309" i="1"/>
  <c r="G1041" i="1"/>
  <c r="G1253" i="1"/>
  <c r="G1469" i="1"/>
  <c r="G1725" i="1"/>
  <c r="G1098" i="1"/>
  <c r="G1578" i="1"/>
  <c r="G856" i="1"/>
  <c r="G1244" i="1"/>
  <c r="G1458" i="1"/>
  <c r="G1714" i="1"/>
  <c r="G1879" i="1"/>
  <c r="G881" i="1"/>
  <c r="G1307" i="1"/>
  <c r="G1483" i="1"/>
  <c r="G1664" i="1"/>
  <c r="G1814" i="1"/>
  <c r="G1990" i="1"/>
  <c r="G928" i="1"/>
  <c r="G1391" i="1"/>
  <c r="G1732" i="1"/>
  <c r="G1512" i="1"/>
  <c r="G1920" i="1"/>
  <c r="G1336" i="1"/>
  <c r="G1853" i="1"/>
  <c r="G1135" i="1"/>
  <c r="G1788" i="1"/>
  <c r="G1964" i="1"/>
  <c r="G1262" i="1"/>
  <c r="G1710" i="1"/>
  <c r="G1889" i="1"/>
  <c r="G1471" i="1"/>
  <c r="G824" i="1"/>
  <c r="G1234" i="1"/>
  <c r="G1490" i="1"/>
  <c r="G1703" i="1"/>
  <c r="G1871" i="1"/>
  <c r="G1999" i="1"/>
  <c r="G1211" i="1"/>
  <c r="G1387" i="1"/>
  <c r="G1563" i="1"/>
  <c r="G1774" i="1"/>
  <c r="G1926" i="1"/>
  <c r="G697" i="1"/>
  <c r="G1370" i="1"/>
  <c r="G1711" i="1"/>
  <c r="G1470" i="1"/>
  <c r="G1904" i="1"/>
  <c r="G1464" i="1"/>
  <c r="G1965" i="1"/>
  <c r="G1459" i="1"/>
  <c r="G1916" i="1"/>
  <c r="G1219" i="1"/>
  <c r="G1905" i="1"/>
  <c r="G1929" i="1"/>
  <c r="G216" i="1"/>
  <c r="G760" i="1"/>
  <c r="G503" i="1"/>
  <c r="G34" i="1"/>
  <c r="G546" i="1"/>
  <c r="G641" i="1"/>
  <c r="G821" i="1"/>
  <c r="G1437" i="1"/>
  <c r="G1146" i="1"/>
  <c r="G1086" i="1"/>
  <c r="G1682" i="1"/>
  <c r="G1107" i="1"/>
  <c r="G1627" i="1"/>
  <c r="G992" i="1"/>
  <c r="G1872" i="1"/>
  <c r="G857" i="1"/>
  <c r="G1390" i="1"/>
  <c r="G244" i="1"/>
  <c r="G252" i="1"/>
  <c r="G572" i="1"/>
  <c r="G187" i="1"/>
  <c r="G507" i="1"/>
  <c r="G827" i="1"/>
  <c r="G186" i="1"/>
  <c r="G506" i="1"/>
  <c r="G826" i="1"/>
  <c r="G737" i="1"/>
  <c r="G21" i="1"/>
  <c r="G1033" i="1"/>
  <c r="G1417" i="1"/>
  <c r="G29" i="1"/>
  <c r="G208" i="1"/>
  <c r="G756" i="1"/>
  <c r="G415" i="1"/>
  <c r="G839" i="1"/>
  <c r="G326" i="1"/>
  <c r="G754" i="1"/>
  <c r="G625" i="1"/>
  <c r="G677" i="1"/>
  <c r="G1301" i="1"/>
  <c r="G1729" i="1"/>
  <c r="G1753" i="1"/>
  <c r="G1292" i="1"/>
  <c r="G1719" i="1"/>
  <c r="G1099" i="1"/>
  <c r="G1579" i="1"/>
  <c r="G1998" i="1"/>
  <c r="G1741" i="1"/>
  <c r="G809" i="1"/>
  <c r="G1167" i="1"/>
  <c r="G448" i="1"/>
  <c r="G103" i="1"/>
  <c r="G531" i="1"/>
  <c r="G18" i="1"/>
  <c r="G446" i="1"/>
  <c r="G870" i="1"/>
  <c r="G1064" i="1"/>
  <c r="G957" i="1"/>
  <c r="G1293" i="1"/>
  <c r="G1549" i="1"/>
  <c r="G253" i="1"/>
  <c r="G1220" i="1"/>
  <c r="G1737" i="1"/>
  <c r="G968" i="1"/>
  <c r="G1282" i="1"/>
  <c r="G1538" i="1"/>
  <c r="G1747" i="1"/>
  <c r="G1907" i="1"/>
  <c r="G1083" i="1"/>
  <c r="G1350" i="1"/>
  <c r="G1568" i="1"/>
  <c r="G1810" i="1"/>
  <c r="G1986" i="1"/>
  <c r="G1594" i="1"/>
  <c r="G621" i="1"/>
  <c r="G1491" i="1"/>
  <c r="G1816" i="1"/>
  <c r="G1976" i="1"/>
  <c r="G1315" i="1"/>
  <c r="G1740" i="1"/>
  <c r="G1909" i="1"/>
  <c r="G1103" i="1"/>
  <c r="G1566" i="1"/>
  <c r="G1844" i="1"/>
  <c r="G653" i="1"/>
  <c r="G1411" i="1"/>
  <c r="G1865" i="1"/>
  <c r="G1945" i="1"/>
  <c r="G184" i="1"/>
  <c r="G440" i="1"/>
  <c r="G696" i="1"/>
  <c r="G143" i="1"/>
  <c r="G355" i="1"/>
  <c r="G611" i="1"/>
  <c r="G823" i="1"/>
  <c r="G14" i="1"/>
  <c r="G270" i="1"/>
  <c r="G482" i="1"/>
  <c r="G694" i="1"/>
  <c r="G950" i="1"/>
  <c r="G561" i="1"/>
  <c r="G1060" i="1"/>
  <c r="G437" i="1"/>
  <c r="G1029" i="1"/>
  <c r="G1245" i="1"/>
  <c r="G1541" i="1"/>
  <c r="G221" i="1"/>
  <c r="G1210" i="1"/>
  <c r="G1054" i="1"/>
  <c r="G993" i="1"/>
  <c r="G1868" i="1"/>
  <c r="G1809" i="1"/>
  <c r="G420" i="1"/>
  <c r="G291" i="1"/>
  <c r="G1015" i="1"/>
  <c r="G590" i="1"/>
  <c r="G465" i="1"/>
  <c r="G989" i="1"/>
  <c r="G1565" i="1"/>
  <c r="G1514" i="1"/>
  <c r="G1468" i="1"/>
  <c r="G1983" i="1"/>
  <c r="G1584" i="1"/>
  <c r="G1247" i="1"/>
  <c r="G1936" i="1"/>
  <c r="G1544" i="1"/>
  <c r="G1881" i="1"/>
  <c r="G296" i="1"/>
  <c r="G516" i="1"/>
  <c r="G772" i="1"/>
  <c r="G215" i="1"/>
  <c r="G431" i="1"/>
  <c r="G687" i="1"/>
  <c r="G899" i="1"/>
  <c r="G86" i="1"/>
  <c r="G342" i="1"/>
  <c r="G558" i="1"/>
  <c r="G770" i="1"/>
  <c r="G1026" i="1"/>
  <c r="G812" i="1"/>
  <c r="G1136" i="1"/>
  <c r="G741" i="1"/>
  <c r="G1105" i="1"/>
  <c r="G1317" i="1"/>
  <c r="G1573" i="1"/>
  <c r="G477" i="1"/>
  <c r="G1274" i="1"/>
  <c r="G41" i="1"/>
  <c r="G1038" i="1"/>
  <c r="G1308" i="1"/>
  <c r="G1564" i="1"/>
  <c r="G1767" i="1"/>
  <c r="G1123" i="1"/>
  <c r="G1595" i="1"/>
  <c r="G1834" i="1"/>
  <c r="G377" i="1"/>
  <c r="G1268" i="1"/>
  <c r="G237" i="1"/>
  <c r="G1760" i="1"/>
  <c r="G1001" i="1"/>
  <c r="G1885" i="1"/>
  <c r="G1416" i="1"/>
  <c r="G1900" i="1"/>
  <c r="G1432" i="1"/>
  <c r="G464" i="1"/>
  <c r="G335" i="1"/>
  <c r="G78" i="1"/>
  <c r="G758" i="1"/>
  <c r="G1040" i="1"/>
  <c r="G1393" i="1"/>
  <c r="G1599" i="1"/>
  <c r="G1383" i="1"/>
  <c r="G913" i="1"/>
  <c r="G1822" i="1"/>
  <c r="G1583" i="1"/>
  <c r="G1805" i="1"/>
  <c r="G397" i="1"/>
  <c r="G72" i="1"/>
  <c r="G408" i="1"/>
  <c r="G624" i="1"/>
  <c r="G67" i="1"/>
  <c r="G323" i="1"/>
  <c r="G535" i="1"/>
  <c r="G751" i="1"/>
  <c r="G194" i="1"/>
  <c r="G406" i="1"/>
  <c r="G662" i="1"/>
  <c r="G257" i="1"/>
  <c r="G1028" i="1"/>
  <c r="G133" i="1"/>
  <c r="G885" i="1"/>
  <c r="G1213" i="1"/>
  <c r="G1425" i="1"/>
  <c r="G1637" i="1"/>
  <c r="G1994" i="1"/>
  <c r="G1492" i="1"/>
  <c r="G425" i="1"/>
  <c r="G1415" i="1"/>
  <c r="G1628" i="1"/>
  <c r="G1847" i="1"/>
  <c r="G669" i="1"/>
  <c r="G1440" i="1"/>
  <c r="G1782" i="1"/>
  <c r="G1942" i="1"/>
  <c r="G1306" i="1"/>
  <c r="G1856" i="1"/>
  <c r="G685" i="1"/>
  <c r="G1969" i="1"/>
  <c r="G1447" i="1"/>
  <c r="G1147" i="1"/>
  <c r="G1738" i="1"/>
  <c r="G1290" i="1"/>
  <c r="G1840" i="1"/>
  <c r="G1828" i="1"/>
  <c r="G1539" i="1"/>
  <c r="G887" i="1"/>
  <c r="G181" i="1"/>
  <c r="G745" i="1"/>
  <c r="G1494" i="1"/>
  <c r="G1869" i="1"/>
  <c r="G1937" i="1"/>
  <c r="H4" i="4" a="1"/>
  <c r="H18" i="4" s="1"/>
  <c r="E9" i="4"/>
  <c r="E11" i="4"/>
  <c r="E13" i="4"/>
  <c r="E15" i="4"/>
  <c r="E17" i="4"/>
  <c r="E19" i="4"/>
  <c r="E21" i="4"/>
  <c r="E23" i="4"/>
  <c r="E25" i="4"/>
  <c r="E27" i="4"/>
  <c r="E7" i="4"/>
  <c r="F7" i="4" s="1"/>
  <c r="E8" i="4"/>
  <c r="E10" i="4"/>
  <c r="E12" i="4"/>
  <c r="E14" i="4"/>
  <c r="E16" i="4"/>
  <c r="E18" i="4"/>
  <c r="E20" i="4"/>
  <c r="E22" i="4"/>
  <c r="E24" i="4"/>
  <c r="E26" i="4"/>
  <c r="G1" i="1" l="1"/>
  <c r="H6" i="4"/>
  <c r="H19" i="4"/>
  <c r="H25" i="4"/>
  <c r="H22" i="4"/>
  <c r="H21" i="4"/>
  <c r="H4" i="4"/>
  <c r="H8" i="4"/>
  <c r="H7" i="4"/>
  <c r="H12" i="4"/>
  <c r="H26" i="4"/>
  <c r="H10" i="4"/>
  <c r="H23" i="4"/>
  <c r="H16" i="4"/>
  <c r="H27" i="4"/>
  <c r="H11" i="4"/>
  <c r="H20" i="4"/>
  <c r="H9" i="4"/>
  <c r="H14" i="4"/>
  <c r="H24" i="4"/>
  <c r="H17" i="4"/>
  <c r="H15" i="4"/>
  <c r="H5" i="4"/>
  <c r="H13" i="4"/>
  <c r="K18" i="4"/>
  <c r="K27" i="4"/>
  <c r="K11" i="4"/>
  <c r="K16" i="4"/>
  <c r="K25" i="4"/>
  <c r="K9" i="4"/>
  <c r="K15" i="4"/>
  <c r="K4" i="4"/>
  <c r="K22" i="4"/>
  <c r="K6" i="4"/>
  <c r="K20" i="4"/>
  <c r="K13" i="4"/>
  <c r="K26" i="4"/>
  <c r="K10" i="4"/>
  <c r="K19" i="4"/>
  <c r="K24" i="4"/>
  <c r="K8" i="4"/>
  <c r="K17" i="4"/>
  <c r="K5" i="4"/>
  <c r="K14" i="4"/>
  <c r="K23" i="4"/>
  <c r="K7" i="4"/>
  <c r="K12" i="4"/>
  <c r="K21" i="4"/>
  <c r="H6" i="1" a="1"/>
  <c r="N4" i="4" l="1" a="1"/>
  <c r="N26" i="4" s="1"/>
  <c r="H68" i="1"/>
  <c r="H132" i="1"/>
  <c r="H196" i="1"/>
  <c r="H260" i="1"/>
  <c r="H324" i="1"/>
  <c r="H388" i="1"/>
  <c r="H452" i="1"/>
  <c r="H516" i="1"/>
  <c r="H580" i="1"/>
  <c r="H644" i="1"/>
  <c r="H708" i="1"/>
  <c r="H67" i="1"/>
  <c r="H131" i="1"/>
  <c r="H195" i="1"/>
  <c r="H259" i="1"/>
  <c r="H323" i="1"/>
  <c r="H387" i="1"/>
  <c r="H451" i="1"/>
  <c r="H515" i="1"/>
  <c r="H579" i="1"/>
  <c r="H643" i="1"/>
  <c r="H707" i="1"/>
  <c r="H771" i="1"/>
  <c r="H835" i="1"/>
  <c r="H899" i="1"/>
  <c r="H963" i="1"/>
  <c r="H1027" i="1"/>
  <c r="H69" i="1"/>
  <c r="H133" i="1"/>
  <c r="H197" i="1"/>
  <c r="H261" i="1"/>
  <c r="H325" i="1"/>
  <c r="H389" i="1"/>
  <c r="H453" i="1"/>
  <c r="H517" i="1"/>
  <c r="H581" i="1"/>
  <c r="H645" i="1"/>
  <c r="H98" i="1"/>
  <c r="H354" i="1"/>
  <c r="H610" i="1"/>
  <c r="H754" i="1"/>
  <c r="H840" i="1"/>
  <c r="H925" i="1"/>
  <c r="H1010" i="1"/>
  <c r="H1079" i="1"/>
  <c r="H1143" i="1"/>
  <c r="H1207" i="1"/>
  <c r="H1271" i="1"/>
  <c r="H1335" i="1"/>
  <c r="H1399" i="1"/>
  <c r="H1463" i="1"/>
  <c r="H30" i="1"/>
  <c r="H286" i="1"/>
  <c r="H542" i="1"/>
  <c r="H732" i="1"/>
  <c r="H817" i="1"/>
  <c r="H902" i="1"/>
  <c r="H988" i="1"/>
  <c r="H1062" i="1"/>
  <c r="H1126" i="1"/>
  <c r="H1190" i="1"/>
  <c r="H1254" i="1"/>
  <c r="H1318" i="1"/>
  <c r="H1382" i="1"/>
  <c r="H64" i="1"/>
  <c r="H128" i="1"/>
  <c r="H192" i="1"/>
  <c r="H256" i="1"/>
  <c r="H320" i="1"/>
  <c r="H384" i="1"/>
  <c r="H448" i="1"/>
  <c r="H512" i="1"/>
  <c r="H576" i="1"/>
  <c r="H640" i="1"/>
  <c r="H704" i="1"/>
  <c r="H63" i="1"/>
  <c r="H127" i="1"/>
  <c r="H191" i="1"/>
  <c r="H255" i="1"/>
  <c r="H319" i="1"/>
  <c r="H383" i="1"/>
  <c r="H447" i="1"/>
  <c r="H511" i="1"/>
  <c r="H575" i="1"/>
  <c r="H639" i="1"/>
  <c r="H703" i="1"/>
  <c r="H767" i="1"/>
  <c r="H831" i="1"/>
  <c r="H895" i="1"/>
  <c r="H959" i="1"/>
  <c r="H1023" i="1"/>
  <c r="H65" i="1"/>
  <c r="H129" i="1"/>
  <c r="H193" i="1"/>
  <c r="H257" i="1"/>
  <c r="H321" i="1"/>
  <c r="H385" i="1"/>
  <c r="H449" i="1"/>
  <c r="H513" i="1"/>
  <c r="H577" i="1"/>
  <c r="H641" i="1"/>
  <c r="H82" i="1"/>
  <c r="H338" i="1"/>
  <c r="H594" i="1"/>
  <c r="H749" i="1"/>
  <c r="H834" i="1"/>
  <c r="H920" i="1"/>
  <c r="H1005" i="1"/>
  <c r="H1075" i="1"/>
  <c r="H1139" i="1"/>
  <c r="H1203" i="1"/>
  <c r="H1267" i="1"/>
  <c r="H1331" i="1"/>
  <c r="H1395" i="1"/>
  <c r="H1459" i="1"/>
  <c r="H14" i="1"/>
  <c r="H270" i="1"/>
  <c r="H526" i="1"/>
  <c r="H726" i="1"/>
  <c r="H812" i="1"/>
  <c r="H897" i="1"/>
  <c r="H982" i="1"/>
  <c r="H1058" i="1"/>
  <c r="H1122" i="1"/>
  <c r="H1186" i="1"/>
  <c r="H1250" i="1"/>
  <c r="H1314" i="1"/>
  <c r="H1378" i="1"/>
  <c r="H56" i="1"/>
  <c r="H120" i="1"/>
  <c r="H184" i="1"/>
  <c r="H248" i="1"/>
  <c r="H312" i="1"/>
  <c r="H376" i="1"/>
  <c r="H440" i="1"/>
  <c r="H504" i="1"/>
  <c r="H568" i="1"/>
  <c r="H632" i="1"/>
  <c r="H696" i="1"/>
  <c r="H55" i="1"/>
  <c r="H119" i="1"/>
  <c r="H183" i="1"/>
  <c r="H247" i="1"/>
  <c r="H311" i="1"/>
  <c r="H375" i="1"/>
  <c r="H439" i="1"/>
  <c r="H503" i="1"/>
  <c r="H567" i="1"/>
  <c r="H631" i="1"/>
  <c r="H695" i="1"/>
  <c r="H759" i="1"/>
  <c r="H823" i="1"/>
  <c r="H887" i="1"/>
  <c r="H951" i="1"/>
  <c r="H1015" i="1"/>
  <c r="H57" i="1"/>
  <c r="H121" i="1"/>
  <c r="H185" i="1"/>
  <c r="H249" i="1"/>
  <c r="H313" i="1"/>
  <c r="H377" i="1"/>
  <c r="H441" i="1"/>
  <c r="H505" i="1"/>
  <c r="H569" i="1"/>
  <c r="H633" i="1"/>
  <c r="H50" i="1"/>
  <c r="H306" i="1"/>
  <c r="H562" i="1"/>
  <c r="H738" i="1"/>
  <c r="H824" i="1"/>
  <c r="H909" i="1"/>
  <c r="H994" i="1"/>
  <c r="H1067" i="1"/>
  <c r="H1131" i="1"/>
  <c r="H1195" i="1"/>
  <c r="H1259" i="1"/>
  <c r="H1323" i="1"/>
  <c r="H1387" i="1"/>
  <c r="H1451" i="1"/>
  <c r="H1515" i="1"/>
  <c r="H238" i="1"/>
  <c r="H494" i="1"/>
  <c r="H716" i="1"/>
  <c r="H801" i="1"/>
  <c r="H886" i="1"/>
  <c r="H972" i="1"/>
  <c r="H1050" i="1"/>
  <c r="H1114" i="1"/>
  <c r="H1178" i="1"/>
  <c r="H1242" i="1"/>
  <c r="H1306" i="1"/>
  <c r="H1370" i="1"/>
  <c r="H252" i="1"/>
  <c r="H508" i="1"/>
  <c r="H59" i="1"/>
  <c r="H315" i="1"/>
  <c r="H571" i="1"/>
  <c r="H827" i="1"/>
  <c r="H61" i="1"/>
  <c r="H317" i="1"/>
  <c r="H573" i="1"/>
  <c r="H578" i="1"/>
  <c r="H1000" i="1"/>
  <c r="H1263" i="1"/>
  <c r="H1519" i="1"/>
  <c r="H806" i="1"/>
  <c r="H1118" i="1"/>
  <c r="H1374" i="1"/>
  <c r="H220" i="1"/>
  <c r="H476" i="1"/>
  <c r="H27" i="1"/>
  <c r="H283" i="1"/>
  <c r="H539" i="1"/>
  <c r="H795" i="1"/>
  <c r="H29" i="1"/>
  <c r="H285" i="1"/>
  <c r="H541" i="1"/>
  <c r="H450" i="1"/>
  <c r="H957" i="1"/>
  <c r="H1231" i="1"/>
  <c r="H1487" i="1"/>
  <c r="H764" i="1"/>
  <c r="H1086" i="1"/>
  <c r="H1342" i="1"/>
  <c r="H1438" i="1"/>
  <c r="H1502" i="1"/>
  <c r="H150" i="1"/>
  <c r="H406" i="1"/>
  <c r="H662" i="1"/>
  <c r="H772" i="1"/>
  <c r="H857" i="1"/>
  <c r="H942" i="1"/>
  <c r="H1028" i="1"/>
  <c r="H1092" i="1"/>
  <c r="H1156" i="1"/>
  <c r="H1220" i="1"/>
  <c r="H1284" i="1"/>
  <c r="H1348" i="1"/>
  <c r="H1412" i="1"/>
  <c r="H1476" i="1"/>
  <c r="H1540" i="1"/>
  <c r="H1604" i="1"/>
  <c r="H634" i="1"/>
  <c r="H1018" i="1"/>
  <c r="H1277" i="1"/>
  <c r="H1527" i="1"/>
  <c r="H1613" i="1"/>
  <c r="H1681" i="1"/>
  <c r="H1745" i="1"/>
  <c r="H1809" i="1"/>
  <c r="H1873" i="1"/>
  <c r="H1937" i="1"/>
  <c r="H2001" i="1"/>
  <c r="H1365" i="1"/>
  <c r="H1703" i="1"/>
  <c r="H1879" i="1"/>
  <c r="H362" i="1"/>
  <c r="H928" i="1"/>
  <c r="H1209" i="1"/>
  <c r="H1465" i="1"/>
  <c r="H1590" i="1"/>
  <c r="H1664" i="1"/>
  <c r="H1728" i="1"/>
  <c r="H1792" i="1"/>
  <c r="H1856" i="1"/>
  <c r="H1920" i="1"/>
  <c r="H1984" i="1"/>
  <c r="H1157" i="1"/>
  <c r="H1643" i="1"/>
  <c r="H1839" i="1"/>
  <c r="H202" i="1"/>
  <c r="H874" i="1"/>
  <c r="H492" i="1"/>
  <c r="H299" i="1"/>
  <c r="H811" i="1"/>
  <c r="H301" i="1"/>
  <c r="H514" i="1"/>
  <c r="H1247" i="1"/>
  <c r="H785" i="1"/>
  <c r="H1358" i="1"/>
  <c r="H1466" i="1"/>
  <c r="H102" i="1"/>
  <c r="H438" i="1"/>
  <c r="H724" i="1"/>
  <c r="H841" i="1"/>
  <c r="H953" i="1"/>
  <c r="H1056" i="1"/>
  <c r="H1144" i="1"/>
  <c r="H1228" i="1"/>
  <c r="H1312" i="1"/>
  <c r="H1400" i="1"/>
  <c r="H1484" i="1"/>
  <c r="H1568" i="1"/>
  <c r="H442" i="1"/>
  <c r="H1053" i="1"/>
  <c r="H1389" i="1"/>
  <c r="H1597" i="1"/>
  <c r="H1689" i="1"/>
  <c r="H1773" i="1"/>
  <c r="H1861" i="1"/>
  <c r="H1945" i="1"/>
  <c r="H901" i="1"/>
  <c r="H1663" i="1"/>
  <c r="H1903" i="1"/>
  <c r="H736" i="1"/>
  <c r="H1161" i="1"/>
  <c r="H1497" i="1"/>
  <c r="H1627" i="1"/>
  <c r="H1716" i="1"/>
  <c r="H1800" i="1"/>
  <c r="H1884" i="1"/>
  <c r="H1972" i="1"/>
  <c r="H1253" i="1"/>
  <c r="H1723" i="1"/>
  <c r="H10" i="1"/>
  <c r="H917" i="1"/>
  <c r="H1201" i="1"/>
  <c r="H1457" i="1"/>
  <c r="H1587" i="1"/>
  <c r="H1662" i="1"/>
  <c r="H1726" i="1"/>
  <c r="H1790" i="1"/>
  <c r="H1854" i="1"/>
  <c r="H1918" i="1"/>
  <c r="H1982" i="1"/>
  <c r="H1141" i="1"/>
  <c r="H1659" i="1"/>
  <c r="H1851" i="1"/>
  <c r="H44" i="1"/>
  <c r="H556" i="1"/>
  <c r="H363" i="1"/>
  <c r="H875" i="1"/>
  <c r="H365" i="1"/>
  <c r="H722" i="1"/>
  <c r="H1311" i="1"/>
  <c r="H870" i="1"/>
  <c r="H1394" i="1"/>
  <c r="H1478" i="1"/>
  <c r="H134" i="1"/>
  <c r="H486" i="1"/>
  <c r="H740" i="1"/>
  <c r="H852" i="1"/>
  <c r="H969" i="1"/>
  <c r="H1068" i="1"/>
  <c r="H1152" i="1"/>
  <c r="H1240" i="1"/>
  <c r="H1324" i="1"/>
  <c r="H1408" i="1"/>
  <c r="H1496" i="1"/>
  <c r="H1580" i="1"/>
  <c r="H570" i="1"/>
  <c r="H1101" i="1"/>
  <c r="H1437" i="1"/>
  <c r="H1607" i="1"/>
  <c r="H1701" i="1"/>
  <c r="H1785" i="1"/>
  <c r="H1869" i="1"/>
  <c r="H1957" i="1"/>
  <c r="H1077" i="1"/>
  <c r="H1687" i="1"/>
  <c r="H1935" i="1"/>
  <c r="H800" i="1"/>
  <c r="H1193" i="1"/>
  <c r="H1531" i="1"/>
  <c r="H52" i="1"/>
  <c r="H116" i="1"/>
  <c r="H180" i="1"/>
  <c r="H244" i="1"/>
  <c r="H308" i="1"/>
  <c r="H372" i="1"/>
  <c r="H436" i="1"/>
  <c r="H500" i="1"/>
  <c r="H564" i="1"/>
  <c r="H628" i="1"/>
  <c r="H692" i="1"/>
  <c r="H51" i="1"/>
  <c r="H115" i="1"/>
  <c r="H179" i="1"/>
  <c r="H243" i="1"/>
  <c r="H307" i="1"/>
  <c r="H371" i="1"/>
  <c r="H435" i="1"/>
  <c r="H499" i="1"/>
  <c r="H563" i="1"/>
  <c r="H627" i="1"/>
  <c r="H691" i="1"/>
  <c r="H755" i="1"/>
  <c r="H819" i="1"/>
  <c r="H883" i="1"/>
  <c r="H947" i="1"/>
  <c r="H1011" i="1"/>
  <c r="H53" i="1"/>
  <c r="H117" i="1"/>
  <c r="H181" i="1"/>
  <c r="H245" i="1"/>
  <c r="H309" i="1"/>
  <c r="H373" i="1"/>
  <c r="H437" i="1"/>
  <c r="H501" i="1"/>
  <c r="H565" i="1"/>
  <c r="H629" i="1"/>
  <c r="H34" i="1"/>
  <c r="H290" i="1"/>
  <c r="H546" i="1"/>
  <c r="H733" i="1"/>
  <c r="H818" i="1"/>
  <c r="H904" i="1"/>
  <c r="H989" i="1"/>
  <c r="H1063" i="1"/>
  <c r="H1127" i="1"/>
  <c r="H1191" i="1"/>
  <c r="H1255" i="1"/>
  <c r="H1319" i="1"/>
  <c r="H1383" i="1"/>
  <c r="H1447" i="1"/>
  <c r="H1511" i="1"/>
  <c r="H222" i="1"/>
  <c r="H478" i="1"/>
  <c r="H710" i="1"/>
  <c r="H796" i="1"/>
  <c r="H881" i="1"/>
  <c r="H966" i="1"/>
  <c r="H1046" i="1"/>
  <c r="H1110" i="1"/>
  <c r="H1174" i="1"/>
  <c r="H1238" i="1"/>
  <c r="H1302" i="1"/>
  <c r="H1366" i="1"/>
  <c r="H48" i="1"/>
  <c r="H112" i="1"/>
  <c r="H176" i="1"/>
  <c r="H240" i="1"/>
  <c r="H304" i="1"/>
  <c r="H368" i="1"/>
  <c r="H432" i="1"/>
  <c r="H496" i="1"/>
  <c r="H560" i="1"/>
  <c r="H624" i="1"/>
  <c r="H688" i="1"/>
  <c r="H47" i="1"/>
  <c r="H111" i="1"/>
  <c r="H175" i="1"/>
  <c r="H239" i="1"/>
  <c r="H303" i="1"/>
  <c r="H367" i="1"/>
  <c r="H431" i="1"/>
  <c r="H495" i="1"/>
  <c r="H559" i="1"/>
  <c r="H623" i="1"/>
  <c r="H687" i="1"/>
  <c r="H751" i="1"/>
  <c r="H815" i="1"/>
  <c r="H879" i="1"/>
  <c r="H943" i="1"/>
  <c r="H1007" i="1"/>
  <c r="H49" i="1"/>
  <c r="H113" i="1"/>
  <c r="H177" i="1"/>
  <c r="H241" i="1"/>
  <c r="H305" i="1"/>
  <c r="H369" i="1"/>
  <c r="H433" i="1"/>
  <c r="H497" i="1"/>
  <c r="H561" i="1"/>
  <c r="H625" i="1"/>
  <c r="H18" i="1"/>
  <c r="H274" i="1"/>
  <c r="H530" i="1"/>
  <c r="H728" i="1"/>
  <c r="H813" i="1"/>
  <c r="H898" i="1"/>
  <c r="H984" i="1"/>
  <c r="H1059" i="1"/>
  <c r="H1123" i="1"/>
  <c r="H1187" i="1"/>
  <c r="H1251" i="1"/>
  <c r="H1315" i="1"/>
  <c r="H1379" i="1"/>
  <c r="H1443" i="1"/>
  <c r="H1507" i="1"/>
  <c r="H206" i="1"/>
  <c r="H462" i="1"/>
  <c r="H702" i="1"/>
  <c r="H790" i="1"/>
  <c r="H876" i="1"/>
  <c r="H961" i="1"/>
  <c r="H1042" i="1"/>
  <c r="H1106" i="1"/>
  <c r="H1170" i="1"/>
  <c r="H1234" i="1"/>
  <c r="H1298" i="1"/>
  <c r="H1362" i="1"/>
  <c r="H40" i="1"/>
  <c r="H104" i="1"/>
  <c r="H168" i="1"/>
  <c r="H232" i="1"/>
  <c r="H296" i="1"/>
  <c r="H360" i="1"/>
  <c r="H424" i="1"/>
  <c r="H488" i="1"/>
  <c r="H552" i="1"/>
  <c r="H616" i="1"/>
  <c r="H680" i="1"/>
  <c r="H39" i="1"/>
  <c r="H103" i="1"/>
  <c r="H167" i="1"/>
  <c r="H231" i="1"/>
  <c r="H295" i="1"/>
  <c r="H359" i="1"/>
  <c r="H423" i="1"/>
  <c r="H487" i="1"/>
  <c r="H551" i="1"/>
  <c r="H615" i="1"/>
  <c r="H679" i="1"/>
  <c r="H743" i="1"/>
  <c r="H807" i="1"/>
  <c r="H871" i="1"/>
  <c r="H935" i="1"/>
  <c r="H999" i="1"/>
  <c r="H41" i="1"/>
  <c r="H105" i="1"/>
  <c r="H169" i="1"/>
  <c r="H233" i="1"/>
  <c r="H297" i="1"/>
  <c r="H361" i="1"/>
  <c r="H425" i="1"/>
  <c r="H489" i="1"/>
  <c r="H553" i="1"/>
  <c r="H617" i="1"/>
  <c r="H681" i="1"/>
  <c r="H242" i="1"/>
  <c r="H498" i="1"/>
  <c r="H717" i="1"/>
  <c r="H802" i="1"/>
  <c r="H888" i="1"/>
  <c r="H973" i="1"/>
  <c r="H1051" i="1"/>
  <c r="H1115" i="1"/>
  <c r="H1179" i="1"/>
  <c r="H1243" i="1"/>
  <c r="H1307" i="1"/>
  <c r="H1371" i="1"/>
  <c r="H1435" i="1"/>
  <c r="H1499" i="1"/>
  <c r="H174" i="1"/>
  <c r="H430" i="1"/>
  <c r="H686" i="1"/>
  <c r="H780" i="1"/>
  <c r="H865" i="1"/>
  <c r="H950" i="1"/>
  <c r="H1034" i="1"/>
  <c r="H1098" i="1"/>
  <c r="H1162" i="1"/>
  <c r="H1226" i="1"/>
  <c r="H1290" i="1"/>
  <c r="H1354" i="1"/>
  <c r="H188" i="1"/>
  <c r="H444" i="1"/>
  <c r="H700" i="1"/>
  <c r="H251" i="1"/>
  <c r="H507" i="1"/>
  <c r="H763" i="1"/>
  <c r="H1019" i="1"/>
  <c r="H253" i="1"/>
  <c r="H509" i="1"/>
  <c r="H322" i="1"/>
  <c r="H914" i="1"/>
  <c r="H1199" i="1"/>
  <c r="H1455" i="1"/>
  <c r="H721" i="1"/>
  <c r="H1054" i="1"/>
  <c r="H1310" i="1"/>
  <c r="H156" i="1"/>
  <c r="H412" i="1"/>
  <c r="H668" i="1"/>
  <c r="H219" i="1"/>
  <c r="H475" i="1"/>
  <c r="H731" i="1"/>
  <c r="H987" i="1"/>
  <c r="H221" i="1"/>
  <c r="H477" i="1"/>
  <c r="H194" i="1"/>
  <c r="H872" i="1"/>
  <c r="H1167" i="1"/>
  <c r="H1423" i="1"/>
  <c r="H638" i="1"/>
  <c r="H1020" i="1"/>
  <c r="H1278" i="1"/>
  <c r="H1422" i="1"/>
  <c r="H1486" i="1"/>
  <c r="H86" i="1"/>
  <c r="H342" i="1"/>
  <c r="H598" i="1"/>
  <c r="H750" i="1"/>
  <c r="H836" i="1"/>
  <c r="H921" i="1"/>
  <c r="H1006" i="1"/>
  <c r="H1076" i="1"/>
  <c r="H1140" i="1"/>
  <c r="H1204" i="1"/>
  <c r="H1268" i="1"/>
  <c r="H1332" i="1"/>
  <c r="H1396" i="1"/>
  <c r="H1460" i="1"/>
  <c r="H1524" i="1"/>
  <c r="H1588" i="1"/>
  <c r="H378" i="1"/>
  <c r="H933" i="1"/>
  <c r="H1213" i="1"/>
  <c r="H1469" i="1"/>
  <c r="H1591" i="1"/>
  <c r="H1665" i="1"/>
  <c r="H1729" i="1"/>
  <c r="H1793" i="1"/>
  <c r="H1857" i="1"/>
  <c r="H1921" i="1"/>
  <c r="H1985" i="1"/>
  <c r="H1173" i="1"/>
  <c r="H1651" i="1"/>
  <c r="H36" i="1"/>
  <c r="H100" i="1"/>
  <c r="H164" i="1"/>
  <c r="H228" i="1"/>
  <c r="H292" i="1"/>
  <c r="H356" i="1"/>
  <c r="H420" i="1"/>
  <c r="H484" i="1"/>
  <c r="H548" i="1"/>
  <c r="H612" i="1"/>
  <c r="H676" i="1"/>
  <c r="H35" i="1"/>
  <c r="H99" i="1"/>
  <c r="H163" i="1"/>
  <c r="H227" i="1"/>
  <c r="H291" i="1"/>
  <c r="H355" i="1"/>
  <c r="H419" i="1"/>
  <c r="H483" i="1"/>
  <c r="H547" i="1"/>
  <c r="H611" i="1"/>
  <c r="H675" i="1"/>
  <c r="H739" i="1"/>
  <c r="H803" i="1"/>
  <c r="H867" i="1"/>
  <c r="H931" i="1"/>
  <c r="H995" i="1"/>
  <c r="H37" i="1"/>
  <c r="H101" i="1"/>
  <c r="H165" i="1"/>
  <c r="H229" i="1"/>
  <c r="H293" i="1"/>
  <c r="H357" i="1"/>
  <c r="H421" i="1"/>
  <c r="H485" i="1"/>
  <c r="H549" i="1"/>
  <c r="H613" i="1"/>
  <c r="H677" i="1"/>
  <c r="H226" i="1"/>
  <c r="H482" i="1"/>
  <c r="H712" i="1"/>
  <c r="H797" i="1"/>
  <c r="H882" i="1"/>
  <c r="H968" i="1"/>
  <c r="H1047" i="1"/>
  <c r="H1111" i="1"/>
  <c r="H1175" i="1"/>
  <c r="H1239" i="1"/>
  <c r="H1303" i="1"/>
  <c r="H1367" i="1"/>
  <c r="H1431" i="1"/>
  <c r="H1495" i="1"/>
  <c r="H158" i="1"/>
  <c r="H414" i="1"/>
  <c r="H670" i="1"/>
  <c r="H774" i="1"/>
  <c r="H860" i="1"/>
  <c r="H945" i="1"/>
  <c r="H1030" i="1"/>
  <c r="H1094" i="1"/>
  <c r="H1158" i="1"/>
  <c r="H1222" i="1"/>
  <c r="H1286" i="1"/>
  <c r="H1350" i="1"/>
  <c r="H32" i="1"/>
  <c r="H96" i="1"/>
  <c r="H160" i="1"/>
  <c r="H224" i="1"/>
  <c r="H288" i="1"/>
  <c r="H352" i="1"/>
  <c r="H416" i="1"/>
  <c r="H480" i="1"/>
  <c r="H544" i="1"/>
  <c r="H608" i="1"/>
  <c r="H672" i="1"/>
  <c r="H31" i="1"/>
  <c r="H95" i="1"/>
  <c r="H159" i="1"/>
  <c r="H223" i="1"/>
  <c r="H287" i="1"/>
  <c r="H351" i="1"/>
  <c r="H415" i="1"/>
  <c r="H479" i="1"/>
  <c r="H543" i="1"/>
  <c r="H607" i="1"/>
  <c r="H671" i="1"/>
  <c r="H735" i="1"/>
  <c r="H799" i="1"/>
  <c r="H863" i="1"/>
  <c r="H927" i="1"/>
  <c r="H991" i="1"/>
  <c r="H33" i="1"/>
  <c r="H97" i="1"/>
  <c r="H161" i="1"/>
  <c r="H225" i="1"/>
  <c r="H289" i="1"/>
  <c r="H353" i="1"/>
  <c r="H417" i="1"/>
  <c r="H481" i="1"/>
  <c r="H545" i="1"/>
  <c r="H609" i="1"/>
  <c r="H673" i="1"/>
  <c r="H210" i="1"/>
  <c r="H466" i="1"/>
  <c r="H705" i="1"/>
  <c r="H792" i="1"/>
  <c r="H877" i="1"/>
  <c r="H962" i="1"/>
  <c r="H1043" i="1"/>
  <c r="H1107" i="1"/>
  <c r="H1171" i="1"/>
  <c r="H1235" i="1"/>
  <c r="H1299" i="1"/>
  <c r="H1363" i="1"/>
  <c r="H1427" i="1"/>
  <c r="H1491" i="1"/>
  <c r="H142" i="1"/>
  <c r="H398" i="1"/>
  <c r="H654" i="1"/>
  <c r="H769" i="1"/>
  <c r="H854" i="1"/>
  <c r="H940" i="1"/>
  <c r="H1025" i="1"/>
  <c r="H1090" i="1"/>
  <c r="H1154" i="1"/>
  <c r="H1218" i="1"/>
  <c r="H1282" i="1"/>
  <c r="H1346" i="1"/>
  <c r="H24" i="1"/>
  <c r="H88" i="1"/>
  <c r="H152" i="1"/>
  <c r="H216" i="1"/>
  <c r="H280" i="1"/>
  <c r="H344" i="1"/>
  <c r="H408" i="1"/>
  <c r="H472" i="1"/>
  <c r="H536" i="1"/>
  <c r="H600" i="1"/>
  <c r="H664" i="1"/>
  <c r="H23" i="1"/>
  <c r="H87" i="1"/>
  <c r="H151" i="1"/>
  <c r="H215" i="1"/>
  <c r="H279" i="1"/>
  <c r="H343" i="1"/>
  <c r="H407" i="1"/>
  <c r="H471" i="1"/>
  <c r="H535" i="1"/>
  <c r="H599" i="1"/>
  <c r="H663" i="1"/>
  <c r="H727" i="1"/>
  <c r="H791" i="1"/>
  <c r="H855" i="1"/>
  <c r="H919" i="1"/>
  <c r="H983" i="1"/>
  <c r="H25" i="1"/>
  <c r="H89" i="1"/>
  <c r="H153" i="1"/>
  <c r="H217" i="1"/>
  <c r="H281" i="1"/>
  <c r="H345" i="1"/>
  <c r="H409" i="1"/>
  <c r="H473" i="1"/>
  <c r="H537" i="1"/>
  <c r="H601" i="1"/>
  <c r="H665" i="1"/>
  <c r="H178" i="1"/>
  <c r="H434" i="1"/>
  <c r="H689" i="1"/>
  <c r="H781" i="1"/>
  <c r="H866" i="1"/>
  <c r="H952" i="1"/>
  <c r="H1035" i="1"/>
  <c r="H1099" i="1"/>
  <c r="H1163" i="1"/>
  <c r="H1227" i="1"/>
  <c r="H1291" i="1"/>
  <c r="H1355" i="1"/>
  <c r="H1419" i="1"/>
  <c r="H1483" i="1"/>
  <c r="H110" i="1"/>
  <c r="H366" i="1"/>
  <c r="H622" i="1"/>
  <c r="H758" i="1"/>
  <c r="H844" i="1"/>
  <c r="H929" i="1"/>
  <c r="H1014" i="1"/>
  <c r="H1082" i="1"/>
  <c r="H1146" i="1"/>
  <c r="H1210" i="1"/>
  <c r="H1274" i="1"/>
  <c r="H1338" i="1"/>
  <c r="H124" i="1"/>
  <c r="H380" i="1"/>
  <c r="H636" i="1"/>
  <c r="H187" i="1"/>
  <c r="H443" i="1"/>
  <c r="H699" i="1"/>
  <c r="H955" i="1"/>
  <c r="H189" i="1"/>
  <c r="H445" i="1"/>
  <c r="H66" i="1"/>
  <c r="H829" i="1"/>
  <c r="H1135" i="1"/>
  <c r="H1391" i="1"/>
  <c r="H510" i="1"/>
  <c r="H977" i="1"/>
  <c r="H1246" i="1"/>
  <c r="H92" i="1"/>
  <c r="H348" i="1"/>
  <c r="H604" i="1"/>
  <c r="H155" i="1"/>
  <c r="H411" i="1"/>
  <c r="H667" i="1"/>
  <c r="H923" i="1"/>
  <c r="H157" i="1"/>
  <c r="H413" i="1"/>
  <c r="H669" i="1"/>
  <c r="H786" i="1"/>
  <c r="H1103" i="1"/>
  <c r="H1359" i="1"/>
  <c r="H382" i="1"/>
  <c r="H934" i="1"/>
  <c r="H1214" i="1"/>
  <c r="H1406" i="1"/>
  <c r="H1470" i="1"/>
  <c r="H22" i="1"/>
  <c r="H278" i="1"/>
  <c r="H534" i="1"/>
  <c r="H729" i="1"/>
  <c r="H814" i="1"/>
  <c r="H900" i="1"/>
  <c r="H985" i="1"/>
  <c r="H1060" i="1"/>
  <c r="H1124" i="1"/>
  <c r="H1188" i="1"/>
  <c r="H1252" i="1"/>
  <c r="H1316" i="1"/>
  <c r="H1380" i="1"/>
  <c r="H1444" i="1"/>
  <c r="H1508" i="1"/>
  <c r="H1572" i="1"/>
  <c r="H122" i="1"/>
  <c r="H848" i="1"/>
  <c r="H1149" i="1"/>
  <c r="H1405" i="1"/>
  <c r="H1570" i="1"/>
  <c r="H1649" i="1"/>
  <c r="H1713" i="1"/>
  <c r="H1777" i="1"/>
  <c r="H1841" i="1"/>
  <c r="H1905" i="1"/>
  <c r="H1969" i="1"/>
  <c r="H965" i="1"/>
  <c r="H1599" i="1"/>
  <c r="H1795" i="1"/>
  <c r="H1975" i="1"/>
  <c r="H757" i="1"/>
  <c r="H1081" i="1"/>
  <c r="H1337" i="1"/>
  <c r="H1547" i="1"/>
  <c r="H1632" i="1"/>
  <c r="H1696" i="1"/>
  <c r="H1760" i="1"/>
  <c r="H1824" i="1"/>
  <c r="H1888" i="1"/>
  <c r="H1952" i="1"/>
  <c r="H602" i="1"/>
  <c r="H1509" i="1"/>
  <c r="H1735" i="1"/>
  <c r="H1943" i="1"/>
  <c r="H701" i="1"/>
  <c r="H236" i="1"/>
  <c r="H43" i="1"/>
  <c r="H555" i="1"/>
  <c r="H45" i="1"/>
  <c r="H557" i="1"/>
  <c r="H978" i="1"/>
  <c r="H1503" i="1"/>
  <c r="H1102" i="1"/>
  <c r="H1426" i="1"/>
  <c r="H1510" i="1"/>
  <c r="H262" i="1"/>
  <c r="H614" i="1"/>
  <c r="H782" i="1"/>
  <c r="H894" i="1"/>
  <c r="H1012" i="1"/>
  <c r="H1100" i="1"/>
  <c r="H1184" i="1"/>
  <c r="H1272" i="1"/>
  <c r="H1356" i="1"/>
  <c r="H1440" i="1"/>
  <c r="H1528" i="1"/>
  <c r="H1612" i="1"/>
  <c r="H826" i="1"/>
  <c r="H1229" i="1"/>
  <c r="H1538" i="1"/>
  <c r="H1645" i="1"/>
  <c r="H1733" i="1"/>
  <c r="H1817" i="1"/>
  <c r="H1901" i="1"/>
  <c r="H1989" i="1"/>
  <c r="H1445" i="1"/>
  <c r="H1783" i="1"/>
  <c r="H170" i="1"/>
  <c r="H970" i="1"/>
  <c r="H1321" i="1"/>
  <c r="H1574" i="1"/>
  <c r="H1672" i="1"/>
  <c r="H1756" i="1"/>
  <c r="H1844" i="1"/>
  <c r="H1928" i="1"/>
  <c r="H410" i="1"/>
  <c r="H1594" i="1"/>
  <c r="H1871" i="1"/>
  <c r="H650" i="1"/>
  <c r="H1073" i="1"/>
  <c r="H1329" i="1"/>
  <c r="H1545" i="1"/>
  <c r="H1630" i="1"/>
  <c r="H1694" i="1"/>
  <c r="H1758" i="1"/>
  <c r="H1822" i="1"/>
  <c r="H1886" i="1"/>
  <c r="H1950" i="1"/>
  <c r="H666" i="1"/>
  <c r="H1541" i="1"/>
  <c r="H1755" i="1"/>
  <c r="H1951" i="1"/>
  <c r="H300" i="1"/>
  <c r="H107" i="1"/>
  <c r="H619" i="1"/>
  <c r="H109" i="1"/>
  <c r="H621" i="1"/>
  <c r="H1055" i="1"/>
  <c r="H190" i="1"/>
  <c r="H1166" i="1"/>
  <c r="H1434" i="1"/>
  <c r="H1522" i="1"/>
  <c r="H310" i="1"/>
  <c r="H646" i="1"/>
  <c r="H798" i="1"/>
  <c r="H910" i="1"/>
  <c r="H1022" i="1"/>
  <c r="H1112" i="1"/>
  <c r="H1196" i="1"/>
  <c r="H1280" i="1"/>
  <c r="H1368" i="1"/>
  <c r="H1452" i="1"/>
  <c r="H1536" i="1"/>
  <c r="H1624" i="1"/>
  <c r="H890" i="1"/>
  <c r="H1261" i="1"/>
  <c r="H1554" i="1"/>
  <c r="H1657" i="1"/>
  <c r="H1741" i="1"/>
  <c r="H1829" i="1"/>
  <c r="H1913" i="1"/>
  <c r="H1997" i="1"/>
  <c r="H1551" i="1"/>
  <c r="H1815" i="1"/>
  <c r="H298" i="1"/>
  <c r="H1033" i="1"/>
  <c r="H212" i="1"/>
  <c r="H468" i="1"/>
  <c r="H19" i="1"/>
  <c r="H275" i="1"/>
  <c r="H531" i="1"/>
  <c r="H787" i="1"/>
  <c r="H21" i="1"/>
  <c r="H277" i="1"/>
  <c r="H533" i="1"/>
  <c r="H418" i="1"/>
  <c r="H946" i="1"/>
  <c r="H1223" i="1"/>
  <c r="H1479" i="1"/>
  <c r="H753" i="1"/>
  <c r="H1078" i="1"/>
  <c r="H1334" i="1"/>
  <c r="H208" i="1"/>
  <c r="H464" i="1"/>
  <c r="H15" i="1"/>
  <c r="H271" i="1"/>
  <c r="H527" i="1"/>
  <c r="H783" i="1"/>
  <c r="H17" i="1"/>
  <c r="H273" i="1"/>
  <c r="H529" i="1"/>
  <c r="H402" i="1"/>
  <c r="H941" i="1"/>
  <c r="H1219" i="1"/>
  <c r="H1475" i="1"/>
  <c r="H748" i="1"/>
  <c r="H1074" i="1"/>
  <c r="H1330" i="1"/>
  <c r="H200" i="1"/>
  <c r="H456" i="1"/>
  <c r="H7" i="1"/>
  <c r="H263" i="1"/>
  <c r="H519" i="1"/>
  <c r="H775" i="1"/>
  <c r="H9" i="1"/>
  <c r="H265" i="1"/>
  <c r="H521" i="1"/>
  <c r="H370" i="1"/>
  <c r="H930" i="1"/>
  <c r="H1211" i="1"/>
  <c r="H1467" i="1"/>
  <c r="H737" i="1"/>
  <c r="H1066" i="1"/>
  <c r="H1322" i="1"/>
  <c r="H123" i="1"/>
  <c r="H125" i="1"/>
  <c r="H1071" i="1"/>
  <c r="H1182" i="1"/>
  <c r="H91" i="1"/>
  <c r="H93" i="1"/>
  <c r="H1039" i="1"/>
  <c r="H1150" i="1"/>
  <c r="H214" i="1"/>
  <c r="H878" i="1"/>
  <c r="H1172" i="1"/>
  <c r="H1428" i="1"/>
  <c r="H762" i="1"/>
  <c r="H1633" i="1"/>
  <c r="H1889" i="1"/>
  <c r="H1751" i="1"/>
  <c r="H618" i="1"/>
  <c r="H1273" i="1"/>
  <c r="H1611" i="1"/>
  <c r="H1744" i="1"/>
  <c r="H1872" i="1"/>
  <c r="H2000" i="1"/>
  <c r="H1691" i="1"/>
  <c r="H458" i="1"/>
  <c r="H620" i="1"/>
  <c r="H939" i="1"/>
  <c r="H808" i="1"/>
  <c r="H956" i="1"/>
  <c r="H1490" i="1"/>
  <c r="H518" i="1"/>
  <c r="H868" i="1"/>
  <c r="H1080" i="1"/>
  <c r="H1248" i="1"/>
  <c r="H1420" i="1"/>
  <c r="H1592" i="1"/>
  <c r="H1133" i="1"/>
  <c r="H1623" i="1"/>
  <c r="H1797" i="1"/>
  <c r="H1965" i="1"/>
  <c r="H1731" i="1"/>
  <c r="H864" i="1"/>
  <c r="H1542" i="1"/>
  <c r="H1736" i="1"/>
  <c r="H1908" i="1"/>
  <c r="H1461" i="1"/>
  <c r="H330" i="1"/>
  <c r="H1265" i="1"/>
  <c r="H1609" i="1"/>
  <c r="H1742" i="1"/>
  <c r="H1870" i="1"/>
  <c r="H1998" i="1"/>
  <c r="H1707" i="1"/>
  <c r="H172" i="1"/>
  <c r="H491" i="1"/>
  <c r="H493" i="1"/>
  <c r="H1439" i="1"/>
  <c r="H1414" i="1"/>
  <c r="H230" i="1"/>
  <c r="H766" i="1"/>
  <c r="H996" i="1"/>
  <c r="H1176" i="1"/>
  <c r="H1344" i="1"/>
  <c r="H1516" i="1"/>
  <c r="H784" i="1"/>
  <c r="H1517" i="1"/>
  <c r="H1721" i="1"/>
  <c r="H1893" i="1"/>
  <c r="H1317" i="1"/>
  <c r="H1999" i="1"/>
  <c r="H1289" i="1"/>
  <c r="H1585" i="1"/>
  <c r="H1684" i="1"/>
  <c r="H1768" i="1"/>
  <c r="H1852" i="1"/>
  <c r="H1940" i="1"/>
  <c r="H816" i="1"/>
  <c r="H1626" i="1"/>
  <c r="H1907" i="1"/>
  <c r="H746" i="1"/>
  <c r="H1105" i="1"/>
  <c r="H1361" i="1"/>
  <c r="H1555" i="1"/>
  <c r="H1638" i="1"/>
  <c r="H1702" i="1"/>
  <c r="H1766" i="1"/>
  <c r="H1830" i="1"/>
  <c r="H1894" i="1"/>
  <c r="H1958" i="1"/>
  <c r="H794" i="1"/>
  <c r="H1573" i="1"/>
  <c r="H1779" i="1"/>
  <c r="H1971" i="1"/>
  <c r="H267" i="1"/>
  <c r="H269" i="1"/>
  <c r="H1215" i="1"/>
  <c r="H1326" i="1"/>
  <c r="H70" i="1"/>
  <c r="H718" i="1"/>
  <c r="H948" i="1"/>
  <c r="H1136" i="1"/>
  <c r="H1308" i="1"/>
  <c r="H1480" i="1"/>
  <c r="H1373" i="1"/>
  <c r="H1685" i="1"/>
  <c r="H1853" i="1"/>
  <c r="H837" i="1"/>
  <c r="H1891" i="1"/>
  <c r="H1129" i="1"/>
  <c r="H1622" i="1"/>
  <c r="H1796" i="1"/>
  <c r="H1964" i="1"/>
  <c r="H1711" i="1"/>
  <c r="H896" i="1"/>
  <c r="H1441" i="1"/>
  <c r="H1658" i="1"/>
  <c r="H1786" i="1"/>
  <c r="H1914" i="1"/>
  <c r="H1093" i="1"/>
  <c r="H1843" i="1"/>
  <c r="H588" i="1"/>
  <c r="H907" i="1"/>
  <c r="H765" i="1"/>
  <c r="H913" i="1"/>
  <c r="H1482" i="1"/>
  <c r="H502" i="1"/>
  <c r="H862" i="1"/>
  <c r="H1072" i="1"/>
  <c r="H1244" i="1"/>
  <c r="H1416" i="1"/>
  <c r="H1584" i="1"/>
  <c r="H1117" i="1"/>
  <c r="H1618" i="1"/>
  <c r="H1789" i="1"/>
  <c r="H1961" i="1"/>
  <c r="H821" i="1"/>
  <c r="H1537" i="1"/>
  <c r="H1732" i="1"/>
  <c r="H1900" i="1"/>
  <c r="H1429" i="1"/>
  <c r="H266" i="1"/>
  <c r="H1603" i="1"/>
  <c r="H1866" i="1"/>
  <c r="H12" i="1"/>
  <c r="H1279" i="1"/>
  <c r="H734" i="1"/>
  <c r="H1320" i="1"/>
  <c r="H1421" i="1"/>
  <c r="H1029" i="1"/>
  <c r="H1636" i="1"/>
  <c r="H1747" i="1"/>
  <c r="H1666" i="1"/>
  <c r="H1189" i="1"/>
  <c r="H932" i="1"/>
  <c r="H1784" i="1"/>
  <c r="H1450" i="1"/>
  <c r="H652" i="1"/>
  <c r="H1629" i="1"/>
  <c r="H1746" i="1"/>
  <c r="H461" i="1"/>
  <c r="H1885" i="1"/>
  <c r="H1938" i="1"/>
  <c r="H84" i="1"/>
  <c r="H147" i="1"/>
  <c r="H915" i="1"/>
  <c r="H149" i="1"/>
  <c r="H776" i="1"/>
  <c r="H1351" i="1"/>
  <c r="H1206" i="1"/>
  <c r="H592" i="1"/>
  <c r="H399" i="1"/>
  <c r="H145" i="1"/>
  <c r="H657" i="1"/>
  <c r="H1347" i="1"/>
  <c r="H918" i="1"/>
  <c r="H328" i="1"/>
  <c r="H135" i="1"/>
  <c r="H903" i="1"/>
  <c r="H649" i="1"/>
  <c r="H1339" i="1"/>
  <c r="H1194" i="1"/>
  <c r="H637" i="1"/>
  <c r="H603" i="1"/>
  <c r="H1454" i="1"/>
  <c r="H1300" i="1"/>
  <c r="H1761" i="1"/>
  <c r="H1927" i="1"/>
  <c r="H1680" i="1"/>
  <c r="H1349" i="1"/>
  <c r="H108" i="1"/>
  <c r="H1375" i="1"/>
  <c r="H182" i="1"/>
  <c r="H1164" i="1"/>
  <c r="H1485" i="1"/>
  <c r="H1221" i="1"/>
  <c r="H1652" i="1"/>
  <c r="H1799" i="1"/>
  <c r="H1678" i="1"/>
  <c r="H1333" i="1"/>
  <c r="H1003" i="1"/>
  <c r="H1498" i="1"/>
  <c r="H1088" i="1"/>
  <c r="H1600" i="1"/>
  <c r="H1637" i="1"/>
  <c r="H1977" i="1"/>
  <c r="H1449" i="1"/>
  <c r="H1812" i="1"/>
  <c r="H1980" i="1"/>
  <c r="H138" i="1"/>
  <c r="H1233" i="1"/>
  <c r="H1670" i="1"/>
  <c r="H1862" i="1"/>
  <c r="H1683" i="1"/>
  <c r="H779" i="1"/>
  <c r="H1462" i="1"/>
  <c r="H1224" i="1"/>
  <c r="H1037" i="1"/>
  <c r="H1941" i="1"/>
  <c r="H1481" i="1"/>
  <c r="H1205" i="1"/>
  <c r="H1582" i="1"/>
  <c r="H1850" i="1"/>
  <c r="H76" i="1"/>
  <c r="H1343" i="1"/>
  <c r="H745" i="1"/>
  <c r="H1328" i="1"/>
  <c r="H1453" i="1"/>
  <c r="H1125" i="1"/>
  <c r="H1225" i="1"/>
  <c r="H1988" i="1"/>
  <c r="H1505" i="1"/>
  <c r="H1802" i="1"/>
  <c r="H1887" i="1"/>
  <c r="H642" i="1"/>
  <c r="H454" i="1"/>
  <c r="H1232" i="1"/>
  <c r="H1069" i="1"/>
  <c r="H1949" i="1"/>
  <c r="H1513" i="1"/>
  <c r="H1301" i="1"/>
  <c r="H1217" i="1"/>
  <c r="H1858" i="1"/>
  <c r="H203" i="1"/>
  <c r="H1296" i="1"/>
  <c r="H1679" i="1"/>
  <c r="H396" i="1"/>
  <c r="H1571" i="1"/>
  <c r="H1596" i="1"/>
  <c r="H1281" i="1"/>
  <c r="H140" i="1"/>
  <c r="H1501" i="1"/>
  <c r="H1996" i="1"/>
  <c r="H1615" i="1"/>
  <c r="H148" i="1"/>
  <c r="H404" i="1"/>
  <c r="H660" i="1"/>
  <c r="H211" i="1"/>
  <c r="H467" i="1"/>
  <c r="H723" i="1"/>
  <c r="H979" i="1"/>
  <c r="H213" i="1"/>
  <c r="H469" i="1"/>
  <c r="H162" i="1"/>
  <c r="H861" i="1"/>
  <c r="H1159" i="1"/>
  <c r="H1415" i="1"/>
  <c r="H606" i="1"/>
  <c r="H1009" i="1"/>
  <c r="H1270" i="1"/>
  <c r="H144" i="1"/>
  <c r="H400" i="1"/>
  <c r="H656" i="1"/>
  <c r="H207" i="1"/>
  <c r="H463" i="1"/>
  <c r="H719" i="1"/>
  <c r="H975" i="1"/>
  <c r="H209" i="1"/>
  <c r="H465" i="1"/>
  <c r="H146" i="1"/>
  <c r="H856" i="1"/>
  <c r="H1155" i="1"/>
  <c r="H1411" i="1"/>
  <c r="H590" i="1"/>
  <c r="H1004" i="1"/>
  <c r="H1266" i="1"/>
  <c r="H136" i="1"/>
  <c r="H392" i="1"/>
  <c r="H648" i="1"/>
  <c r="H199" i="1"/>
  <c r="H455" i="1"/>
  <c r="H711" i="1"/>
  <c r="H967" i="1"/>
  <c r="H201" i="1"/>
  <c r="H457" i="1"/>
  <c r="H114" i="1"/>
  <c r="H845" i="1"/>
  <c r="H1147" i="1"/>
  <c r="H1403" i="1"/>
  <c r="H558" i="1"/>
  <c r="H993" i="1"/>
  <c r="H1258" i="1"/>
  <c r="H572" i="1"/>
  <c r="H891" i="1"/>
  <c r="H744" i="1"/>
  <c r="H892" i="1"/>
  <c r="H540" i="1"/>
  <c r="H859" i="1"/>
  <c r="H697" i="1"/>
  <c r="H849" i="1"/>
  <c r="H1518" i="1"/>
  <c r="H793" i="1"/>
  <c r="H1108" i="1"/>
  <c r="H1364" i="1"/>
  <c r="H1620" i="1"/>
  <c r="H1549" i="1"/>
  <c r="H1825" i="1"/>
  <c r="H1530" i="1"/>
  <c r="H106" i="1"/>
  <c r="H1145" i="1"/>
  <c r="H1569" i="1"/>
  <c r="H1712" i="1"/>
  <c r="H1840" i="1"/>
  <c r="H1968" i="1"/>
  <c r="H1578" i="1"/>
  <c r="H1991" i="1"/>
  <c r="H364" i="1"/>
  <c r="H683" i="1"/>
  <c r="H685" i="1"/>
  <c r="H446" i="1"/>
  <c r="H1446" i="1"/>
  <c r="H358" i="1"/>
  <c r="H809" i="1"/>
  <c r="H1036" i="1"/>
  <c r="H1208" i="1"/>
  <c r="H1376" i="1"/>
  <c r="H1548" i="1"/>
  <c r="H954" i="1"/>
  <c r="H1565" i="1"/>
  <c r="H1753" i="1"/>
  <c r="H1925" i="1"/>
  <c r="H1583" i="1"/>
  <c r="H490" i="1"/>
  <c r="H1417" i="1"/>
  <c r="H1692" i="1"/>
  <c r="H1864" i="1"/>
  <c r="H1008" i="1"/>
  <c r="H1931" i="1"/>
  <c r="H1137" i="1"/>
  <c r="H1566" i="1"/>
  <c r="H1710" i="1"/>
  <c r="H1838" i="1"/>
  <c r="H1966" i="1"/>
  <c r="H1605" i="1"/>
  <c r="H1995" i="1"/>
  <c r="H235" i="1"/>
  <c r="H237" i="1"/>
  <c r="H1183" i="1"/>
  <c r="H1294" i="1"/>
  <c r="H54" i="1"/>
  <c r="H713" i="1"/>
  <c r="H937" i="1"/>
  <c r="H1132" i="1"/>
  <c r="H1304" i="1"/>
  <c r="H1472" i="1"/>
  <c r="H250" i="1"/>
  <c r="H1357" i="1"/>
  <c r="H1677" i="1"/>
  <c r="H1849" i="1"/>
  <c r="H773" i="1"/>
  <c r="H1867" i="1"/>
  <c r="H1113" i="1"/>
  <c r="H1558" i="1"/>
  <c r="H1660" i="1"/>
  <c r="H1748" i="1"/>
  <c r="H1832" i="1"/>
  <c r="H1916" i="1"/>
  <c r="H154" i="1"/>
  <c r="H1546" i="1"/>
  <c r="H1827" i="1"/>
  <c r="H522" i="1"/>
  <c r="H1041" i="1"/>
  <c r="H1297" i="1"/>
  <c r="H1534" i="1"/>
  <c r="H1619" i="1"/>
  <c r="H1686" i="1"/>
  <c r="H1750" i="1"/>
  <c r="H1814" i="1"/>
  <c r="H1878" i="1"/>
  <c r="H1942" i="1"/>
  <c r="H282" i="1"/>
  <c r="H1477" i="1"/>
  <c r="H1727" i="1"/>
  <c r="H1923" i="1"/>
  <c r="H11" i="1"/>
  <c r="H13" i="1"/>
  <c r="H936" i="1"/>
  <c r="H1070" i="1"/>
  <c r="H1506" i="1"/>
  <c r="H582" i="1"/>
  <c r="H889" i="1"/>
  <c r="H1096" i="1"/>
  <c r="H1264" i="1"/>
  <c r="H1436" i="1"/>
  <c r="H1608" i="1"/>
  <c r="H1197" i="1"/>
  <c r="H1641" i="1"/>
  <c r="H1813" i="1"/>
  <c r="H1981" i="1"/>
  <c r="H1771" i="1"/>
  <c r="H949" i="1"/>
  <c r="H1563" i="1"/>
  <c r="H1752" i="1"/>
  <c r="H1924" i="1"/>
  <c r="H1562" i="1"/>
  <c r="H586" i="1"/>
  <c r="H1313" i="1"/>
  <c r="H1625" i="1"/>
  <c r="H1754" i="1"/>
  <c r="H1882" i="1"/>
  <c r="H474" i="1"/>
  <c r="H1743" i="1"/>
  <c r="H332" i="1"/>
  <c r="H651" i="1"/>
  <c r="H653" i="1"/>
  <c r="H318" i="1"/>
  <c r="H1442" i="1"/>
  <c r="H326" i="1"/>
  <c r="H804" i="1"/>
  <c r="H1032" i="1"/>
  <c r="H1200" i="1"/>
  <c r="H1372" i="1"/>
  <c r="H1544" i="1"/>
  <c r="H912" i="1"/>
  <c r="H1559" i="1"/>
  <c r="H1749" i="1"/>
  <c r="H1917" i="1"/>
  <c r="H1567" i="1"/>
  <c r="H426" i="1"/>
  <c r="H1385" i="1"/>
  <c r="H1688" i="1"/>
  <c r="H1860" i="1"/>
  <c r="H880" i="1"/>
  <c r="H1919" i="1"/>
  <c r="H1121" i="1"/>
  <c r="H1561" i="1"/>
  <c r="H1706" i="1"/>
  <c r="H1834" i="1"/>
  <c r="H1962" i="1"/>
  <c r="H1589" i="1"/>
  <c r="H1983" i="1"/>
  <c r="H75" i="1"/>
  <c r="H77" i="1"/>
  <c r="H1021" i="1"/>
  <c r="H1134" i="1"/>
  <c r="H1514" i="1"/>
  <c r="H630" i="1"/>
  <c r="H905" i="1"/>
  <c r="H1104" i="1"/>
  <c r="H1276" i="1"/>
  <c r="H1448" i="1"/>
  <c r="H1616" i="1"/>
  <c r="H1245" i="1"/>
  <c r="H1653" i="1"/>
  <c r="H1821" i="1"/>
  <c r="H1993" i="1"/>
  <c r="H1803" i="1"/>
  <c r="H992" i="1"/>
  <c r="H1579" i="1"/>
  <c r="H1764" i="1"/>
  <c r="H1932" i="1"/>
  <c r="H1610" i="1"/>
  <c r="H725" i="1"/>
  <c r="H1345" i="1"/>
  <c r="H1634" i="1"/>
  <c r="H1762" i="1"/>
  <c r="H1890" i="1"/>
  <c r="H752" i="1"/>
  <c r="H1767" i="1"/>
  <c r="H205" i="1"/>
  <c r="H698" i="1"/>
  <c r="H1468" i="1"/>
  <c r="H1845" i="1"/>
  <c r="H1606" i="1"/>
  <c r="H832" i="1"/>
  <c r="H1906" i="1"/>
  <c r="H574" i="1"/>
  <c r="H1040" i="1"/>
  <c r="H1929" i="1"/>
  <c r="H1970" i="1"/>
  <c r="H998" i="1"/>
  <c r="H1084" i="1"/>
  <c r="H1165" i="1"/>
  <c r="H1739" i="1"/>
  <c r="H1912" i="1"/>
  <c r="H1614" i="1"/>
  <c r="H1715" i="1"/>
  <c r="H1955" i="1"/>
  <c r="H459" i="1"/>
  <c r="H198" i="1"/>
  <c r="H1340" i="1"/>
  <c r="H1717" i="1"/>
  <c r="H1257" i="1"/>
  <c r="H1811" i="1"/>
  <c r="H1810" i="1"/>
  <c r="H715" i="1"/>
  <c r="H1433" i="1"/>
  <c r="H340" i="1"/>
  <c r="H659" i="1"/>
  <c r="H661" i="1"/>
  <c r="H350" i="1"/>
  <c r="H336" i="1"/>
  <c r="H911" i="1"/>
  <c r="H1091" i="1"/>
  <c r="H1202" i="1"/>
  <c r="H584" i="1"/>
  <c r="H647" i="1"/>
  <c r="H137" i="1"/>
  <c r="H760" i="1"/>
  <c r="H302" i="1"/>
  <c r="H316" i="1"/>
  <c r="H254" i="1"/>
  <c r="H605" i="1"/>
  <c r="H1044" i="1"/>
  <c r="H1341" i="1"/>
  <c r="H1013" i="1"/>
  <c r="H1936" i="1"/>
  <c r="H429" i="1"/>
  <c r="H980" i="1"/>
  <c r="H1504" i="1"/>
  <c r="H1709" i="1"/>
  <c r="H1959" i="1"/>
  <c r="H1820" i="1"/>
  <c r="H1521" i="1"/>
  <c r="H1934" i="1"/>
  <c r="H684" i="1"/>
  <c r="H893" i="1"/>
  <c r="H566" i="1"/>
  <c r="H1260" i="1"/>
  <c r="H1805" i="1"/>
  <c r="H906" i="1"/>
  <c r="H1724" i="1"/>
  <c r="H1381" i="1"/>
  <c r="H960" i="1"/>
  <c r="H1598" i="1"/>
  <c r="H1734" i="1"/>
  <c r="H1926" i="1"/>
  <c r="H1237" i="1"/>
  <c r="H460" i="1"/>
  <c r="H742" i="1"/>
  <c r="H830" i="1"/>
  <c r="H1392" i="1"/>
  <c r="H1769" i="1"/>
  <c r="H714" i="1"/>
  <c r="H1880" i="1"/>
  <c r="H1979" i="1"/>
  <c r="H1722" i="1"/>
  <c r="H1647" i="1"/>
  <c r="H397" i="1"/>
  <c r="H166" i="1"/>
  <c r="H1160" i="1"/>
  <c r="H693" i="1"/>
  <c r="H1705" i="1"/>
  <c r="H1947" i="1"/>
  <c r="H1816" i="1"/>
  <c r="H981" i="1"/>
  <c r="H1930" i="1"/>
  <c r="H843" i="1"/>
  <c r="H1474" i="1"/>
  <c r="H1064" i="1"/>
  <c r="H1404" i="1"/>
  <c r="H1602" i="1"/>
  <c r="H1675" i="1"/>
  <c r="H1720" i="1"/>
  <c r="H74" i="1"/>
  <c r="H1593" i="1"/>
  <c r="H1986" i="1"/>
  <c r="H1671" i="1"/>
  <c r="H1673" i="1"/>
  <c r="H1778" i="1"/>
  <c r="H976" i="1"/>
  <c r="H850" i="1"/>
  <c r="H1973" i="1"/>
  <c r="H90" i="1"/>
  <c r="H1410" i="1"/>
  <c r="H1987" i="1"/>
  <c r="H1911" i="1"/>
  <c r="H20" i="1"/>
  <c r="H276" i="1"/>
  <c r="H532" i="1"/>
  <c r="H83" i="1"/>
  <c r="H339" i="1"/>
  <c r="H595" i="1"/>
  <c r="H851" i="1"/>
  <c r="H85" i="1"/>
  <c r="H341" i="1"/>
  <c r="H597" i="1"/>
  <c r="H674" i="1"/>
  <c r="H1031" i="1"/>
  <c r="H1287" i="1"/>
  <c r="H94" i="1"/>
  <c r="H838" i="1"/>
  <c r="H1142" i="1"/>
  <c r="H16" i="1"/>
  <c r="H272" i="1"/>
  <c r="H528" i="1"/>
  <c r="H79" i="1"/>
  <c r="H335" i="1"/>
  <c r="H591" i="1"/>
  <c r="H847" i="1"/>
  <c r="H81" i="1"/>
  <c r="H337" i="1"/>
  <c r="H593" i="1"/>
  <c r="H658" i="1"/>
  <c r="H1026" i="1"/>
  <c r="H1283" i="1"/>
  <c r="H78" i="1"/>
  <c r="H833" i="1"/>
  <c r="H1138" i="1"/>
  <c r="H8" i="1"/>
  <c r="H264" i="1"/>
  <c r="H520" i="1"/>
  <c r="H71" i="1"/>
  <c r="H327" i="1"/>
  <c r="H583" i="1"/>
  <c r="H839" i="1"/>
  <c r="H73" i="1"/>
  <c r="H329" i="1"/>
  <c r="H585" i="1"/>
  <c r="H626" i="1"/>
  <c r="H1016" i="1"/>
  <c r="H1275" i="1"/>
  <c r="H46" i="1"/>
  <c r="H822" i="1"/>
  <c r="H1130" i="1"/>
  <c r="H60" i="1"/>
  <c r="H379" i="1"/>
  <c r="H381" i="1"/>
  <c r="H1327" i="1"/>
  <c r="H28" i="1"/>
  <c r="H347" i="1"/>
  <c r="H349" i="1"/>
  <c r="H1295" i="1"/>
  <c r="H1390" i="1"/>
  <c r="H470" i="1"/>
  <c r="H964" i="1"/>
  <c r="H1236" i="1"/>
  <c r="H1492" i="1"/>
  <c r="H1085" i="1"/>
  <c r="H1697" i="1"/>
  <c r="H1953" i="1"/>
  <c r="H1835" i="1"/>
  <c r="H842" i="1"/>
  <c r="H1401" i="1"/>
  <c r="H1648" i="1"/>
  <c r="H1776" i="1"/>
  <c r="H1904" i="1"/>
  <c r="H944" i="1"/>
  <c r="H1787" i="1"/>
  <c r="H789" i="1"/>
  <c r="H171" i="1"/>
  <c r="H173" i="1"/>
  <c r="H1119" i="1"/>
  <c r="H1230" i="1"/>
  <c r="H6" i="1"/>
  <c r="H690" i="1"/>
  <c r="H926" i="1"/>
  <c r="H1120" i="1"/>
  <c r="H1292" i="1"/>
  <c r="H1464" i="1"/>
  <c r="H58" i="1"/>
  <c r="H1309" i="1"/>
  <c r="H1669" i="1"/>
  <c r="H1837" i="1"/>
  <c r="H346" i="1"/>
  <c r="H1847" i="1"/>
  <c r="H1065" i="1"/>
  <c r="H1601" i="1"/>
  <c r="H1780" i="1"/>
  <c r="H1948" i="1"/>
  <c r="H1667" i="1"/>
  <c r="H810" i="1"/>
  <c r="H1393" i="1"/>
  <c r="H1646" i="1"/>
  <c r="H1774" i="1"/>
  <c r="H1902" i="1"/>
  <c r="H922" i="1"/>
  <c r="H1807" i="1"/>
  <c r="H428" i="1"/>
  <c r="H747" i="1"/>
  <c r="H258" i="1"/>
  <c r="H694" i="1"/>
  <c r="H1458" i="1"/>
  <c r="H390" i="1"/>
  <c r="H825" i="1"/>
  <c r="H1048" i="1"/>
  <c r="H1216" i="1"/>
  <c r="H1388" i="1"/>
  <c r="H1560" i="1"/>
  <c r="H997" i="1"/>
  <c r="H1581" i="1"/>
  <c r="H1765" i="1"/>
  <c r="H1933" i="1"/>
  <c r="H1631" i="1"/>
  <c r="H682" i="1"/>
  <c r="H1369" i="1"/>
  <c r="H1617" i="1"/>
  <c r="H1704" i="1"/>
  <c r="H1788" i="1"/>
  <c r="H1876" i="1"/>
  <c r="H1960" i="1"/>
  <c r="H1109" i="1"/>
  <c r="H1699" i="1"/>
  <c r="H1967" i="1"/>
  <c r="H853" i="1"/>
  <c r="H1169" i="1"/>
  <c r="H1425" i="1"/>
  <c r="H1577" i="1"/>
  <c r="H1654" i="1"/>
  <c r="H1718" i="1"/>
  <c r="H1782" i="1"/>
  <c r="H1846" i="1"/>
  <c r="H1910" i="1"/>
  <c r="H1974" i="1"/>
  <c r="H1045" i="1"/>
  <c r="H1635" i="1"/>
  <c r="H1831" i="1"/>
  <c r="H204" i="1"/>
  <c r="H523" i="1"/>
  <c r="H525" i="1"/>
  <c r="H1471" i="1"/>
  <c r="H1418" i="1"/>
  <c r="H246" i="1"/>
  <c r="H777" i="1"/>
  <c r="H1001" i="1"/>
  <c r="H1180" i="1"/>
  <c r="H1352" i="1"/>
  <c r="H1520" i="1"/>
  <c r="H805" i="1"/>
  <c r="H1533" i="1"/>
  <c r="H1725" i="1"/>
  <c r="H1897" i="1"/>
  <c r="H1397" i="1"/>
  <c r="H42" i="1"/>
  <c r="H1305" i="1"/>
  <c r="H1668" i="1"/>
  <c r="H1836" i="1"/>
  <c r="H218" i="1"/>
  <c r="H1855" i="1"/>
  <c r="H1057" i="1"/>
  <c r="H1539" i="1"/>
  <c r="H1690" i="1"/>
  <c r="H1818" i="1"/>
  <c r="H1946" i="1"/>
  <c r="H1523" i="1"/>
  <c r="H1939" i="1"/>
  <c r="H139" i="1"/>
  <c r="H141" i="1"/>
  <c r="H1087" i="1"/>
  <c r="H1198" i="1"/>
  <c r="H1526" i="1"/>
  <c r="H678" i="1"/>
  <c r="H916" i="1"/>
  <c r="H1116" i="1"/>
  <c r="H1288" i="1"/>
  <c r="H1456" i="1"/>
  <c r="H1628" i="1"/>
  <c r="H1293" i="1"/>
  <c r="H1661" i="1"/>
  <c r="H1833" i="1"/>
  <c r="H26" i="1"/>
  <c r="H1823" i="1"/>
  <c r="H1049" i="1"/>
  <c r="H1595" i="1"/>
  <c r="H1772" i="1"/>
  <c r="H1944" i="1"/>
  <c r="H1655" i="1"/>
  <c r="H768" i="1"/>
  <c r="H1377" i="1"/>
  <c r="H1642" i="1"/>
  <c r="H1770" i="1"/>
  <c r="H1898" i="1"/>
  <c r="H858" i="1"/>
  <c r="H1791" i="1"/>
  <c r="H268" i="1"/>
  <c r="H587" i="1"/>
  <c r="H589" i="1"/>
  <c r="H62" i="1"/>
  <c r="H1430" i="1"/>
  <c r="H294" i="1"/>
  <c r="H788" i="1"/>
  <c r="H1017" i="1"/>
  <c r="H1192" i="1"/>
  <c r="H1360" i="1"/>
  <c r="H1532" i="1"/>
  <c r="H869" i="1"/>
  <c r="H1543" i="1"/>
  <c r="H1737" i="1"/>
  <c r="H1909" i="1"/>
  <c r="H1493" i="1"/>
  <c r="H234" i="1"/>
  <c r="H1353" i="1"/>
  <c r="H1676" i="1"/>
  <c r="H1848" i="1"/>
  <c r="H730" i="1"/>
  <c r="H1883" i="1"/>
  <c r="H1089" i="1"/>
  <c r="H1550" i="1"/>
  <c r="H1698" i="1"/>
  <c r="H1826" i="1"/>
  <c r="H1954" i="1"/>
  <c r="H1557" i="1"/>
  <c r="H1963" i="1"/>
  <c r="H1262" i="1"/>
  <c r="H1128" i="1"/>
  <c r="H1325" i="1"/>
  <c r="H1859" i="1"/>
  <c r="H1956" i="1"/>
  <c r="H1650" i="1"/>
  <c r="H1819" i="1"/>
  <c r="H374" i="1"/>
  <c r="H1552" i="1"/>
  <c r="H1868" i="1"/>
  <c r="H971" i="1"/>
  <c r="H550" i="1"/>
  <c r="H1424" i="1"/>
  <c r="H1801" i="1"/>
  <c r="H1553" i="1"/>
  <c r="H394" i="1"/>
  <c r="H1874" i="1"/>
  <c r="H1757" i="1"/>
  <c r="H1621" i="1"/>
  <c r="H1407" i="1"/>
  <c r="H990" i="1"/>
  <c r="H741" i="1"/>
  <c r="H1269" i="1"/>
  <c r="H1828" i="1"/>
  <c r="H1529" i="1"/>
  <c r="H1413" i="1"/>
  <c r="H1575" i="1"/>
  <c r="H1153" i="1"/>
  <c r="H314" i="1"/>
  <c r="H1719" i="1"/>
  <c r="H1249" i="1"/>
  <c r="H1738" i="1"/>
  <c r="H1994" i="1"/>
  <c r="H1695" i="1"/>
  <c r="H331" i="1"/>
  <c r="H333" i="1"/>
  <c r="H1386" i="1"/>
  <c r="H118" i="1"/>
  <c r="H958" i="1"/>
  <c r="H1148" i="1"/>
  <c r="H1488" i="1"/>
  <c r="H506" i="1"/>
  <c r="H1693" i="1"/>
  <c r="H1865" i="1"/>
  <c r="H1915" i="1"/>
  <c r="H1177" i="1"/>
  <c r="H1804" i="1"/>
  <c r="H1976" i="1"/>
  <c r="H938" i="1"/>
  <c r="H1473" i="1"/>
  <c r="H1794" i="1"/>
  <c r="H1922" i="1"/>
  <c r="H1863" i="1"/>
  <c r="H1151" i="1"/>
  <c r="H186" i="1"/>
  <c r="H538" i="1"/>
  <c r="H1409" i="1"/>
  <c r="H986" i="1"/>
  <c r="H1212" i="1"/>
  <c r="H554" i="1"/>
  <c r="H1494" i="1"/>
  <c r="H1256" i="1"/>
  <c r="H885" i="1"/>
  <c r="H1535" i="1"/>
  <c r="H130" i="1"/>
  <c r="H1714" i="1"/>
  <c r="H761" i="1"/>
  <c r="H1512" i="1"/>
  <c r="H1656" i="1"/>
  <c r="H1024" i="1"/>
  <c r="H1384" i="1"/>
  <c r="H1061" i="1"/>
  <c r="H596" i="1"/>
  <c r="H403" i="1"/>
  <c r="H405" i="1"/>
  <c r="H1095" i="1"/>
  <c r="H924" i="1"/>
  <c r="H80" i="1"/>
  <c r="H143" i="1"/>
  <c r="H655" i="1"/>
  <c r="H401" i="1"/>
  <c r="H770" i="1"/>
  <c r="H334" i="1"/>
  <c r="H72" i="1"/>
  <c r="H391" i="1"/>
  <c r="H393" i="1"/>
  <c r="H1083" i="1"/>
  <c r="H908" i="1"/>
  <c r="H635" i="1"/>
  <c r="H284" i="1"/>
  <c r="H126" i="1"/>
  <c r="H706" i="1"/>
  <c r="H1556" i="1"/>
  <c r="H709" i="1"/>
  <c r="H1525" i="1"/>
  <c r="H1808" i="1"/>
  <c r="H1895" i="1"/>
  <c r="H427" i="1"/>
  <c r="H1402" i="1"/>
  <c r="H756" i="1"/>
  <c r="H1336" i="1"/>
  <c r="H720" i="1"/>
  <c r="H1881" i="1"/>
  <c r="H1241" i="1"/>
  <c r="H1992" i="1"/>
  <c r="H1002" i="1"/>
  <c r="H1806" i="1"/>
  <c r="H1899" i="1"/>
  <c r="H1038" i="1"/>
  <c r="H884" i="1"/>
  <c r="H1432" i="1"/>
  <c r="H1181" i="1"/>
  <c r="H1759" i="1"/>
  <c r="H1640" i="1"/>
  <c r="H1896" i="1"/>
  <c r="H1763" i="1"/>
  <c r="H1489" i="1"/>
  <c r="H1798" i="1"/>
  <c r="H1990" i="1"/>
  <c r="H1875" i="1"/>
  <c r="H386" i="1"/>
  <c r="H422" i="1"/>
  <c r="H1052" i="1"/>
  <c r="H1564" i="1"/>
  <c r="H1586" i="1"/>
  <c r="H1639" i="1"/>
  <c r="H1708" i="1"/>
  <c r="H1185" i="1"/>
  <c r="H1978" i="1"/>
  <c r="H395" i="1"/>
  <c r="H1398" i="1"/>
  <c r="H974" i="1"/>
  <c r="H1500" i="1"/>
  <c r="H1877" i="1"/>
  <c r="H1644" i="1"/>
  <c r="H1775" i="1"/>
  <c r="H1674" i="1"/>
  <c r="H1285" i="1"/>
  <c r="H524" i="1"/>
  <c r="H828" i="1"/>
  <c r="H846" i="1"/>
  <c r="H1576" i="1"/>
  <c r="H1781" i="1"/>
  <c r="H778" i="1"/>
  <c r="H1892" i="1"/>
  <c r="H1730" i="1"/>
  <c r="H38" i="1"/>
  <c r="H1097" i="1"/>
  <c r="H820" i="1"/>
  <c r="H873" i="1"/>
  <c r="H1740" i="1"/>
  <c r="H1700" i="1"/>
  <c r="H1168" i="1"/>
  <c r="H1682" i="1"/>
  <c r="H1842" i="1"/>
  <c r="U4" i="4"/>
  <c r="K28" i="4"/>
  <c r="U3" i="4"/>
  <c r="U5" i="4"/>
  <c r="I6" i="1" a="1"/>
  <c r="N12" i="4" l="1"/>
  <c r="N4" i="4"/>
  <c r="N11" i="4"/>
  <c r="N5" i="4"/>
  <c r="N8" i="4"/>
  <c r="N9" i="4"/>
  <c r="N25" i="4"/>
  <c r="N21" i="4"/>
  <c r="N19" i="4"/>
  <c r="N22" i="4"/>
  <c r="N27" i="4"/>
  <c r="N17" i="4"/>
  <c r="N24" i="4"/>
  <c r="N16" i="4"/>
  <c r="N20" i="4"/>
  <c r="N18" i="4"/>
  <c r="N14" i="4"/>
  <c r="N10" i="4"/>
  <c r="N23" i="4"/>
  <c r="N15" i="4"/>
  <c r="N7" i="4"/>
  <c r="N13" i="4"/>
  <c r="N6" i="4"/>
  <c r="I16" i="1"/>
  <c r="I32" i="1"/>
  <c r="I48" i="1"/>
  <c r="I64" i="1"/>
  <c r="I80" i="1"/>
  <c r="I96" i="1"/>
  <c r="I112" i="1"/>
  <c r="I128" i="1"/>
  <c r="I144" i="1"/>
  <c r="I160" i="1"/>
  <c r="I176" i="1"/>
  <c r="I192" i="1"/>
  <c r="I208" i="1"/>
  <c r="I224" i="1"/>
  <c r="I240" i="1"/>
  <c r="I256" i="1"/>
  <c r="I272" i="1"/>
  <c r="I288" i="1"/>
  <c r="I304" i="1"/>
  <c r="I320" i="1"/>
  <c r="I336" i="1"/>
  <c r="I352" i="1"/>
  <c r="I368" i="1"/>
  <c r="I384" i="1"/>
  <c r="I400" i="1"/>
  <c r="I416" i="1"/>
  <c r="I432" i="1"/>
  <c r="I448" i="1"/>
  <c r="I464" i="1"/>
  <c r="I480" i="1"/>
  <c r="I496" i="1"/>
  <c r="I512" i="1"/>
  <c r="I528" i="1"/>
  <c r="I544" i="1"/>
  <c r="I560" i="1"/>
  <c r="I576" i="1"/>
  <c r="I592" i="1"/>
  <c r="I608" i="1"/>
  <c r="I624" i="1"/>
  <c r="I640" i="1"/>
  <c r="I656" i="1"/>
  <c r="I672" i="1"/>
  <c r="I688" i="1"/>
  <c r="I704" i="1"/>
  <c r="I720" i="1"/>
  <c r="I736" i="1"/>
  <c r="I752" i="1"/>
  <c r="I768" i="1"/>
  <c r="I784" i="1"/>
  <c r="I800" i="1"/>
  <c r="I816" i="1"/>
  <c r="I832" i="1"/>
  <c r="I848" i="1"/>
  <c r="I864" i="1"/>
  <c r="I19" i="1"/>
  <c r="I35" i="1"/>
  <c r="I51" i="1"/>
  <c r="I21" i="1"/>
  <c r="I37" i="1"/>
  <c r="I53" i="1"/>
  <c r="I69" i="1"/>
  <c r="I85" i="1"/>
  <c r="I101" i="1"/>
  <c r="I117" i="1"/>
  <c r="I133" i="1"/>
  <c r="I149" i="1"/>
  <c r="I165" i="1"/>
  <c r="I181" i="1"/>
  <c r="I197" i="1"/>
  <c r="I213" i="1"/>
  <c r="I229" i="1"/>
  <c r="I245" i="1"/>
  <c r="I261" i="1"/>
  <c r="I277" i="1"/>
  <c r="I293" i="1"/>
  <c r="I309" i="1"/>
  <c r="I325" i="1"/>
  <c r="I341" i="1"/>
  <c r="I357" i="1"/>
  <c r="I373" i="1"/>
  <c r="I389" i="1"/>
  <c r="I405" i="1"/>
  <c r="I421" i="1"/>
  <c r="I437" i="1"/>
  <c r="I453" i="1"/>
  <c r="I469" i="1"/>
  <c r="I485" i="1"/>
  <c r="I501" i="1"/>
  <c r="I517" i="1"/>
  <c r="I533" i="1"/>
  <c r="I549" i="1"/>
  <c r="I565" i="1"/>
  <c r="I581" i="1"/>
  <c r="I597" i="1"/>
  <c r="I613" i="1"/>
  <c r="I629" i="1"/>
  <c r="I645" i="1"/>
  <c r="I661" i="1"/>
  <c r="I677" i="1"/>
  <c r="I693" i="1"/>
  <c r="I709" i="1"/>
  <c r="I725" i="1"/>
  <c r="I741" i="1"/>
  <c r="I757" i="1"/>
  <c r="I773" i="1"/>
  <c r="I789" i="1"/>
  <c r="I805" i="1"/>
  <c r="I821" i="1"/>
  <c r="I837" i="1"/>
  <c r="I853" i="1"/>
  <c r="I869" i="1"/>
  <c r="I885" i="1"/>
  <c r="I901" i="1"/>
  <c r="I917" i="1"/>
  <c r="I933" i="1"/>
  <c r="I949" i="1"/>
  <c r="I965" i="1"/>
  <c r="I981" i="1"/>
  <c r="I997" i="1"/>
  <c r="I1013" i="1"/>
  <c r="I1029" i="1"/>
  <c r="I59" i="1"/>
  <c r="I58" i="1"/>
  <c r="I90" i="1"/>
  <c r="I122" i="1"/>
  <c r="I154" i="1"/>
  <c r="I186" i="1"/>
  <c r="I218" i="1"/>
  <c r="I250" i="1"/>
  <c r="I282" i="1"/>
  <c r="I314" i="1"/>
  <c r="I346" i="1"/>
  <c r="I378" i="1"/>
  <c r="I410" i="1"/>
  <c r="I442" i="1"/>
  <c r="I474" i="1"/>
  <c r="I506" i="1"/>
  <c r="I538" i="1"/>
  <c r="I570" i="1"/>
  <c r="I602" i="1"/>
  <c r="I634" i="1"/>
  <c r="I666" i="1"/>
  <c r="I698" i="1"/>
  <c r="I730" i="1"/>
  <c r="I762" i="1"/>
  <c r="I794" i="1"/>
  <c r="I826" i="1"/>
  <c r="I858" i="1"/>
  <c r="I882" i="1"/>
  <c r="I903" i="1"/>
  <c r="I924" i="1"/>
  <c r="I946" i="1"/>
  <c r="I967" i="1"/>
  <c r="I988" i="1"/>
  <c r="I1010" i="1"/>
  <c r="I1031" i="1"/>
  <c r="I1047" i="1"/>
  <c r="I1063" i="1"/>
  <c r="I1079" i="1"/>
  <c r="I1095" i="1"/>
  <c r="I1111" i="1"/>
  <c r="I1127" i="1"/>
  <c r="I1143" i="1"/>
  <c r="I1159" i="1"/>
  <c r="I1175" i="1"/>
  <c r="I1191" i="1"/>
  <c r="I1207" i="1"/>
  <c r="I1223" i="1"/>
  <c r="I1239" i="1"/>
  <c r="I1255" i="1"/>
  <c r="I1271" i="1"/>
  <c r="I1287" i="1"/>
  <c r="I1303" i="1"/>
  <c r="I1319" i="1"/>
  <c r="I1335" i="1"/>
  <c r="I1351" i="1"/>
  <c r="I1367" i="1"/>
  <c r="I1383" i="1"/>
  <c r="I1399" i="1"/>
  <c r="I1415" i="1"/>
  <c r="I1431" i="1"/>
  <c r="I1447" i="1"/>
  <c r="I1463" i="1"/>
  <c r="I1479" i="1"/>
  <c r="I1495" i="1"/>
  <c r="I1511" i="1"/>
  <c r="I55" i="1"/>
  <c r="I87" i="1"/>
  <c r="I119" i="1"/>
  <c r="I151" i="1"/>
  <c r="I183" i="1"/>
  <c r="I215" i="1"/>
  <c r="I247" i="1"/>
  <c r="I279" i="1"/>
  <c r="I311" i="1"/>
  <c r="I343" i="1"/>
  <c r="I375" i="1"/>
  <c r="I407" i="1"/>
  <c r="I439" i="1"/>
  <c r="I471" i="1"/>
  <c r="I503" i="1"/>
  <c r="I535" i="1"/>
  <c r="I567" i="1"/>
  <c r="I599" i="1"/>
  <c r="I631" i="1"/>
  <c r="I663" i="1"/>
  <c r="I695" i="1"/>
  <c r="I727" i="1"/>
  <c r="I759" i="1"/>
  <c r="I791" i="1"/>
  <c r="I823" i="1"/>
  <c r="I855" i="1"/>
  <c r="I880" i="1"/>
  <c r="I902" i="1"/>
  <c r="I923" i="1"/>
  <c r="I944" i="1"/>
  <c r="I966" i="1"/>
  <c r="I987" i="1"/>
  <c r="I1008" i="1"/>
  <c r="I1030" i="1"/>
  <c r="I1046" i="1"/>
  <c r="I1062" i="1"/>
  <c r="I1078" i="1"/>
  <c r="I1094" i="1"/>
  <c r="I1110" i="1"/>
  <c r="I1126" i="1"/>
  <c r="I1142" i="1"/>
  <c r="I1158" i="1"/>
  <c r="I1174" i="1"/>
  <c r="I1190" i="1"/>
  <c r="I1206" i="1"/>
  <c r="I1222" i="1"/>
  <c r="I1238" i="1"/>
  <c r="I1254" i="1"/>
  <c r="I1270" i="1"/>
  <c r="I1286" i="1"/>
  <c r="I1302" i="1"/>
  <c r="I1318" i="1"/>
  <c r="I1334" i="1"/>
  <c r="I1350" i="1"/>
  <c r="I1366" i="1"/>
  <c r="I1382" i="1"/>
  <c r="I1398" i="1"/>
  <c r="I1414" i="1"/>
  <c r="I1430" i="1"/>
  <c r="I1446" i="1"/>
  <c r="I1462" i="1"/>
  <c r="I1478" i="1"/>
  <c r="I1494" i="1"/>
  <c r="I1510" i="1"/>
  <c r="I54" i="1"/>
  <c r="I86" i="1"/>
  <c r="I118" i="1"/>
  <c r="I150" i="1"/>
  <c r="I182" i="1"/>
  <c r="I214" i="1"/>
  <c r="I246" i="1"/>
  <c r="I278" i="1"/>
  <c r="I310" i="1"/>
  <c r="I342" i="1"/>
  <c r="I374" i="1"/>
  <c r="I406" i="1"/>
  <c r="I438" i="1"/>
  <c r="I470" i="1"/>
  <c r="I502" i="1"/>
  <c r="I534" i="1"/>
  <c r="I566" i="1"/>
  <c r="I598" i="1"/>
  <c r="I630" i="1"/>
  <c r="I662" i="1"/>
  <c r="I694" i="1"/>
  <c r="I726" i="1"/>
  <c r="I758" i="1"/>
  <c r="I790" i="1"/>
  <c r="I822" i="1"/>
  <c r="I854" i="1"/>
  <c r="I879" i="1"/>
  <c r="I900" i="1"/>
  <c r="I922" i="1"/>
  <c r="I943" i="1"/>
  <c r="I964" i="1"/>
  <c r="I986" i="1"/>
  <c r="I1007" i="1"/>
  <c r="I1028" i="1"/>
  <c r="I1045" i="1"/>
  <c r="I1061" i="1"/>
  <c r="I1077" i="1"/>
  <c r="I1093" i="1"/>
  <c r="I1109" i="1"/>
  <c r="I1125" i="1"/>
  <c r="I1141" i="1"/>
  <c r="I1157" i="1"/>
  <c r="I1173" i="1"/>
  <c r="I1189" i="1"/>
  <c r="I1205" i="1"/>
  <c r="I1221" i="1"/>
  <c r="I1237" i="1"/>
  <c r="I1253" i="1"/>
  <c r="I1269" i="1"/>
  <c r="I1285" i="1"/>
  <c r="I1301" i="1"/>
  <c r="I1317" i="1"/>
  <c r="I1333" i="1"/>
  <c r="I1349" i="1"/>
  <c r="I1365" i="1"/>
  <c r="I1381" i="1"/>
  <c r="I1397" i="1"/>
  <c r="I1413" i="1"/>
  <c r="I1429" i="1"/>
  <c r="I1445" i="1"/>
  <c r="I1461" i="1"/>
  <c r="I1477" i="1"/>
  <c r="I1493" i="1"/>
  <c r="I1509" i="1"/>
  <c r="I1525" i="1"/>
  <c r="I1541" i="1"/>
  <c r="I1557" i="1"/>
  <c r="I1573" i="1"/>
  <c r="I1589" i="1"/>
  <c r="I1605" i="1"/>
  <c r="I219" i="1"/>
  <c r="I347" i="1"/>
  <c r="I475" i="1"/>
  <c r="I827" i="1"/>
  <c r="I1626" i="1"/>
  <c r="I1786" i="1"/>
  <c r="I1886" i="1"/>
  <c r="I115" i="1"/>
  <c r="I243" i="1"/>
  <c r="I371" i="1"/>
  <c r="I499" i="1"/>
  <c r="I627" i="1"/>
  <c r="I755" i="1"/>
  <c r="I878" i="1"/>
  <c r="I963" i="1"/>
  <c r="I1044" i="1"/>
  <c r="I1108" i="1"/>
  <c r="I1172" i="1"/>
  <c r="I1236" i="1"/>
  <c r="I1300" i="1"/>
  <c r="I1364" i="1"/>
  <c r="I1428" i="1"/>
  <c r="I1492" i="1"/>
  <c r="I1527" i="1"/>
  <c r="I1548" i="1"/>
  <c r="I1570" i="1"/>
  <c r="I1591" i="1"/>
  <c r="I1612" i="1"/>
  <c r="I1629" i="1"/>
  <c r="I1645" i="1"/>
  <c r="I1661" i="1"/>
  <c r="I1677" i="1"/>
  <c r="I1693" i="1"/>
  <c r="I1709" i="1"/>
  <c r="I1725" i="1"/>
  <c r="I1741" i="1"/>
  <c r="I1757" i="1"/>
  <c r="I1773" i="1"/>
  <c r="I1789" i="1"/>
  <c r="I1805" i="1"/>
  <c r="I1821" i="1"/>
  <c r="I1837" i="1"/>
  <c r="I1853" i="1"/>
  <c r="I1869" i="1"/>
  <c r="I1885" i="1"/>
  <c r="I1901" i="1"/>
  <c r="I1917" i="1"/>
  <c r="I1933" i="1"/>
  <c r="I1949" i="1"/>
  <c r="I904" i="1"/>
  <c r="I1144" i="1"/>
  <c r="I1352" i="1"/>
  <c r="I1534" i="1"/>
  <c r="I1603" i="1"/>
  <c r="I1658" i="1"/>
  <c r="I1706" i="1"/>
  <c r="I1758" i="1"/>
  <c r="I1814" i="1"/>
  <c r="I1870" i="1"/>
  <c r="I1926" i="1"/>
  <c r="I107" i="1"/>
  <c r="I235" i="1"/>
  <c r="I363" i="1"/>
  <c r="I491" i="1"/>
  <c r="I619" i="1"/>
  <c r="I747" i="1"/>
  <c r="I872" i="1"/>
  <c r="I958" i="1"/>
  <c r="I1040" i="1"/>
  <c r="I1104" i="1"/>
  <c r="I1168" i="1"/>
  <c r="I1232" i="1"/>
  <c r="I1296" i="1"/>
  <c r="I1360" i="1"/>
  <c r="I1424" i="1"/>
  <c r="I1488" i="1"/>
  <c r="I1526" i="1"/>
  <c r="I1547" i="1"/>
  <c r="I1568" i="1"/>
  <c r="I1590" i="1"/>
  <c r="I1611" i="1"/>
  <c r="I1628" i="1"/>
  <c r="I1644" i="1"/>
  <c r="I1660" i="1"/>
  <c r="I1676" i="1"/>
  <c r="I1692" i="1"/>
  <c r="I1708" i="1"/>
  <c r="I1724" i="1"/>
  <c r="I1740" i="1"/>
  <c r="I1756" i="1"/>
  <c r="I1772" i="1"/>
  <c r="I1788" i="1"/>
  <c r="I1804" i="1"/>
  <c r="I1820" i="1"/>
  <c r="I1836" i="1"/>
  <c r="I1852" i="1"/>
  <c r="I1868" i="1"/>
  <c r="I1884" i="1"/>
  <c r="I1900" i="1"/>
  <c r="I1916" i="1"/>
  <c r="I1932" i="1"/>
  <c r="I1948" i="1"/>
  <c r="I859" i="1"/>
  <c r="I1112" i="1"/>
  <c r="I1320" i="1"/>
  <c r="I1523" i="1"/>
  <c r="I1582" i="1"/>
  <c r="I1638" i="1"/>
  <c r="I1694" i="1"/>
  <c r="I1754" i="1"/>
  <c r="I1806" i="1"/>
  <c r="I1862" i="1"/>
  <c r="I1922" i="1"/>
  <c r="I99" i="1"/>
  <c r="I227" i="1"/>
  <c r="I355" i="1"/>
  <c r="I483" i="1"/>
  <c r="I611" i="1"/>
  <c r="I739" i="1"/>
  <c r="I867" i="1"/>
  <c r="I952" i="1"/>
  <c r="I1036" i="1"/>
  <c r="I1100" i="1"/>
  <c r="I1164" i="1"/>
  <c r="I1228" i="1"/>
  <c r="I1292" i="1"/>
  <c r="I1356" i="1"/>
  <c r="I1420" i="1"/>
  <c r="I1484" i="1"/>
  <c r="I1524" i="1"/>
  <c r="I1546" i="1"/>
  <c r="I1567" i="1"/>
  <c r="I1588" i="1"/>
  <c r="I1610" i="1"/>
  <c r="I1627" i="1"/>
  <c r="I1643" i="1"/>
  <c r="I1659" i="1"/>
  <c r="I1675" i="1"/>
  <c r="I1691" i="1"/>
  <c r="I1707" i="1"/>
  <c r="I1723" i="1"/>
  <c r="I1739" i="1"/>
  <c r="I1755" i="1"/>
  <c r="I1771" i="1"/>
  <c r="I1787" i="1"/>
  <c r="I1803" i="1"/>
  <c r="I1819" i="1"/>
  <c r="I1835" i="1"/>
  <c r="I1851" i="1"/>
  <c r="I1867" i="1"/>
  <c r="I1883" i="1"/>
  <c r="I1899" i="1"/>
  <c r="I1915" i="1"/>
  <c r="I1931" i="1"/>
  <c r="I1947" i="1"/>
  <c r="I507" i="1"/>
  <c r="I795" i="1"/>
  <c r="I1080" i="1"/>
  <c r="I1288" i="1"/>
  <c r="I1448" i="1"/>
  <c r="I1560" i="1"/>
  <c r="I1622" i="1"/>
  <c r="I1674" i="1"/>
  <c r="I1726" i="1"/>
  <c r="I1790" i="1"/>
  <c r="I1850" i="1"/>
  <c r="I1906" i="1"/>
  <c r="I24" i="1"/>
  <c r="I56" i="1"/>
  <c r="I88" i="1"/>
  <c r="I120" i="1"/>
  <c r="I152" i="1"/>
  <c r="I184" i="1"/>
  <c r="I216" i="1"/>
  <c r="I248" i="1"/>
  <c r="I280" i="1"/>
  <c r="I312" i="1"/>
  <c r="I344" i="1"/>
  <c r="I376" i="1"/>
  <c r="I408" i="1"/>
  <c r="I440" i="1"/>
  <c r="I472" i="1"/>
  <c r="I504" i="1"/>
  <c r="I536" i="1"/>
  <c r="I568" i="1"/>
  <c r="I600" i="1"/>
  <c r="I632" i="1"/>
  <c r="I664" i="1"/>
  <c r="I696" i="1"/>
  <c r="I728" i="1"/>
  <c r="I760" i="1"/>
  <c r="I1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524" i="1"/>
  <c r="I540" i="1"/>
  <c r="I556" i="1"/>
  <c r="I572" i="1"/>
  <c r="I588" i="1"/>
  <c r="I604" i="1"/>
  <c r="I620" i="1"/>
  <c r="I636" i="1"/>
  <c r="I652" i="1"/>
  <c r="I668" i="1"/>
  <c r="I684" i="1"/>
  <c r="I700" i="1"/>
  <c r="I716" i="1"/>
  <c r="I732" i="1"/>
  <c r="I748" i="1"/>
  <c r="I764" i="1"/>
  <c r="I780" i="1"/>
  <c r="I796" i="1"/>
  <c r="I812" i="1"/>
  <c r="I828" i="1"/>
  <c r="I844" i="1"/>
  <c r="I860" i="1"/>
  <c r="I15" i="1"/>
  <c r="I31" i="1"/>
  <c r="I47" i="1"/>
  <c r="I17" i="1"/>
  <c r="I33" i="1"/>
  <c r="I49" i="1"/>
  <c r="I65" i="1"/>
  <c r="I81" i="1"/>
  <c r="I97" i="1"/>
  <c r="I113" i="1"/>
  <c r="I129" i="1"/>
  <c r="I145" i="1"/>
  <c r="I161" i="1"/>
  <c r="I177" i="1"/>
  <c r="I193" i="1"/>
  <c r="I209" i="1"/>
  <c r="I225" i="1"/>
  <c r="I241" i="1"/>
  <c r="I257" i="1"/>
  <c r="I273" i="1"/>
  <c r="I289" i="1"/>
  <c r="I305" i="1"/>
  <c r="I321" i="1"/>
  <c r="I337" i="1"/>
  <c r="I353" i="1"/>
  <c r="I369" i="1"/>
  <c r="I385" i="1"/>
  <c r="I401" i="1"/>
  <c r="I417" i="1"/>
  <c r="I433" i="1"/>
  <c r="I449" i="1"/>
  <c r="I465" i="1"/>
  <c r="I481" i="1"/>
  <c r="I497" i="1"/>
  <c r="I513" i="1"/>
  <c r="I529" i="1"/>
  <c r="I545" i="1"/>
  <c r="I561" i="1"/>
  <c r="I577" i="1"/>
  <c r="I593" i="1"/>
  <c r="I609" i="1"/>
  <c r="I625" i="1"/>
  <c r="I641" i="1"/>
  <c r="I657" i="1"/>
  <c r="I673" i="1"/>
  <c r="I689" i="1"/>
  <c r="I705" i="1"/>
  <c r="I721" i="1"/>
  <c r="I737" i="1"/>
  <c r="I753" i="1"/>
  <c r="I769" i="1"/>
  <c r="I785" i="1"/>
  <c r="I801" i="1"/>
  <c r="I817" i="1"/>
  <c r="I833" i="1"/>
  <c r="I849" i="1"/>
  <c r="I865" i="1"/>
  <c r="I881" i="1"/>
  <c r="I897" i="1"/>
  <c r="I913" i="1"/>
  <c r="I929" i="1"/>
  <c r="I945" i="1"/>
  <c r="I961" i="1"/>
  <c r="I977" i="1"/>
  <c r="I993" i="1"/>
  <c r="I1009" i="1"/>
  <c r="I1025" i="1"/>
  <c r="I50" i="1"/>
  <c r="I46" i="1"/>
  <c r="I82" i="1"/>
  <c r="I114" i="1"/>
  <c r="I146" i="1"/>
  <c r="I178" i="1"/>
  <c r="I210" i="1"/>
  <c r="I242" i="1"/>
  <c r="I274" i="1"/>
  <c r="I306" i="1"/>
  <c r="I338" i="1"/>
  <c r="I370" i="1"/>
  <c r="I402" i="1"/>
  <c r="I434" i="1"/>
  <c r="I466" i="1"/>
  <c r="I498" i="1"/>
  <c r="I530" i="1"/>
  <c r="I562" i="1"/>
  <c r="I594" i="1"/>
  <c r="I626" i="1"/>
  <c r="I658" i="1"/>
  <c r="I690" i="1"/>
  <c r="I722" i="1"/>
  <c r="I754" i="1"/>
  <c r="I786" i="1"/>
  <c r="I818" i="1"/>
  <c r="I850" i="1"/>
  <c r="I876" i="1"/>
  <c r="I898" i="1"/>
  <c r="I919" i="1"/>
  <c r="I940" i="1"/>
  <c r="I962" i="1"/>
  <c r="I983" i="1"/>
  <c r="I1004" i="1"/>
  <c r="I1026" i="1"/>
  <c r="I1043" i="1"/>
  <c r="I1059" i="1"/>
  <c r="I1075" i="1"/>
  <c r="I1091" i="1"/>
  <c r="I1107" i="1"/>
  <c r="I1123" i="1"/>
  <c r="I1139" i="1"/>
  <c r="I1155" i="1"/>
  <c r="I1171" i="1"/>
  <c r="I1187" i="1"/>
  <c r="I1203" i="1"/>
  <c r="I1219" i="1"/>
  <c r="I1235" i="1"/>
  <c r="I1251" i="1"/>
  <c r="I1267" i="1"/>
  <c r="I1283" i="1"/>
  <c r="I1299" i="1"/>
  <c r="I1315" i="1"/>
  <c r="I1331" i="1"/>
  <c r="I1347" i="1"/>
  <c r="I1363" i="1"/>
  <c r="I1379" i="1"/>
  <c r="I1395" i="1"/>
  <c r="I1411" i="1"/>
  <c r="I1427" i="1"/>
  <c r="I1443" i="1"/>
  <c r="I1459" i="1"/>
  <c r="I1475" i="1"/>
  <c r="I1491" i="1"/>
  <c r="I1507" i="1"/>
  <c r="I42" i="1"/>
  <c r="I79" i="1"/>
  <c r="I111" i="1"/>
  <c r="I143" i="1"/>
  <c r="I175" i="1"/>
  <c r="I207" i="1"/>
  <c r="I239" i="1"/>
  <c r="I271" i="1"/>
  <c r="I303" i="1"/>
  <c r="I335" i="1"/>
  <c r="I367" i="1"/>
  <c r="I399" i="1"/>
  <c r="I431" i="1"/>
  <c r="I463" i="1"/>
  <c r="I495" i="1"/>
  <c r="I527" i="1"/>
  <c r="I559" i="1"/>
  <c r="I591" i="1"/>
  <c r="I623" i="1"/>
  <c r="I655" i="1"/>
  <c r="I687" i="1"/>
  <c r="I719" i="1"/>
  <c r="I751" i="1"/>
  <c r="I783" i="1"/>
  <c r="I815" i="1"/>
  <c r="I847" i="1"/>
  <c r="I875" i="1"/>
  <c r="I896" i="1"/>
  <c r="I918" i="1"/>
  <c r="I939" i="1"/>
  <c r="I960" i="1"/>
  <c r="I982" i="1"/>
  <c r="I1003" i="1"/>
  <c r="I1024" i="1"/>
  <c r="I1042" i="1"/>
  <c r="I1058" i="1"/>
  <c r="I1074" i="1"/>
  <c r="I1090" i="1"/>
  <c r="I1106" i="1"/>
  <c r="I1122" i="1"/>
  <c r="I1138" i="1"/>
  <c r="I1154" i="1"/>
  <c r="I1170" i="1"/>
  <c r="I1186" i="1"/>
  <c r="I1202" i="1"/>
  <c r="I1218" i="1"/>
  <c r="I1234" i="1"/>
  <c r="I1250" i="1"/>
  <c r="I1266" i="1"/>
  <c r="I1282" i="1"/>
  <c r="I1298" i="1"/>
  <c r="I1314" i="1"/>
  <c r="I1330" i="1"/>
  <c r="I1346" i="1"/>
  <c r="I1362" i="1"/>
  <c r="I1378" i="1"/>
  <c r="I1394" i="1"/>
  <c r="I1410" i="1"/>
  <c r="I1426" i="1"/>
  <c r="I1442" i="1"/>
  <c r="I1458" i="1"/>
  <c r="I1474" i="1"/>
  <c r="I1490" i="1"/>
  <c r="I1506" i="1"/>
  <c r="I38" i="1"/>
  <c r="I78" i="1"/>
  <c r="I110" i="1"/>
  <c r="I142" i="1"/>
  <c r="I174" i="1"/>
  <c r="I206" i="1"/>
  <c r="I238" i="1"/>
  <c r="I270" i="1"/>
  <c r="I302" i="1"/>
  <c r="I334" i="1"/>
  <c r="I366" i="1"/>
  <c r="I398" i="1"/>
  <c r="I430" i="1"/>
  <c r="I462" i="1"/>
  <c r="I494" i="1"/>
  <c r="I526" i="1"/>
  <c r="I558" i="1"/>
  <c r="I590" i="1"/>
  <c r="I622" i="1"/>
  <c r="I654" i="1"/>
  <c r="I686" i="1"/>
  <c r="I718" i="1"/>
  <c r="I750" i="1"/>
  <c r="I782" i="1"/>
  <c r="I814" i="1"/>
  <c r="I846" i="1"/>
  <c r="I874" i="1"/>
  <c r="I895" i="1"/>
  <c r="I916" i="1"/>
  <c r="I938" i="1"/>
  <c r="I959" i="1"/>
  <c r="I980" i="1"/>
  <c r="I1002" i="1"/>
  <c r="I1023" i="1"/>
  <c r="I1041" i="1"/>
  <c r="I1057" i="1"/>
  <c r="I1073" i="1"/>
  <c r="I1089" i="1"/>
  <c r="I1105" i="1"/>
  <c r="I1121" i="1"/>
  <c r="I1137" i="1"/>
  <c r="I1153" i="1"/>
  <c r="I1169" i="1"/>
  <c r="I1185" i="1"/>
  <c r="I1201" i="1"/>
  <c r="I1217" i="1"/>
  <c r="I1233" i="1"/>
  <c r="I1249" i="1"/>
  <c r="I1265" i="1"/>
  <c r="I1281" i="1"/>
  <c r="I1297" i="1"/>
  <c r="I1313" i="1"/>
  <c r="I1329" i="1"/>
  <c r="I1345" i="1"/>
  <c r="I1361" i="1"/>
  <c r="I1377" i="1"/>
  <c r="I1393" i="1"/>
  <c r="I1409" i="1"/>
  <c r="I1425" i="1"/>
  <c r="I1441" i="1"/>
  <c r="I1457" i="1"/>
  <c r="I1473" i="1"/>
  <c r="I1489" i="1"/>
  <c r="I1505" i="1"/>
  <c r="I1521" i="1"/>
  <c r="I1537" i="1"/>
  <c r="I1553" i="1"/>
  <c r="I1569" i="1"/>
  <c r="I1585" i="1"/>
  <c r="I1601" i="1"/>
  <c r="I187" i="1"/>
  <c r="I315" i="1"/>
  <c r="I443" i="1"/>
  <c r="I667" i="1"/>
  <c r="I1496" i="1"/>
  <c r="I1762" i="1"/>
  <c r="I1858" i="1"/>
  <c r="I83" i="1"/>
  <c r="I211" i="1"/>
  <c r="I339" i="1"/>
  <c r="I467" i="1"/>
  <c r="I595" i="1"/>
  <c r="I723" i="1"/>
  <c r="I851" i="1"/>
  <c r="I942" i="1"/>
  <c r="I1027" i="1"/>
  <c r="I1092" i="1"/>
  <c r="I1156" i="1"/>
  <c r="I1220" i="1"/>
  <c r="I1284" i="1"/>
  <c r="I1348" i="1"/>
  <c r="I1412" i="1"/>
  <c r="I1476" i="1"/>
  <c r="I1522" i="1"/>
  <c r="I1543" i="1"/>
  <c r="I1564" i="1"/>
  <c r="I1586" i="1"/>
  <c r="I1607" i="1"/>
  <c r="I1625" i="1"/>
  <c r="I1641" i="1"/>
  <c r="I1657" i="1"/>
  <c r="I1673" i="1"/>
  <c r="I1689" i="1"/>
  <c r="I1705" i="1"/>
  <c r="I1721" i="1"/>
  <c r="I1737" i="1"/>
  <c r="I1753" i="1"/>
  <c r="I1769" i="1"/>
  <c r="I1785" i="1"/>
  <c r="I1801" i="1"/>
  <c r="I1817" i="1"/>
  <c r="I1833" i="1"/>
  <c r="I1849" i="1"/>
  <c r="I1865" i="1"/>
  <c r="I1881" i="1"/>
  <c r="I1897" i="1"/>
  <c r="I1913" i="1"/>
  <c r="I1929" i="1"/>
  <c r="I1945" i="1"/>
  <c r="I763" i="1"/>
  <c r="I1096" i="1"/>
  <c r="I1304" i="1"/>
  <c r="I1518" i="1"/>
  <c r="I1587" i="1"/>
  <c r="I1646" i="1"/>
  <c r="I1698" i="1"/>
  <c r="I1746" i="1"/>
  <c r="I1798" i="1"/>
  <c r="I1854" i="1"/>
  <c r="I1910" i="1"/>
  <c r="I75" i="1"/>
  <c r="I203" i="1"/>
  <c r="I331" i="1"/>
  <c r="I459" i="1"/>
  <c r="I587" i="1"/>
  <c r="I715" i="1"/>
  <c r="I843" i="1"/>
  <c r="I936" i="1"/>
  <c r="I1022" i="1"/>
  <c r="I1088" i="1"/>
  <c r="I1152" i="1"/>
  <c r="I1216" i="1"/>
  <c r="I1280" i="1"/>
  <c r="I1344" i="1"/>
  <c r="I1408" i="1"/>
  <c r="I1472" i="1"/>
  <c r="I1520" i="1"/>
  <c r="I1542" i="1"/>
  <c r="I1563" i="1"/>
  <c r="I1584" i="1"/>
  <c r="I1606" i="1"/>
  <c r="I1624" i="1"/>
  <c r="I1640" i="1"/>
  <c r="I1656" i="1"/>
  <c r="I1672" i="1"/>
  <c r="I1688" i="1"/>
  <c r="I1704" i="1"/>
  <c r="I1720" i="1"/>
  <c r="I1736" i="1"/>
  <c r="I1752" i="1"/>
  <c r="I1768" i="1"/>
  <c r="I1784" i="1"/>
  <c r="I1800" i="1"/>
  <c r="I1816" i="1"/>
  <c r="I1832" i="1"/>
  <c r="I1848" i="1"/>
  <c r="I1864" i="1"/>
  <c r="I1880" i="1"/>
  <c r="I1896" i="1"/>
  <c r="I1912" i="1"/>
  <c r="I1928" i="1"/>
  <c r="I1944" i="1"/>
  <c r="I699" i="1"/>
  <c r="I1048" i="1"/>
  <c r="I1272" i="1"/>
  <c r="I1480" i="1"/>
  <c r="I1566" i="1"/>
  <c r="I1630" i="1"/>
  <c r="I1678" i="1"/>
  <c r="I1742" i="1"/>
  <c r="I1794" i="1"/>
  <c r="I1846" i="1"/>
  <c r="I1902" i="1"/>
  <c r="I67" i="1"/>
  <c r="I195" i="1"/>
  <c r="I323" i="1"/>
  <c r="I451" i="1"/>
  <c r="I579" i="1"/>
  <c r="I707" i="1"/>
  <c r="I835" i="1"/>
  <c r="I931" i="1"/>
  <c r="I1016" i="1"/>
  <c r="I1084" i="1"/>
  <c r="I1148" i="1"/>
  <c r="I1212" i="1"/>
  <c r="I1276" i="1"/>
  <c r="I1340" i="1"/>
  <c r="I1404" i="1"/>
  <c r="I1468" i="1"/>
  <c r="I1519" i="1"/>
  <c r="I1540" i="1"/>
  <c r="I1562" i="1"/>
  <c r="I1583" i="1"/>
  <c r="I1604" i="1"/>
  <c r="I1623" i="1"/>
  <c r="I1639" i="1"/>
  <c r="I1655" i="1"/>
  <c r="I1671" i="1"/>
  <c r="I1687" i="1"/>
  <c r="I1703" i="1"/>
  <c r="I1719" i="1"/>
  <c r="I1735" i="1"/>
  <c r="I1751" i="1"/>
  <c r="I1767" i="1"/>
  <c r="I1783" i="1"/>
  <c r="I1799" i="1"/>
  <c r="I1815" i="1"/>
  <c r="I1831" i="1"/>
  <c r="I1847" i="1"/>
  <c r="I1863" i="1"/>
  <c r="I1879" i="1"/>
  <c r="I1895" i="1"/>
  <c r="I1911" i="1"/>
  <c r="I1927" i="1"/>
  <c r="I1943" i="1"/>
  <c r="I91" i="1"/>
  <c r="I731" i="1"/>
  <c r="I1011" i="1"/>
  <c r="I1240" i="1"/>
  <c r="I1416" i="1"/>
  <c r="I1544" i="1"/>
  <c r="I1608" i="1"/>
  <c r="I1662" i="1"/>
  <c r="I1710" i="1"/>
  <c r="I1770" i="1"/>
  <c r="I1838" i="1"/>
  <c r="I1894" i="1"/>
  <c r="I1942" i="1"/>
  <c r="I8" i="1"/>
  <c r="I40" i="1"/>
  <c r="I72" i="1"/>
  <c r="I104" i="1"/>
  <c r="I136" i="1"/>
  <c r="I168" i="1"/>
  <c r="I200" i="1"/>
  <c r="I232" i="1"/>
  <c r="I264" i="1"/>
  <c r="I296" i="1"/>
  <c r="I328" i="1"/>
  <c r="I360" i="1"/>
  <c r="I392" i="1"/>
  <c r="I424" i="1"/>
  <c r="I456" i="1"/>
  <c r="I488" i="1"/>
  <c r="I520" i="1"/>
  <c r="I552" i="1"/>
  <c r="I584" i="1"/>
  <c r="I616" i="1"/>
  <c r="I648" i="1"/>
  <c r="I680" i="1"/>
  <c r="I712" i="1"/>
  <c r="I744" i="1"/>
  <c r="I20" i="1"/>
  <c r="I36" i="1"/>
  <c r="I52" i="1"/>
  <c r="I68" i="1"/>
  <c r="I84" i="1"/>
  <c r="I100" i="1"/>
  <c r="I116" i="1"/>
  <c r="I132" i="1"/>
  <c r="I148" i="1"/>
  <c r="I164" i="1"/>
  <c r="I180" i="1"/>
  <c r="I196" i="1"/>
  <c r="I212" i="1"/>
  <c r="I228" i="1"/>
  <c r="I244" i="1"/>
  <c r="I260" i="1"/>
  <c r="I276" i="1"/>
  <c r="I292" i="1"/>
  <c r="I308" i="1"/>
  <c r="I324" i="1"/>
  <c r="I340" i="1"/>
  <c r="I356" i="1"/>
  <c r="I372" i="1"/>
  <c r="I388" i="1"/>
  <c r="I404" i="1"/>
  <c r="I420" i="1"/>
  <c r="I436" i="1"/>
  <c r="I452" i="1"/>
  <c r="I468" i="1"/>
  <c r="I484" i="1"/>
  <c r="I500" i="1"/>
  <c r="I516" i="1"/>
  <c r="I532" i="1"/>
  <c r="I548" i="1"/>
  <c r="I564" i="1"/>
  <c r="I580" i="1"/>
  <c r="I596" i="1"/>
  <c r="I612" i="1"/>
  <c r="I628" i="1"/>
  <c r="I644" i="1"/>
  <c r="I660" i="1"/>
  <c r="I676" i="1"/>
  <c r="I692" i="1"/>
  <c r="I708" i="1"/>
  <c r="I724" i="1"/>
  <c r="I740" i="1"/>
  <c r="I756" i="1"/>
  <c r="I772" i="1"/>
  <c r="I788" i="1"/>
  <c r="I804" i="1"/>
  <c r="I820" i="1"/>
  <c r="I836" i="1"/>
  <c r="I852" i="1"/>
  <c r="I7" i="1"/>
  <c r="I23" i="1"/>
  <c r="I39" i="1"/>
  <c r="I9" i="1"/>
  <c r="I25" i="1"/>
  <c r="I41" i="1"/>
  <c r="I57" i="1"/>
  <c r="I73" i="1"/>
  <c r="I89" i="1"/>
  <c r="I105" i="1"/>
  <c r="I121" i="1"/>
  <c r="I137" i="1"/>
  <c r="I153" i="1"/>
  <c r="I169" i="1"/>
  <c r="I185" i="1"/>
  <c r="I201" i="1"/>
  <c r="I217" i="1"/>
  <c r="I233" i="1"/>
  <c r="I249" i="1"/>
  <c r="I265" i="1"/>
  <c r="I281" i="1"/>
  <c r="I297" i="1"/>
  <c r="I313" i="1"/>
  <c r="I329" i="1"/>
  <c r="I345" i="1"/>
  <c r="I361" i="1"/>
  <c r="I377" i="1"/>
  <c r="I393" i="1"/>
  <c r="I409" i="1"/>
  <c r="I425" i="1"/>
  <c r="I441" i="1"/>
  <c r="I457" i="1"/>
  <c r="I473" i="1"/>
  <c r="I489" i="1"/>
  <c r="I505" i="1"/>
  <c r="I521" i="1"/>
  <c r="I537" i="1"/>
  <c r="I553" i="1"/>
  <c r="I569" i="1"/>
  <c r="I585" i="1"/>
  <c r="I601" i="1"/>
  <c r="I617" i="1"/>
  <c r="I633" i="1"/>
  <c r="I649" i="1"/>
  <c r="I665" i="1"/>
  <c r="I681" i="1"/>
  <c r="I697" i="1"/>
  <c r="I713" i="1"/>
  <c r="I729" i="1"/>
  <c r="I745" i="1"/>
  <c r="I761" i="1"/>
  <c r="I777" i="1"/>
  <c r="I793" i="1"/>
  <c r="I809" i="1"/>
  <c r="I825" i="1"/>
  <c r="I841" i="1"/>
  <c r="I857" i="1"/>
  <c r="I873" i="1"/>
  <c r="I889" i="1"/>
  <c r="I905" i="1"/>
  <c r="I921" i="1"/>
  <c r="I937" i="1"/>
  <c r="I953" i="1"/>
  <c r="I969" i="1"/>
  <c r="I985" i="1"/>
  <c r="I1001" i="1"/>
  <c r="I1017" i="1"/>
  <c r="I18" i="1"/>
  <c r="I14" i="1"/>
  <c r="I66" i="1"/>
  <c r="I98" i="1"/>
  <c r="I130" i="1"/>
  <c r="I162" i="1"/>
  <c r="I194" i="1"/>
  <c r="I226" i="1"/>
  <c r="I258" i="1"/>
  <c r="I290" i="1"/>
  <c r="I322" i="1"/>
  <c r="I354" i="1"/>
  <c r="I386" i="1"/>
  <c r="I418" i="1"/>
  <c r="I450" i="1"/>
  <c r="I482" i="1"/>
  <c r="I514" i="1"/>
  <c r="I546" i="1"/>
  <c r="I578" i="1"/>
  <c r="I610" i="1"/>
  <c r="I642" i="1"/>
  <c r="I674" i="1"/>
  <c r="I706" i="1"/>
  <c r="I738" i="1"/>
  <c r="I770" i="1"/>
  <c r="I802" i="1"/>
  <c r="I834" i="1"/>
  <c r="I866" i="1"/>
  <c r="I887" i="1"/>
  <c r="I908" i="1"/>
  <c r="I930" i="1"/>
  <c r="I951" i="1"/>
  <c r="I972" i="1"/>
  <c r="I994" i="1"/>
  <c r="I1015" i="1"/>
  <c r="I1035" i="1"/>
  <c r="I1051" i="1"/>
  <c r="I1067" i="1"/>
  <c r="I1083" i="1"/>
  <c r="I1099" i="1"/>
  <c r="I1115" i="1"/>
  <c r="I1131" i="1"/>
  <c r="I1147" i="1"/>
  <c r="I1163" i="1"/>
  <c r="I1179" i="1"/>
  <c r="I1195" i="1"/>
  <c r="I1211" i="1"/>
  <c r="I1227" i="1"/>
  <c r="I1243" i="1"/>
  <c r="I1259" i="1"/>
  <c r="I1275" i="1"/>
  <c r="I1291" i="1"/>
  <c r="I1307" i="1"/>
  <c r="I1323" i="1"/>
  <c r="I1339" i="1"/>
  <c r="I1355" i="1"/>
  <c r="I1371" i="1"/>
  <c r="I1387" i="1"/>
  <c r="I1403" i="1"/>
  <c r="I1419" i="1"/>
  <c r="I1435" i="1"/>
  <c r="I1451" i="1"/>
  <c r="I1467" i="1"/>
  <c r="I1483" i="1"/>
  <c r="I1499" i="1"/>
  <c r="I10" i="1"/>
  <c r="I808" i="1"/>
  <c r="I11" i="1"/>
  <c r="I29" i="1"/>
  <c r="I93" i="1"/>
  <c r="I157" i="1"/>
  <c r="I221" i="1"/>
  <c r="I285" i="1"/>
  <c r="I349" i="1"/>
  <c r="I413" i="1"/>
  <c r="I477" i="1"/>
  <c r="I541" i="1"/>
  <c r="I605" i="1"/>
  <c r="I669" i="1"/>
  <c r="I733" i="1"/>
  <c r="I797" i="1"/>
  <c r="I861" i="1"/>
  <c r="I925" i="1"/>
  <c r="I989" i="1"/>
  <c r="I30" i="1"/>
  <c r="I170" i="1"/>
  <c r="I298" i="1"/>
  <c r="I426" i="1"/>
  <c r="I554" i="1"/>
  <c r="I682" i="1"/>
  <c r="I810" i="1"/>
  <c r="I914" i="1"/>
  <c r="I999" i="1"/>
  <c r="I1071" i="1"/>
  <c r="I1135" i="1"/>
  <c r="I1199" i="1"/>
  <c r="I1263" i="1"/>
  <c r="I1327" i="1"/>
  <c r="I1391" i="1"/>
  <c r="I1455" i="1"/>
  <c r="I26" i="1"/>
  <c r="I103" i="1"/>
  <c r="I167" i="1"/>
  <c r="I231" i="1"/>
  <c r="I295" i="1"/>
  <c r="I359" i="1"/>
  <c r="I423" i="1"/>
  <c r="I487" i="1"/>
  <c r="I551" i="1"/>
  <c r="I615" i="1"/>
  <c r="I679" i="1"/>
  <c r="I743" i="1"/>
  <c r="I807" i="1"/>
  <c r="I870" i="1"/>
  <c r="I912" i="1"/>
  <c r="I955" i="1"/>
  <c r="I998" i="1"/>
  <c r="I1038" i="1"/>
  <c r="I1070" i="1"/>
  <c r="I1102" i="1"/>
  <c r="I1134" i="1"/>
  <c r="I1166" i="1"/>
  <c r="I1198" i="1"/>
  <c r="I1230" i="1"/>
  <c r="I1262" i="1"/>
  <c r="I1294" i="1"/>
  <c r="I1326" i="1"/>
  <c r="I1358" i="1"/>
  <c r="I1390" i="1"/>
  <c r="I1422" i="1"/>
  <c r="I1454" i="1"/>
  <c r="I1486" i="1"/>
  <c r="I22" i="1"/>
  <c r="I102" i="1"/>
  <c r="I166" i="1"/>
  <c r="I230" i="1"/>
  <c r="I294" i="1"/>
  <c r="I358" i="1"/>
  <c r="I422" i="1"/>
  <c r="I486" i="1"/>
  <c r="I550" i="1"/>
  <c r="I614" i="1"/>
  <c r="I678" i="1"/>
  <c r="I742" i="1"/>
  <c r="I806" i="1"/>
  <c r="I868" i="1"/>
  <c r="I911" i="1"/>
  <c r="I954" i="1"/>
  <c r="I996" i="1"/>
  <c r="I1037" i="1"/>
  <c r="I1069" i="1"/>
  <c r="I1101" i="1"/>
  <c r="I1133" i="1"/>
  <c r="I1165" i="1"/>
  <c r="I1197" i="1"/>
  <c r="I1229" i="1"/>
  <c r="I1261" i="1"/>
  <c r="I1293" i="1"/>
  <c r="I1325" i="1"/>
  <c r="I1357" i="1"/>
  <c r="I1389" i="1"/>
  <c r="I1421" i="1"/>
  <c r="I1453" i="1"/>
  <c r="I1485" i="1"/>
  <c r="I1517" i="1"/>
  <c r="I1549" i="1"/>
  <c r="I1581" i="1"/>
  <c r="I1613" i="1"/>
  <c r="I411" i="1"/>
  <c r="I1224" i="1"/>
  <c r="I1834" i="1"/>
  <c r="I179" i="1"/>
  <c r="I435" i="1"/>
  <c r="I691" i="1"/>
  <c r="I920" i="1"/>
  <c r="I1076" i="1"/>
  <c r="I1204" i="1"/>
  <c r="I1332" i="1"/>
  <c r="I1460" i="1"/>
  <c r="I1538" i="1"/>
  <c r="I1580" i="1"/>
  <c r="I1621" i="1"/>
  <c r="I1653" i="1"/>
  <c r="I1685" i="1"/>
  <c r="I1717" i="1"/>
  <c r="I1749" i="1"/>
  <c r="I1781" i="1"/>
  <c r="I1813" i="1"/>
  <c r="I1845" i="1"/>
  <c r="I1877" i="1"/>
  <c r="I1909" i="1"/>
  <c r="I1941" i="1"/>
  <c r="I1064" i="1"/>
  <c r="I1464" i="1"/>
  <c r="I1634" i="1"/>
  <c r="I1734" i="1"/>
  <c r="I1842" i="1"/>
  <c r="I1950" i="1"/>
  <c r="I299" i="1"/>
  <c r="I555" i="1"/>
  <c r="I811" i="1"/>
  <c r="I1000" i="1"/>
  <c r="I1136" i="1"/>
  <c r="I1264" i="1"/>
  <c r="I1392" i="1"/>
  <c r="I1515" i="1"/>
  <c r="I1558" i="1"/>
  <c r="I1600" i="1"/>
  <c r="I1636" i="1"/>
  <c r="I1668" i="1"/>
  <c r="I1700" i="1"/>
  <c r="I1732" i="1"/>
  <c r="I1764" i="1"/>
  <c r="I1796" i="1"/>
  <c r="I1828" i="1"/>
  <c r="I1860" i="1"/>
  <c r="I1892" i="1"/>
  <c r="I1924" i="1"/>
  <c r="I123" i="1"/>
  <c r="I1208" i="1"/>
  <c r="I1555" i="1"/>
  <c r="I1666" i="1"/>
  <c r="I1778" i="1"/>
  <c r="I1890" i="1"/>
  <c r="I163" i="1"/>
  <c r="I419" i="1"/>
  <c r="I675" i="1"/>
  <c r="I910" i="1"/>
  <c r="I1068" i="1"/>
  <c r="I1196" i="1"/>
  <c r="I1324" i="1"/>
  <c r="I1452" i="1"/>
  <c r="I1535" i="1"/>
  <c r="I1578" i="1"/>
  <c r="I1619" i="1"/>
  <c r="I1651" i="1"/>
  <c r="I1683" i="1"/>
  <c r="I1715" i="1"/>
  <c r="I1747" i="1"/>
  <c r="I1779" i="1"/>
  <c r="I1811" i="1"/>
  <c r="I1843" i="1"/>
  <c r="I1875" i="1"/>
  <c r="I1907" i="1"/>
  <c r="I1939" i="1"/>
  <c r="I635" i="1"/>
  <c r="I1176" i="1"/>
  <c r="I1528" i="1"/>
  <c r="I1654" i="1"/>
  <c r="I1750" i="1"/>
  <c r="I1878" i="1"/>
  <c r="I1248" i="1"/>
  <c r="I1792" i="1"/>
  <c r="I1888" i="1"/>
  <c r="I1952" i="1"/>
  <c r="I1160" i="1"/>
  <c r="I1650" i="1"/>
  <c r="I1874" i="1"/>
  <c r="I131" i="1"/>
  <c r="I643" i="1"/>
  <c r="I1052" i="1"/>
  <c r="I1308" i="1"/>
  <c r="I1436" i="1"/>
  <c r="I1572" i="1"/>
  <c r="I1647" i="1"/>
  <c r="I1711" i="1"/>
  <c r="I1807" i="1"/>
  <c r="I1871" i="1"/>
  <c r="I603" i="1"/>
  <c r="I1512" i="1"/>
  <c r="I1866" i="1"/>
  <c r="I792" i="1"/>
  <c r="I856" i="1"/>
  <c r="I13" i="1"/>
  <c r="I77" i="1"/>
  <c r="I141" i="1"/>
  <c r="I205" i="1"/>
  <c r="I269" i="1"/>
  <c r="I333" i="1"/>
  <c r="I397" i="1"/>
  <c r="I461" i="1"/>
  <c r="I525" i="1"/>
  <c r="I589" i="1"/>
  <c r="I653" i="1"/>
  <c r="I717" i="1"/>
  <c r="I781" i="1"/>
  <c r="I845" i="1"/>
  <c r="I909" i="1"/>
  <c r="I973" i="1"/>
  <c r="I34" i="1"/>
  <c r="I138" i="1"/>
  <c r="I266" i="1"/>
  <c r="I394" i="1"/>
  <c r="I522" i="1"/>
  <c r="I650" i="1"/>
  <c r="I778" i="1"/>
  <c r="I892" i="1"/>
  <c r="I978" i="1"/>
  <c r="I1055" i="1"/>
  <c r="I1119" i="1"/>
  <c r="I1183" i="1"/>
  <c r="I1247" i="1"/>
  <c r="I1311" i="1"/>
  <c r="I1375" i="1"/>
  <c r="I1439" i="1"/>
  <c r="I1503" i="1"/>
  <c r="I95" i="1"/>
  <c r="I159" i="1"/>
  <c r="I223" i="1"/>
  <c r="I287" i="1"/>
  <c r="I351" i="1"/>
  <c r="I415" i="1"/>
  <c r="I479" i="1"/>
  <c r="I543" i="1"/>
  <c r="I607" i="1"/>
  <c r="I671" i="1"/>
  <c r="I735" i="1"/>
  <c r="I799" i="1"/>
  <c r="I863" i="1"/>
  <c r="I907" i="1"/>
  <c r="I950" i="1"/>
  <c r="I992" i="1"/>
  <c r="I1034" i="1"/>
  <c r="I1066" i="1"/>
  <c r="I1098" i="1"/>
  <c r="I1130" i="1"/>
  <c r="I1162" i="1"/>
  <c r="I1194" i="1"/>
  <c r="I1226" i="1"/>
  <c r="I1258" i="1"/>
  <c r="I1290" i="1"/>
  <c r="I1322" i="1"/>
  <c r="I1354" i="1"/>
  <c r="I1386" i="1"/>
  <c r="I1418" i="1"/>
  <c r="I1450" i="1"/>
  <c r="I1482" i="1"/>
  <c r="I6" i="1"/>
  <c r="E6" i="1" s="1" a="1"/>
  <c r="I94" i="1"/>
  <c r="I158" i="1"/>
  <c r="I222" i="1"/>
  <c r="I286" i="1"/>
  <c r="I350" i="1"/>
  <c r="I414" i="1"/>
  <c r="I478" i="1"/>
  <c r="I542" i="1"/>
  <c r="I606" i="1"/>
  <c r="I670" i="1"/>
  <c r="I734" i="1"/>
  <c r="I798" i="1"/>
  <c r="I862" i="1"/>
  <c r="I906" i="1"/>
  <c r="I948" i="1"/>
  <c r="I991" i="1"/>
  <c r="I1033" i="1"/>
  <c r="I1065" i="1"/>
  <c r="I1097" i="1"/>
  <c r="I1129" i="1"/>
  <c r="I1161" i="1"/>
  <c r="I1193" i="1"/>
  <c r="I1225" i="1"/>
  <c r="I1257" i="1"/>
  <c r="I1289" i="1"/>
  <c r="I1321" i="1"/>
  <c r="I1353" i="1"/>
  <c r="I1385" i="1"/>
  <c r="I1417" i="1"/>
  <c r="I1449" i="1"/>
  <c r="I1481" i="1"/>
  <c r="I1513" i="1"/>
  <c r="I1545" i="1"/>
  <c r="I1577" i="1"/>
  <c r="I1609" i="1"/>
  <c r="I379" i="1"/>
  <c r="I1032" i="1"/>
  <c r="I1810" i="1"/>
  <c r="I147" i="1"/>
  <c r="I403" i="1"/>
  <c r="I659" i="1"/>
  <c r="I899" i="1"/>
  <c r="I1060" i="1"/>
  <c r="I1188" i="1"/>
  <c r="I1316" i="1"/>
  <c r="I1444" i="1"/>
  <c r="I1532" i="1"/>
  <c r="I1575" i="1"/>
  <c r="I1617" i="1"/>
  <c r="I1649" i="1"/>
  <c r="I1681" i="1"/>
  <c r="I1713" i="1"/>
  <c r="I1745" i="1"/>
  <c r="I1777" i="1"/>
  <c r="I1809" i="1"/>
  <c r="I1841" i="1"/>
  <c r="I1873" i="1"/>
  <c r="I1905" i="1"/>
  <c r="I1937" i="1"/>
  <c r="I990" i="1"/>
  <c r="I1400" i="1"/>
  <c r="I1618" i="1"/>
  <c r="I1718" i="1"/>
  <c r="I1826" i="1"/>
  <c r="I1938" i="1"/>
  <c r="I267" i="1"/>
  <c r="I523" i="1"/>
  <c r="I779" i="1"/>
  <c r="I979" i="1"/>
  <c r="I1120" i="1"/>
  <c r="I1376" i="1"/>
  <c r="I1504" i="1"/>
  <c r="I1552" i="1"/>
  <c r="I1595" i="1"/>
  <c r="I1632" i="1"/>
  <c r="I1664" i="1"/>
  <c r="I1696" i="1"/>
  <c r="I1728" i="1"/>
  <c r="I1760" i="1"/>
  <c r="I1824" i="1"/>
  <c r="I1856" i="1"/>
  <c r="I1920" i="1"/>
  <c r="I1539" i="1"/>
  <c r="I1766" i="1"/>
  <c r="I387" i="1"/>
  <c r="I888" i="1"/>
  <c r="I1180" i="1"/>
  <c r="I1530" i="1"/>
  <c r="I1615" i="1"/>
  <c r="I1679" i="1"/>
  <c r="I1775" i="1"/>
  <c r="I1839" i="1"/>
  <c r="I1935" i="1"/>
  <c r="I1642" i="1"/>
  <c r="I776" i="1"/>
  <c r="I840" i="1"/>
  <c r="I43" i="1"/>
  <c r="I61" i="1"/>
  <c r="I125" i="1"/>
  <c r="I189" i="1"/>
  <c r="I253" i="1"/>
  <c r="I317" i="1"/>
  <c r="I381" i="1"/>
  <c r="I445" i="1"/>
  <c r="I509" i="1"/>
  <c r="I573" i="1"/>
  <c r="I637" i="1"/>
  <c r="I701" i="1"/>
  <c r="I765" i="1"/>
  <c r="I829" i="1"/>
  <c r="I893" i="1"/>
  <c r="I957" i="1"/>
  <c r="I1021" i="1"/>
  <c r="I106" i="1"/>
  <c r="I234" i="1"/>
  <c r="I362" i="1"/>
  <c r="I490" i="1"/>
  <c r="I618" i="1"/>
  <c r="I746" i="1"/>
  <c r="I871" i="1"/>
  <c r="I956" i="1"/>
  <c r="I1039" i="1"/>
  <c r="I1103" i="1"/>
  <c r="I1167" i="1"/>
  <c r="I1231" i="1"/>
  <c r="I1295" i="1"/>
  <c r="I1359" i="1"/>
  <c r="I1423" i="1"/>
  <c r="I1487" i="1"/>
  <c r="I71" i="1"/>
  <c r="I135" i="1"/>
  <c r="I199" i="1"/>
  <c r="I263" i="1"/>
  <c r="I327" i="1"/>
  <c r="I391" i="1"/>
  <c r="I455" i="1"/>
  <c r="I519" i="1"/>
  <c r="I583" i="1"/>
  <c r="I647" i="1"/>
  <c r="I711" i="1"/>
  <c r="I775" i="1"/>
  <c r="I839" i="1"/>
  <c r="I891" i="1"/>
  <c r="I934" i="1"/>
  <c r="I976" i="1"/>
  <c r="I1019" i="1"/>
  <c r="I1054" i="1"/>
  <c r="I1086" i="1"/>
  <c r="I1118" i="1"/>
  <c r="I1150" i="1"/>
  <c r="I1182" i="1"/>
  <c r="I1214" i="1"/>
  <c r="I1246" i="1"/>
  <c r="I1278" i="1"/>
  <c r="I1310" i="1"/>
  <c r="I1342" i="1"/>
  <c r="I1374" i="1"/>
  <c r="I1406" i="1"/>
  <c r="I1438" i="1"/>
  <c r="I1470" i="1"/>
  <c r="I1502" i="1"/>
  <c r="I70" i="1"/>
  <c r="I134" i="1"/>
  <c r="I198" i="1"/>
  <c r="I262" i="1"/>
  <c r="I326" i="1"/>
  <c r="I390" i="1"/>
  <c r="I454" i="1"/>
  <c r="I518" i="1"/>
  <c r="I582" i="1"/>
  <c r="I646" i="1"/>
  <c r="I710" i="1"/>
  <c r="I774" i="1"/>
  <c r="I838" i="1"/>
  <c r="I890" i="1"/>
  <c r="I932" i="1"/>
  <c r="I975" i="1"/>
  <c r="I1018" i="1"/>
  <c r="I1053" i="1"/>
  <c r="I1085" i="1"/>
  <c r="I1117" i="1"/>
  <c r="I1149" i="1"/>
  <c r="I1181" i="1"/>
  <c r="I1213" i="1"/>
  <c r="I1245" i="1"/>
  <c r="I1277" i="1"/>
  <c r="I1309" i="1"/>
  <c r="I1341" i="1"/>
  <c r="I1373" i="1"/>
  <c r="I1405" i="1"/>
  <c r="I1437" i="1"/>
  <c r="I1469" i="1"/>
  <c r="I1501" i="1"/>
  <c r="I1533" i="1"/>
  <c r="I1565" i="1"/>
  <c r="I1597" i="1"/>
  <c r="I283" i="1"/>
  <c r="I571" i="1"/>
  <c r="I1722" i="1"/>
  <c r="I1954" i="1"/>
  <c r="I307" i="1"/>
  <c r="I563" i="1"/>
  <c r="I819" i="1"/>
  <c r="I1006" i="1"/>
  <c r="I1140" i="1"/>
  <c r="I1268" i="1"/>
  <c r="I1396" i="1"/>
  <c r="I1516" i="1"/>
  <c r="I1559" i="1"/>
  <c r="I1602" i="1"/>
  <c r="I1637" i="1"/>
  <c r="I1669" i="1"/>
  <c r="I1701" i="1"/>
  <c r="I1733" i="1"/>
  <c r="I1765" i="1"/>
  <c r="I1797" i="1"/>
  <c r="I1829" i="1"/>
  <c r="I1861" i="1"/>
  <c r="I1893" i="1"/>
  <c r="I1925" i="1"/>
  <c r="I155" i="1"/>
  <c r="I1256" i="1"/>
  <c r="I1571" i="1"/>
  <c r="I1682" i="1"/>
  <c r="I1782" i="1"/>
  <c r="I1898" i="1"/>
  <c r="I171" i="1"/>
  <c r="I427" i="1"/>
  <c r="I683" i="1"/>
  <c r="I915" i="1"/>
  <c r="I1072" i="1"/>
  <c r="I1200" i="1"/>
  <c r="I1328" i="1"/>
  <c r="I1456" i="1"/>
  <c r="I1536" i="1"/>
  <c r="I1579" i="1"/>
  <c r="I1620" i="1"/>
  <c r="I1652" i="1"/>
  <c r="I1684" i="1"/>
  <c r="I1716" i="1"/>
  <c r="I1748" i="1"/>
  <c r="I1780" i="1"/>
  <c r="I1812" i="1"/>
  <c r="I1844" i="1"/>
  <c r="I1876" i="1"/>
  <c r="I1908" i="1"/>
  <c r="I1940" i="1"/>
  <c r="I968" i="1"/>
  <c r="I1432" i="1"/>
  <c r="I1614" i="1"/>
  <c r="I1730" i="1"/>
  <c r="I1830" i="1"/>
  <c r="I1946" i="1"/>
  <c r="I291" i="1"/>
  <c r="I547" i="1"/>
  <c r="I803" i="1"/>
  <c r="I995" i="1"/>
  <c r="I1132" i="1"/>
  <c r="I1260" i="1"/>
  <c r="I1388" i="1"/>
  <c r="I1514" i="1"/>
  <c r="I1556" i="1"/>
  <c r="I1599" i="1"/>
  <c r="I1635" i="1"/>
  <c r="I1667" i="1"/>
  <c r="I1699" i="1"/>
  <c r="I1731" i="1"/>
  <c r="I1763" i="1"/>
  <c r="I1795" i="1"/>
  <c r="I1827" i="1"/>
  <c r="I1859" i="1"/>
  <c r="I1891" i="1"/>
  <c r="I1923" i="1"/>
  <c r="I1955" i="1"/>
  <c r="I1956" i="1" s="1"/>
  <c r="I947" i="1"/>
  <c r="I1368" i="1"/>
  <c r="I1592" i="1"/>
  <c r="I1702" i="1"/>
  <c r="I1822" i="1"/>
  <c r="I1930" i="1"/>
  <c r="I824" i="1"/>
  <c r="I27" i="1"/>
  <c r="I45" i="1"/>
  <c r="I109" i="1"/>
  <c r="I173" i="1"/>
  <c r="I237" i="1"/>
  <c r="I301" i="1"/>
  <c r="I365" i="1"/>
  <c r="I429" i="1"/>
  <c r="I493" i="1"/>
  <c r="I557" i="1"/>
  <c r="I621" i="1"/>
  <c r="I685" i="1"/>
  <c r="I749" i="1"/>
  <c r="I813" i="1"/>
  <c r="I877" i="1"/>
  <c r="I941" i="1"/>
  <c r="I1005" i="1"/>
  <c r="I74" i="1"/>
  <c r="I202" i="1"/>
  <c r="I330" i="1"/>
  <c r="I458" i="1"/>
  <c r="I586" i="1"/>
  <c r="I714" i="1"/>
  <c r="I842" i="1"/>
  <c r="I935" i="1"/>
  <c r="I1020" i="1"/>
  <c r="I1087" i="1"/>
  <c r="I1151" i="1"/>
  <c r="I1215" i="1"/>
  <c r="I1279" i="1"/>
  <c r="I1343" i="1"/>
  <c r="I1407" i="1"/>
  <c r="I1471" i="1"/>
  <c r="I63" i="1"/>
  <c r="I127" i="1"/>
  <c r="I191" i="1"/>
  <c r="I255" i="1"/>
  <c r="I319" i="1"/>
  <c r="I383" i="1"/>
  <c r="I447" i="1"/>
  <c r="I511" i="1"/>
  <c r="I575" i="1"/>
  <c r="I639" i="1"/>
  <c r="I703" i="1"/>
  <c r="I767" i="1"/>
  <c r="I831" i="1"/>
  <c r="I886" i="1"/>
  <c r="I928" i="1"/>
  <c r="I971" i="1"/>
  <c r="I1014" i="1"/>
  <c r="I1050" i="1"/>
  <c r="I1082" i="1"/>
  <c r="I1114" i="1"/>
  <c r="I1146" i="1"/>
  <c r="I1178" i="1"/>
  <c r="I1210" i="1"/>
  <c r="I1242" i="1"/>
  <c r="I1274" i="1"/>
  <c r="I1306" i="1"/>
  <c r="I1338" i="1"/>
  <c r="I1370" i="1"/>
  <c r="I1402" i="1"/>
  <c r="I1434" i="1"/>
  <c r="I1466" i="1"/>
  <c r="I1498" i="1"/>
  <c r="I62" i="1"/>
  <c r="I126" i="1"/>
  <c r="I190" i="1"/>
  <c r="I254" i="1"/>
  <c r="I318" i="1"/>
  <c r="I382" i="1"/>
  <c r="I446" i="1"/>
  <c r="I510" i="1"/>
  <c r="I574" i="1"/>
  <c r="I638" i="1"/>
  <c r="I702" i="1"/>
  <c r="I766" i="1"/>
  <c r="I830" i="1"/>
  <c r="I884" i="1"/>
  <c r="I927" i="1"/>
  <c r="I970" i="1"/>
  <c r="I1012" i="1"/>
  <c r="I1049" i="1"/>
  <c r="I1081" i="1"/>
  <c r="I1113" i="1"/>
  <c r="I1145" i="1"/>
  <c r="I1177" i="1"/>
  <c r="I1209" i="1"/>
  <c r="I1241" i="1"/>
  <c r="I1273" i="1"/>
  <c r="I1305" i="1"/>
  <c r="I1337" i="1"/>
  <c r="I1369" i="1"/>
  <c r="I1401" i="1"/>
  <c r="I1433" i="1"/>
  <c r="I1465" i="1"/>
  <c r="I1497" i="1"/>
  <c r="I1529" i="1"/>
  <c r="I1561" i="1"/>
  <c r="I1593" i="1"/>
  <c r="I251" i="1"/>
  <c r="I539" i="1"/>
  <c r="I1686" i="1"/>
  <c r="I1914" i="1"/>
  <c r="I275" i="1"/>
  <c r="I531" i="1"/>
  <c r="I787" i="1"/>
  <c r="I984" i="1"/>
  <c r="I1124" i="1"/>
  <c r="I1252" i="1"/>
  <c r="I1380" i="1"/>
  <c r="I1508" i="1"/>
  <c r="I1554" i="1"/>
  <c r="I1596" i="1"/>
  <c r="I1633" i="1"/>
  <c r="I1665" i="1"/>
  <c r="I1697" i="1"/>
  <c r="I1729" i="1"/>
  <c r="I1761" i="1"/>
  <c r="I1793" i="1"/>
  <c r="I1825" i="1"/>
  <c r="I1857" i="1"/>
  <c r="I1889" i="1"/>
  <c r="I1921" i="1"/>
  <c r="I1953" i="1"/>
  <c r="I1192" i="1"/>
  <c r="I1550" i="1"/>
  <c r="I1670" i="1"/>
  <c r="I1774" i="1"/>
  <c r="I1882" i="1"/>
  <c r="I139" i="1"/>
  <c r="I395" i="1"/>
  <c r="I651" i="1"/>
  <c r="I894" i="1"/>
  <c r="I1056" i="1"/>
  <c r="I1184" i="1"/>
  <c r="I1312" i="1"/>
  <c r="I1440" i="1"/>
  <c r="I1531" i="1"/>
  <c r="I1574" i="1"/>
  <c r="I1616" i="1"/>
  <c r="I1648" i="1"/>
  <c r="I1680" i="1"/>
  <c r="I1712" i="1"/>
  <c r="I1744" i="1"/>
  <c r="I1776" i="1"/>
  <c r="I1808" i="1"/>
  <c r="I1840" i="1"/>
  <c r="I1872" i="1"/>
  <c r="I1904" i="1"/>
  <c r="I1936" i="1"/>
  <c r="I926" i="1"/>
  <c r="I1384" i="1"/>
  <c r="I1598" i="1"/>
  <c r="I1714" i="1"/>
  <c r="I1818" i="1"/>
  <c r="I1934" i="1"/>
  <c r="I259" i="1"/>
  <c r="I515" i="1"/>
  <c r="I771" i="1"/>
  <c r="I974" i="1"/>
  <c r="I1116" i="1"/>
  <c r="I1244" i="1"/>
  <c r="I1372" i="1"/>
  <c r="I1500" i="1"/>
  <c r="I1551" i="1"/>
  <c r="I1594" i="1"/>
  <c r="I1631" i="1"/>
  <c r="I1663" i="1"/>
  <c r="I1695" i="1"/>
  <c r="I1727" i="1"/>
  <c r="I1759" i="1"/>
  <c r="I1791" i="1"/>
  <c r="I1823" i="1"/>
  <c r="I1855" i="1"/>
  <c r="I1887" i="1"/>
  <c r="I1919" i="1"/>
  <c r="I1951" i="1"/>
  <c r="I883" i="1"/>
  <c r="I1336" i="1"/>
  <c r="I1576" i="1"/>
  <c r="I1690" i="1"/>
  <c r="I1802" i="1"/>
  <c r="I1918" i="1"/>
  <c r="I1743" i="1"/>
  <c r="I1903" i="1"/>
  <c r="I1128" i="1"/>
  <c r="I1738" i="1"/>
  <c r="K37" i="1"/>
  <c r="K35" i="1"/>
  <c r="K36" i="1"/>
  <c r="S1" i="4"/>
  <c r="N28" i="4" l="1"/>
  <c r="E12" i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316" i="1"/>
  <c r="E324" i="1"/>
  <c r="E332" i="1"/>
  <c r="E340" i="1"/>
  <c r="E348" i="1"/>
  <c r="E356" i="1"/>
  <c r="E364" i="1"/>
  <c r="E372" i="1"/>
  <c r="E380" i="1"/>
  <c r="E388" i="1"/>
  <c r="E396" i="1"/>
  <c r="E404" i="1"/>
  <c r="E412" i="1"/>
  <c r="E420" i="1"/>
  <c r="E428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540" i="1"/>
  <c r="E548" i="1"/>
  <c r="E556" i="1"/>
  <c r="E564" i="1"/>
  <c r="E572" i="1"/>
  <c r="E580" i="1"/>
  <c r="E588" i="1"/>
  <c r="E596" i="1"/>
  <c r="E604" i="1"/>
  <c r="E612" i="1"/>
  <c r="E620" i="1"/>
  <c r="E628" i="1"/>
  <c r="E636" i="1"/>
  <c r="E644" i="1"/>
  <c r="E652" i="1"/>
  <c r="E660" i="1"/>
  <c r="E668" i="1"/>
  <c r="E676" i="1"/>
  <c r="E684" i="1"/>
  <c r="E692" i="1"/>
  <c r="E700" i="1"/>
  <c r="E708" i="1"/>
  <c r="E716" i="1"/>
  <c r="E724" i="1"/>
  <c r="E732" i="1"/>
  <c r="E737" i="1"/>
  <c r="E742" i="1"/>
  <c r="E748" i="1"/>
  <c r="E753" i="1"/>
  <c r="E758" i="1"/>
  <c r="E764" i="1"/>
  <c r="E769" i="1"/>
  <c r="E774" i="1"/>
  <c r="E780" i="1"/>
  <c r="E785" i="1"/>
  <c r="E790" i="1"/>
  <c r="E796" i="1"/>
  <c r="E801" i="1"/>
  <c r="E806" i="1"/>
  <c r="E812" i="1"/>
  <c r="E817" i="1"/>
  <c r="E822" i="1"/>
  <c r="E828" i="1"/>
  <c r="E833" i="1"/>
  <c r="E838" i="1"/>
  <c r="E844" i="1"/>
  <c r="E849" i="1"/>
  <c r="E854" i="1"/>
  <c r="E860" i="1"/>
  <c r="E865" i="1"/>
  <c r="E870" i="1"/>
  <c r="E876" i="1"/>
  <c r="E881" i="1"/>
  <c r="E886" i="1"/>
  <c r="E892" i="1"/>
  <c r="E897" i="1"/>
  <c r="E902" i="1"/>
  <c r="E908" i="1"/>
  <c r="E913" i="1"/>
  <c r="E918" i="1"/>
  <c r="E924" i="1"/>
  <c r="E929" i="1"/>
  <c r="E934" i="1"/>
  <c r="E940" i="1"/>
  <c r="E945" i="1"/>
  <c r="E950" i="1"/>
  <c r="E956" i="1"/>
  <c r="E961" i="1"/>
  <c r="E966" i="1"/>
  <c r="E972" i="1"/>
  <c r="E977" i="1"/>
  <c r="E982" i="1"/>
  <c r="E988" i="1"/>
  <c r="E993" i="1"/>
  <c r="E998" i="1"/>
  <c r="E958" i="1"/>
  <c r="E974" i="1"/>
  <c r="E990" i="1"/>
  <c r="E13" i="1"/>
  <c r="E37" i="1"/>
  <c r="E61" i="1"/>
  <c r="E85" i="1"/>
  <c r="E109" i="1"/>
  <c r="E133" i="1"/>
  <c r="E157" i="1"/>
  <c r="E181" i="1"/>
  <c r="E205" i="1"/>
  <c r="E229" i="1"/>
  <c r="E253" i="1"/>
  <c r="E277" i="1"/>
  <c r="E301" i="1"/>
  <c r="E325" i="1"/>
  <c r="E349" i="1"/>
  <c r="E373" i="1"/>
  <c r="E397" i="1"/>
  <c r="E421" i="1"/>
  <c r="E445" i="1"/>
  <c r="E469" i="1"/>
  <c r="E493" i="1"/>
  <c r="E517" i="1"/>
  <c r="E541" i="1"/>
  <c r="E565" i="1"/>
  <c r="E589" i="1"/>
  <c r="E613" i="1"/>
  <c r="E637" i="1"/>
  <c r="E661" i="1"/>
  <c r="E685" i="1"/>
  <c r="E709" i="1"/>
  <c r="E733" i="1"/>
  <c r="E749" i="1"/>
  <c r="E765" i="1"/>
  <c r="E781" i="1"/>
  <c r="E797" i="1"/>
  <c r="E813" i="1"/>
  <c r="E829" i="1"/>
  <c r="E845" i="1"/>
  <c r="E861" i="1"/>
  <c r="E877" i="1"/>
  <c r="E893" i="1"/>
  <c r="E909" i="1"/>
  <c r="E925" i="1"/>
  <c r="E941" i="1"/>
  <c r="E957" i="1"/>
  <c r="E973" i="1"/>
  <c r="E989" i="1"/>
  <c r="E9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E169" i="1"/>
  <c r="E177" i="1"/>
  <c r="E185" i="1"/>
  <c r="E193" i="1"/>
  <c r="E201" i="1"/>
  <c r="E209" i="1"/>
  <c r="E217" i="1"/>
  <c r="E225" i="1"/>
  <c r="E233" i="1"/>
  <c r="E241" i="1"/>
  <c r="E249" i="1"/>
  <c r="E257" i="1"/>
  <c r="E265" i="1"/>
  <c r="E273" i="1"/>
  <c r="E281" i="1"/>
  <c r="E289" i="1"/>
  <c r="E297" i="1"/>
  <c r="E305" i="1"/>
  <c r="E313" i="1"/>
  <c r="E321" i="1"/>
  <c r="E329" i="1"/>
  <c r="E337" i="1"/>
  <c r="E345" i="1"/>
  <c r="E353" i="1"/>
  <c r="E361" i="1"/>
  <c r="E369" i="1"/>
  <c r="E377" i="1"/>
  <c r="E385" i="1"/>
  <c r="E393" i="1"/>
  <c r="E401" i="1"/>
  <c r="E409" i="1"/>
  <c r="E417" i="1"/>
  <c r="E425" i="1"/>
  <c r="E433" i="1"/>
  <c r="E441" i="1"/>
  <c r="E449" i="1"/>
  <c r="E457" i="1"/>
  <c r="E465" i="1"/>
  <c r="E473" i="1"/>
  <c r="E481" i="1"/>
  <c r="E489" i="1"/>
  <c r="E497" i="1"/>
  <c r="E505" i="1"/>
  <c r="E513" i="1"/>
  <c r="E521" i="1"/>
  <c r="E529" i="1"/>
  <c r="E537" i="1"/>
  <c r="E545" i="1"/>
  <c r="E553" i="1"/>
  <c r="E561" i="1"/>
  <c r="E569" i="1"/>
  <c r="E577" i="1"/>
  <c r="E585" i="1"/>
  <c r="E593" i="1"/>
  <c r="E601" i="1"/>
  <c r="E609" i="1"/>
  <c r="E617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721" i="1"/>
  <c r="E729" i="1"/>
  <c r="E736" i="1"/>
  <c r="E741" i="1"/>
  <c r="E746" i="1"/>
  <c r="E752" i="1"/>
  <c r="E757" i="1"/>
  <c r="E762" i="1"/>
  <c r="E768" i="1"/>
  <c r="E773" i="1"/>
  <c r="E778" i="1"/>
  <c r="E784" i="1"/>
  <c r="E789" i="1"/>
  <c r="E794" i="1"/>
  <c r="E800" i="1"/>
  <c r="E805" i="1"/>
  <c r="E810" i="1"/>
  <c r="E816" i="1"/>
  <c r="E821" i="1"/>
  <c r="E826" i="1"/>
  <c r="E832" i="1"/>
  <c r="E837" i="1"/>
  <c r="E842" i="1"/>
  <c r="E848" i="1"/>
  <c r="E853" i="1"/>
  <c r="E858" i="1"/>
  <c r="E864" i="1"/>
  <c r="E869" i="1"/>
  <c r="E874" i="1"/>
  <c r="E880" i="1"/>
  <c r="E885" i="1"/>
  <c r="E890" i="1"/>
  <c r="E896" i="1"/>
  <c r="E901" i="1"/>
  <c r="E906" i="1"/>
  <c r="E912" i="1"/>
  <c r="E917" i="1"/>
  <c r="E922" i="1"/>
  <c r="E928" i="1"/>
  <c r="E933" i="1"/>
  <c r="E938" i="1"/>
  <c r="E944" i="1"/>
  <c r="E949" i="1"/>
  <c r="E954" i="1"/>
  <c r="E960" i="1"/>
  <c r="E965" i="1"/>
  <c r="E970" i="1"/>
  <c r="E976" i="1"/>
  <c r="E981" i="1"/>
  <c r="E986" i="1"/>
  <c r="E992" i="1"/>
  <c r="E997" i="1"/>
  <c r="E948" i="1"/>
  <c r="E964" i="1"/>
  <c r="E980" i="1"/>
  <c r="E996" i="1"/>
  <c r="E21" i="1"/>
  <c r="E45" i="1"/>
  <c r="E69" i="1"/>
  <c r="E93" i="1"/>
  <c r="E117" i="1"/>
  <c r="E149" i="1"/>
  <c r="E173" i="1"/>
  <c r="E197" i="1"/>
  <c r="E221" i="1"/>
  <c r="E245" i="1"/>
  <c r="E269" i="1"/>
  <c r="E293" i="1"/>
  <c r="E317" i="1"/>
  <c r="E341" i="1"/>
  <c r="E365" i="1"/>
  <c r="E389" i="1"/>
  <c r="E413" i="1"/>
  <c r="E437" i="1"/>
  <c r="E461" i="1"/>
  <c r="E485" i="1"/>
  <c r="E509" i="1"/>
  <c r="E533" i="1"/>
  <c r="E557" i="1"/>
  <c r="E581" i="1"/>
  <c r="E605" i="1"/>
  <c r="E629" i="1"/>
  <c r="E653" i="1"/>
  <c r="E677" i="1"/>
  <c r="E701" i="1"/>
  <c r="E725" i="1"/>
  <c r="E744" i="1"/>
  <c r="E760" i="1"/>
  <c r="E776" i="1"/>
  <c r="E792" i="1"/>
  <c r="E808" i="1"/>
  <c r="E824" i="1"/>
  <c r="E840" i="1"/>
  <c r="E856" i="1"/>
  <c r="E872" i="1"/>
  <c r="E888" i="1"/>
  <c r="E904" i="1"/>
  <c r="E920" i="1"/>
  <c r="E936" i="1"/>
  <c r="E952" i="1"/>
  <c r="E968" i="1"/>
  <c r="E984" i="1"/>
  <c r="E1000" i="1"/>
  <c r="E8" i="1"/>
  <c r="E16" i="1"/>
  <c r="E24" i="1"/>
  <c r="E32" i="1"/>
  <c r="E40" i="1"/>
  <c r="E48" i="1"/>
  <c r="E56" i="1"/>
  <c r="E64" i="1"/>
  <c r="E72" i="1"/>
  <c r="E80" i="1"/>
  <c r="E88" i="1"/>
  <c r="E96" i="1"/>
  <c r="E104" i="1"/>
  <c r="E112" i="1"/>
  <c r="E120" i="1"/>
  <c r="E128" i="1"/>
  <c r="E136" i="1"/>
  <c r="E144" i="1"/>
  <c r="E152" i="1"/>
  <c r="E160" i="1"/>
  <c r="E168" i="1"/>
  <c r="E176" i="1"/>
  <c r="E184" i="1"/>
  <c r="E192" i="1"/>
  <c r="E200" i="1"/>
  <c r="E208" i="1"/>
  <c r="E216" i="1"/>
  <c r="E224" i="1"/>
  <c r="E232" i="1"/>
  <c r="E240" i="1"/>
  <c r="E248" i="1"/>
  <c r="E256" i="1"/>
  <c r="E264" i="1"/>
  <c r="E272" i="1"/>
  <c r="E280" i="1"/>
  <c r="E288" i="1"/>
  <c r="E296" i="1"/>
  <c r="E304" i="1"/>
  <c r="E312" i="1"/>
  <c r="E320" i="1"/>
  <c r="E328" i="1"/>
  <c r="E336" i="1"/>
  <c r="E344" i="1"/>
  <c r="E352" i="1"/>
  <c r="E360" i="1"/>
  <c r="E368" i="1"/>
  <c r="E376" i="1"/>
  <c r="E384" i="1"/>
  <c r="E392" i="1"/>
  <c r="E400" i="1"/>
  <c r="E408" i="1"/>
  <c r="E416" i="1"/>
  <c r="E424" i="1"/>
  <c r="E432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544" i="1"/>
  <c r="E552" i="1"/>
  <c r="E560" i="1"/>
  <c r="E568" i="1"/>
  <c r="E576" i="1"/>
  <c r="E584" i="1"/>
  <c r="E592" i="1"/>
  <c r="E600" i="1"/>
  <c r="E608" i="1"/>
  <c r="E616" i="1"/>
  <c r="E624" i="1"/>
  <c r="E632" i="1"/>
  <c r="E640" i="1"/>
  <c r="E648" i="1"/>
  <c r="E656" i="1"/>
  <c r="E664" i="1"/>
  <c r="E672" i="1"/>
  <c r="E680" i="1"/>
  <c r="E688" i="1"/>
  <c r="E696" i="1"/>
  <c r="E704" i="1"/>
  <c r="E712" i="1"/>
  <c r="E720" i="1"/>
  <c r="E728" i="1"/>
  <c r="E734" i="1"/>
  <c r="E740" i="1"/>
  <c r="E745" i="1"/>
  <c r="E750" i="1"/>
  <c r="E756" i="1"/>
  <c r="E761" i="1"/>
  <c r="E766" i="1"/>
  <c r="E772" i="1"/>
  <c r="E777" i="1"/>
  <c r="E782" i="1"/>
  <c r="E788" i="1"/>
  <c r="E793" i="1"/>
  <c r="E798" i="1"/>
  <c r="E804" i="1"/>
  <c r="E809" i="1"/>
  <c r="E814" i="1"/>
  <c r="E820" i="1"/>
  <c r="E825" i="1"/>
  <c r="E830" i="1"/>
  <c r="E836" i="1"/>
  <c r="E841" i="1"/>
  <c r="E846" i="1"/>
  <c r="E852" i="1"/>
  <c r="E857" i="1"/>
  <c r="E862" i="1"/>
  <c r="E868" i="1"/>
  <c r="E873" i="1"/>
  <c r="E878" i="1"/>
  <c r="E884" i="1"/>
  <c r="E889" i="1"/>
  <c r="E894" i="1"/>
  <c r="E900" i="1"/>
  <c r="E905" i="1"/>
  <c r="E910" i="1"/>
  <c r="E916" i="1"/>
  <c r="E921" i="1"/>
  <c r="E926" i="1"/>
  <c r="E932" i="1"/>
  <c r="E937" i="1"/>
  <c r="E942" i="1"/>
  <c r="E953" i="1"/>
  <c r="E969" i="1"/>
  <c r="E985" i="1"/>
  <c r="E29" i="1"/>
  <c r="E53" i="1"/>
  <c r="E77" i="1"/>
  <c r="E101" i="1"/>
  <c r="E125" i="1"/>
  <c r="E141" i="1"/>
  <c r="E165" i="1"/>
  <c r="E189" i="1"/>
  <c r="E213" i="1"/>
  <c r="E237" i="1"/>
  <c r="E261" i="1"/>
  <c r="E285" i="1"/>
  <c r="E309" i="1"/>
  <c r="E333" i="1"/>
  <c r="E357" i="1"/>
  <c r="E381" i="1"/>
  <c r="E405" i="1"/>
  <c r="E429" i="1"/>
  <c r="E453" i="1"/>
  <c r="E477" i="1"/>
  <c r="E501" i="1"/>
  <c r="E525" i="1"/>
  <c r="E549" i="1"/>
  <c r="E573" i="1"/>
  <c r="E597" i="1"/>
  <c r="E621" i="1"/>
  <c r="E645" i="1"/>
  <c r="E669" i="1"/>
  <c r="E693" i="1"/>
  <c r="E717" i="1"/>
  <c r="E738" i="1"/>
  <c r="E754" i="1"/>
  <c r="E770" i="1"/>
  <c r="E786" i="1"/>
  <c r="E802" i="1"/>
  <c r="E818" i="1"/>
  <c r="E834" i="1"/>
  <c r="E850" i="1"/>
  <c r="E866" i="1"/>
  <c r="E882" i="1"/>
  <c r="E898" i="1"/>
  <c r="E914" i="1"/>
  <c r="E930" i="1"/>
  <c r="E946" i="1"/>
  <c r="E962" i="1"/>
  <c r="E978" i="1"/>
  <c r="E994" i="1"/>
  <c r="E710" i="1"/>
  <c r="E686" i="1"/>
  <c r="E666" i="1"/>
  <c r="E650" i="1"/>
  <c r="E634" i="1"/>
  <c r="E618" i="1"/>
  <c r="E602" i="1"/>
  <c r="E586" i="1"/>
  <c r="E566" i="1"/>
  <c r="E550" i="1"/>
  <c r="E534" i="1"/>
  <c r="E518" i="1"/>
  <c r="E502" i="1"/>
  <c r="E486" i="1"/>
  <c r="E470" i="1"/>
  <c r="E454" i="1"/>
  <c r="E438" i="1"/>
  <c r="E422" i="1"/>
  <c r="E406" i="1"/>
  <c r="E390" i="1"/>
  <c r="E374" i="1"/>
  <c r="E358" i="1"/>
  <c r="E342" i="1"/>
  <c r="E326" i="1"/>
  <c r="E310" i="1"/>
  <c r="E294" i="1"/>
  <c r="E278" i="1"/>
  <c r="E262" i="1"/>
  <c r="E246" i="1"/>
  <c r="E230" i="1"/>
  <c r="E214" i="1"/>
  <c r="E198" i="1"/>
  <c r="E182" i="1"/>
  <c r="E166" i="1"/>
  <c r="E150" i="1"/>
  <c r="E134" i="1"/>
  <c r="E118" i="1"/>
  <c r="E102" i="1"/>
  <c r="E86" i="1"/>
  <c r="E70" i="1"/>
  <c r="E54" i="1"/>
  <c r="E38" i="1"/>
  <c r="E22" i="1"/>
  <c r="E6" i="1"/>
  <c r="E706" i="1"/>
  <c r="E999" i="1"/>
  <c r="E983" i="1"/>
  <c r="E967" i="1"/>
  <c r="E951" i="1"/>
  <c r="E935" i="1"/>
  <c r="E919" i="1"/>
  <c r="E903" i="1"/>
  <c r="E887" i="1"/>
  <c r="E871" i="1"/>
  <c r="E855" i="1"/>
  <c r="E839" i="1"/>
  <c r="E823" i="1"/>
  <c r="E807" i="1"/>
  <c r="E791" i="1"/>
  <c r="E775" i="1"/>
  <c r="E759" i="1"/>
  <c r="E743" i="1"/>
  <c r="E727" i="1"/>
  <c r="E711" i="1"/>
  <c r="E695" i="1"/>
  <c r="E679" i="1"/>
  <c r="E663" i="1"/>
  <c r="E647" i="1"/>
  <c r="E631" i="1"/>
  <c r="E615" i="1"/>
  <c r="E599" i="1"/>
  <c r="E583" i="1"/>
  <c r="E567" i="1"/>
  <c r="E551" i="1"/>
  <c r="E535" i="1"/>
  <c r="E519" i="1"/>
  <c r="E503" i="1"/>
  <c r="E487" i="1"/>
  <c r="E471" i="1"/>
  <c r="E455" i="1"/>
  <c r="E439" i="1"/>
  <c r="E423" i="1"/>
  <c r="E407" i="1"/>
  <c r="E391" i="1"/>
  <c r="E375" i="1"/>
  <c r="E359" i="1"/>
  <c r="E343" i="1"/>
  <c r="E327" i="1"/>
  <c r="E311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55" i="1"/>
  <c r="E39" i="1"/>
  <c r="E23" i="1"/>
  <c r="E7" i="1"/>
  <c r="E662" i="1"/>
  <c r="E614" i="1"/>
  <c r="E562" i="1"/>
  <c r="E514" i="1"/>
  <c r="E466" i="1"/>
  <c r="E418" i="1"/>
  <c r="E370" i="1"/>
  <c r="E322" i="1"/>
  <c r="E274" i="1"/>
  <c r="E226" i="1"/>
  <c r="E178" i="1"/>
  <c r="E130" i="1"/>
  <c r="E82" i="1"/>
  <c r="E18" i="1"/>
  <c r="E995" i="1"/>
  <c r="E947" i="1"/>
  <c r="E899" i="1"/>
  <c r="E851" i="1"/>
  <c r="E803" i="1"/>
  <c r="E755" i="1"/>
  <c r="E707" i="1"/>
  <c r="E659" i="1"/>
  <c r="E611" i="1"/>
  <c r="E563" i="1"/>
  <c r="E515" i="1"/>
  <c r="E467" i="1"/>
  <c r="E419" i="1"/>
  <c r="E371" i="1"/>
  <c r="E323" i="1"/>
  <c r="E275" i="1"/>
  <c r="E227" i="1"/>
  <c r="E179" i="1"/>
  <c r="E131" i="1"/>
  <c r="E83" i="1"/>
  <c r="E35" i="1"/>
  <c r="E722" i="1"/>
  <c r="E690" i="1"/>
  <c r="E674" i="1"/>
  <c r="E654" i="1"/>
  <c r="E638" i="1"/>
  <c r="E622" i="1"/>
  <c r="E606" i="1"/>
  <c r="E590" i="1"/>
  <c r="E574" i="1"/>
  <c r="E554" i="1"/>
  <c r="E538" i="1"/>
  <c r="E522" i="1"/>
  <c r="E506" i="1"/>
  <c r="E490" i="1"/>
  <c r="E474" i="1"/>
  <c r="E458" i="1"/>
  <c r="E442" i="1"/>
  <c r="E426" i="1"/>
  <c r="E410" i="1"/>
  <c r="E394" i="1"/>
  <c r="E378" i="1"/>
  <c r="E362" i="1"/>
  <c r="E346" i="1"/>
  <c r="E330" i="1"/>
  <c r="E314" i="1"/>
  <c r="E298" i="1"/>
  <c r="E282" i="1"/>
  <c r="E266" i="1"/>
  <c r="E250" i="1"/>
  <c r="E234" i="1"/>
  <c r="E218" i="1"/>
  <c r="E202" i="1"/>
  <c r="E186" i="1"/>
  <c r="E170" i="1"/>
  <c r="E154" i="1"/>
  <c r="E138" i="1"/>
  <c r="E122" i="1"/>
  <c r="E106" i="1"/>
  <c r="E90" i="1"/>
  <c r="E74" i="1"/>
  <c r="E58" i="1"/>
  <c r="E42" i="1"/>
  <c r="E26" i="1"/>
  <c r="E10" i="1"/>
  <c r="E714" i="1"/>
  <c r="E570" i="1"/>
  <c r="E987" i="1"/>
  <c r="E971" i="1"/>
  <c r="E955" i="1"/>
  <c r="E939" i="1"/>
  <c r="E923" i="1"/>
  <c r="E907" i="1"/>
  <c r="E891" i="1"/>
  <c r="E875" i="1"/>
  <c r="E859" i="1"/>
  <c r="E843" i="1"/>
  <c r="E827" i="1"/>
  <c r="E811" i="1"/>
  <c r="E795" i="1"/>
  <c r="E779" i="1"/>
  <c r="E763" i="1"/>
  <c r="E747" i="1"/>
  <c r="E731" i="1"/>
  <c r="E715" i="1"/>
  <c r="E699" i="1"/>
  <c r="E683" i="1"/>
  <c r="E667" i="1"/>
  <c r="E651" i="1"/>
  <c r="E635" i="1"/>
  <c r="E619" i="1"/>
  <c r="E603" i="1"/>
  <c r="E587" i="1"/>
  <c r="E571" i="1"/>
  <c r="E555" i="1"/>
  <c r="E539" i="1"/>
  <c r="E523" i="1"/>
  <c r="E507" i="1"/>
  <c r="E491" i="1"/>
  <c r="E475" i="1"/>
  <c r="E459" i="1"/>
  <c r="E443" i="1"/>
  <c r="E427" i="1"/>
  <c r="E411" i="1"/>
  <c r="E395" i="1"/>
  <c r="E379" i="1"/>
  <c r="E363" i="1"/>
  <c r="E347" i="1"/>
  <c r="E331" i="1"/>
  <c r="E315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43" i="1"/>
  <c r="E27" i="1"/>
  <c r="E11" i="1"/>
  <c r="E682" i="1"/>
  <c r="E630" i="1"/>
  <c r="E582" i="1"/>
  <c r="E530" i="1"/>
  <c r="E482" i="1"/>
  <c r="E434" i="1"/>
  <c r="E386" i="1"/>
  <c r="E338" i="1"/>
  <c r="E290" i="1"/>
  <c r="E242" i="1"/>
  <c r="E194" i="1"/>
  <c r="E146" i="1"/>
  <c r="E98" i="1"/>
  <c r="E50" i="1"/>
  <c r="E726" i="1"/>
  <c r="E979" i="1"/>
  <c r="E931" i="1"/>
  <c r="E883" i="1"/>
  <c r="E835" i="1"/>
  <c r="E787" i="1"/>
  <c r="E739" i="1"/>
  <c r="E691" i="1"/>
  <c r="E643" i="1"/>
  <c r="E595" i="1"/>
  <c r="E547" i="1"/>
  <c r="E499" i="1"/>
  <c r="E451" i="1"/>
  <c r="E403" i="1"/>
  <c r="E355" i="1"/>
  <c r="E307" i="1"/>
  <c r="E259" i="1"/>
  <c r="E211" i="1"/>
  <c r="E163" i="1"/>
  <c r="E115" i="1"/>
  <c r="E67" i="1"/>
  <c r="E19" i="1"/>
  <c r="E730" i="1"/>
  <c r="E698" i="1"/>
  <c r="E678" i="1"/>
  <c r="E658" i="1"/>
  <c r="E642" i="1"/>
  <c r="E626" i="1"/>
  <c r="E610" i="1"/>
  <c r="E594" i="1"/>
  <c r="E578" i="1"/>
  <c r="E558" i="1"/>
  <c r="E542" i="1"/>
  <c r="E526" i="1"/>
  <c r="E510" i="1"/>
  <c r="E494" i="1"/>
  <c r="E478" i="1"/>
  <c r="E462" i="1"/>
  <c r="E446" i="1"/>
  <c r="E430" i="1"/>
  <c r="E414" i="1"/>
  <c r="E398" i="1"/>
  <c r="E382" i="1"/>
  <c r="E366" i="1"/>
  <c r="E350" i="1"/>
  <c r="E334" i="1"/>
  <c r="E318" i="1"/>
  <c r="E302" i="1"/>
  <c r="E286" i="1"/>
  <c r="E270" i="1"/>
  <c r="E254" i="1"/>
  <c r="E238" i="1"/>
  <c r="E222" i="1"/>
  <c r="E206" i="1"/>
  <c r="E190" i="1"/>
  <c r="E174" i="1"/>
  <c r="E158" i="1"/>
  <c r="E142" i="1"/>
  <c r="E126" i="1"/>
  <c r="E110" i="1"/>
  <c r="E94" i="1"/>
  <c r="E78" i="1"/>
  <c r="E62" i="1"/>
  <c r="E46" i="1"/>
  <c r="E30" i="1"/>
  <c r="E14" i="1"/>
  <c r="E718" i="1"/>
  <c r="E670" i="1"/>
  <c r="E991" i="1"/>
  <c r="E975" i="1"/>
  <c r="E959" i="1"/>
  <c r="E943" i="1"/>
  <c r="E927" i="1"/>
  <c r="E911" i="1"/>
  <c r="E895" i="1"/>
  <c r="E879" i="1"/>
  <c r="E863" i="1"/>
  <c r="E847" i="1"/>
  <c r="E831" i="1"/>
  <c r="E815" i="1"/>
  <c r="E799" i="1"/>
  <c r="E783" i="1"/>
  <c r="E767" i="1"/>
  <c r="E751" i="1"/>
  <c r="E735" i="1"/>
  <c r="E719" i="1"/>
  <c r="E703" i="1"/>
  <c r="E687" i="1"/>
  <c r="E671" i="1"/>
  <c r="E655" i="1"/>
  <c r="E639" i="1"/>
  <c r="E623" i="1"/>
  <c r="E607" i="1"/>
  <c r="E591" i="1"/>
  <c r="E575" i="1"/>
  <c r="E559" i="1"/>
  <c r="E543" i="1"/>
  <c r="E527" i="1"/>
  <c r="E511" i="1"/>
  <c r="E495" i="1"/>
  <c r="E479" i="1"/>
  <c r="E463" i="1"/>
  <c r="E447" i="1"/>
  <c r="E431" i="1"/>
  <c r="E415" i="1"/>
  <c r="E399" i="1"/>
  <c r="E383" i="1"/>
  <c r="E367" i="1"/>
  <c r="E351" i="1"/>
  <c r="E335" i="1"/>
  <c r="E319" i="1"/>
  <c r="E303" i="1"/>
  <c r="E287" i="1"/>
  <c r="E271" i="1"/>
  <c r="E255" i="1"/>
  <c r="E239" i="1"/>
  <c r="E223" i="1"/>
  <c r="E207" i="1"/>
  <c r="E191" i="1"/>
  <c r="E175" i="1"/>
  <c r="E159" i="1"/>
  <c r="E143" i="1"/>
  <c r="E127" i="1"/>
  <c r="E111" i="1"/>
  <c r="E95" i="1"/>
  <c r="E79" i="1"/>
  <c r="E63" i="1"/>
  <c r="E47" i="1"/>
  <c r="E31" i="1"/>
  <c r="E15" i="1"/>
  <c r="E702" i="1"/>
  <c r="E646" i="1"/>
  <c r="E598" i="1"/>
  <c r="E546" i="1"/>
  <c r="E498" i="1"/>
  <c r="E450" i="1"/>
  <c r="E402" i="1"/>
  <c r="E354" i="1"/>
  <c r="E306" i="1"/>
  <c r="E258" i="1"/>
  <c r="E210" i="1"/>
  <c r="E162" i="1"/>
  <c r="E114" i="1"/>
  <c r="E66" i="1"/>
  <c r="E34" i="1"/>
  <c r="E694" i="1"/>
  <c r="E963" i="1"/>
  <c r="E915" i="1"/>
  <c r="E867" i="1"/>
  <c r="E819" i="1"/>
  <c r="E771" i="1"/>
  <c r="E723" i="1"/>
  <c r="E675" i="1"/>
  <c r="E627" i="1"/>
  <c r="E579" i="1"/>
  <c r="E531" i="1"/>
  <c r="E483" i="1"/>
  <c r="E435" i="1"/>
  <c r="E387" i="1"/>
  <c r="E339" i="1"/>
  <c r="E291" i="1"/>
  <c r="E243" i="1"/>
  <c r="E195" i="1"/>
  <c r="E147" i="1"/>
  <c r="E99" i="1"/>
  <c r="E51" i="1"/>
  <c r="I1" i="1"/>
</calcChain>
</file>

<file path=xl/comments1.xml><?xml version="1.0" encoding="utf-8"?>
<comments xmlns="http://schemas.openxmlformats.org/spreadsheetml/2006/main">
  <authors>
    <author>Faidon (Minas) Dermesonoglou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You input your Scheduling and Books Quantity and Prices (Columns A:D).You then run Create Interpolated Bids.
Make sure column E (Matrix Position) has a number next to each inputted Scheduling and Books row. In case there is a missing number, then run Step 1 and Step 3 again.
If there is still a missing number next to an inputted row, then go to cell E6 -&gt; go to Formula bar, click on your formula (no fx button) -&gt; press Ctrl+Shift+Enter. Run again Step 3.</t>
        </r>
      </text>
    </comment>
    <comment ref="F1003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StopLoss Buy</t>
        </r>
      </text>
    </comment>
    <comment ref="F1004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StopLoss Sell</t>
        </r>
      </text>
    </comment>
    <comment ref="F1005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StopLoss Buy
</t>
        </r>
      </text>
    </comment>
    <comment ref="F1006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Stop Loss Sell</t>
        </r>
      </text>
    </comment>
  </commentList>
</comments>
</file>

<file path=xl/sharedStrings.xml><?xml version="1.0" encoding="utf-8"?>
<sst xmlns="http://schemas.openxmlformats.org/spreadsheetml/2006/main" count="1314" uniqueCount="184">
  <si>
    <t>Interpolated Bids Input:</t>
  </si>
  <si>
    <t>Step 1</t>
  </si>
  <si>
    <t>DAM:</t>
  </si>
  <si>
    <t>Switzerland</t>
  </si>
  <si>
    <t>▼</t>
  </si>
  <si>
    <t>Max Total</t>
  </si>
  <si>
    <t>Delivery Day:</t>
  </si>
  <si>
    <t>MyAPP</t>
  </si>
  <si>
    <t>MyFullBids</t>
  </si>
  <si>
    <t>MySortedBids</t>
  </si>
  <si>
    <t>MyDistinctBids</t>
  </si>
  <si>
    <t>Step 2</t>
  </si>
  <si>
    <t>Input Trigger Prices (Double Click)</t>
  </si>
  <si>
    <t>Step 3</t>
  </si>
  <si>
    <t>Hour</t>
  </si>
  <si>
    <t>Quantity</t>
  </si>
  <si>
    <t>Price</t>
  </si>
  <si>
    <t>Book</t>
  </si>
  <si>
    <t>Matrix Position</t>
  </si>
  <si>
    <t>Auto Price Point</t>
  </si>
  <si>
    <t>Full Bids</t>
  </si>
  <si>
    <t>Sorted Full Bids</t>
  </si>
  <si>
    <t>Distinct Bids</t>
  </si>
  <si>
    <t>Scheduling</t>
  </si>
  <si>
    <t>Continental</t>
  </si>
  <si>
    <t>D+1</t>
  </si>
  <si>
    <t>Step 4 Insert Block Bids ( Negative Sign=Sales , Positive Sign=Purchases )</t>
  </si>
  <si>
    <t>D+1 DEALS MODIFIED</t>
  </si>
  <si>
    <t>Purpose</t>
  </si>
  <si>
    <t>MWh</t>
  </si>
  <si>
    <t>€/MWh</t>
  </si>
  <si>
    <t>Clear Block Bids (Double Click)</t>
  </si>
  <si>
    <t>D+1 HOURLY MODIFIED</t>
  </si>
  <si>
    <t>BlockCode</t>
  </si>
  <si>
    <t>ID</t>
  </si>
  <si>
    <t>BlockCodePRM</t>
  </si>
  <si>
    <t>Comment</t>
  </si>
  <si>
    <t>C01</t>
  </si>
  <si>
    <t>Price Sell</t>
  </si>
  <si>
    <t>Price Buy</t>
  </si>
  <si>
    <t>Bounds</t>
  </si>
  <si>
    <t>Books</t>
  </si>
  <si>
    <t>DAM</t>
  </si>
  <si>
    <t>DeliveryDay</t>
  </si>
  <si>
    <t>Italian</t>
  </si>
  <si>
    <t>France</t>
  </si>
  <si>
    <t>Germany</t>
  </si>
  <si>
    <t>CH-SGD</t>
  </si>
  <si>
    <t>Delivery Day</t>
  </si>
  <si>
    <t>Total Sched.</t>
  </si>
  <si>
    <t>Linear Sched.</t>
  </si>
  <si>
    <t>Block Sched.</t>
  </si>
  <si>
    <t>MCP (EUR/MWh)</t>
  </si>
  <si>
    <t>MCV (MW)</t>
  </si>
  <si>
    <t>Net</t>
  </si>
  <si>
    <t>Purchase</t>
  </si>
  <si>
    <t>Sale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</si>
  <si>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</si>
  <si>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</si>
  <si>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</si>
  <si>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</si>
  <si>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</si>
  <si>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</si>
  <si>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</si>
  <si>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</si>
  <si>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</si>
  <si>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</si>
  <si>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Notes</t>
  </si>
  <si>
    <t>H11</t>
  </si>
  <si>
    <t>Schedulers always Make Sure that the imbalance column is zero</t>
  </si>
  <si>
    <t>H12</t>
  </si>
  <si>
    <t>H13</t>
  </si>
  <si>
    <t>Traders In the event that the imbalance column is not zero</t>
  </si>
  <si>
    <t>H14</t>
  </si>
  <si>
    <t>then please contact scheduling dept as final reconciliation has not</t>
  </si>
  <si>
    <t>H15</t>
  </si>
  <si>
    <t>H16</t>
  </si>
  <si>
    <t>A Yellow highlighted cell indicates the quantity has been prorated</t>
  </si>
  <si>
    <t>H17</t>
  </si>
  <si>
    <t>by EPEX.</t>
  </si>
  <si>
    <t>H18</t>
  </si>
  <si>
    <t>A White Highlighted Total cell indicates that either the Continental</t>
  </si>
  <si>
    <t>H19</t>
  </si>
  <si>
    <t>or Italian book offer has been prorated.</t>
  </si>
  <si>
    <t>H20</t>
  </si>
  <si>
    <t>H21</t>
  </si>
  <si>
    <t>H22</t>
  </si>
  <si>
    <t>H23</t>
  </si>
  <si>
    <t>H24</t>
  </si>
  <si>
    <t>Sum/Avg</t>
  </si>
  <si>
    <t>01-24 (Baseload)</t>
  </si>
  <si>
    <t>09-20 (Peakload)</t>
  </si>
  <si>
    <t>01-08 (Off-Peak 1)</t>
  </si>
  <si>
    <t>21-24 (Off-Peak 2)</t>
  </si>
  <si>
    <t>01-08 &amp; 21-24 (Off-Peak)</t>
  </si>
  <si>
    <t>Final Book Allocation Results</t>
  </si>
  <si>
    <t>Total</t>
  </si>
  <si>
    <t>Imbalance</t>
  </si>
  <si>
    <t>Imbalance Column</t>
  </si>
  <si>
    <t>Block Results</t>
  </si>
  <si>
    <t>A value greater than zero means that u assume u</t>
  </si>
  <si>
    <t>are Buying more</t>
  </si>
  <si>
    <t>A Value Less than Zero means that u assume</t>
  </si>
  <si>
    <t>u are Selling more</t>
  </si>
  <si>
    <t>Linear prorata of Quantity</t>
  </si>
  <si>
    <t>Bid</t>
  </si>
  <si>
    <t>APP</t>
  </si>
  <si>
    <t>DAM Price</t>
  </si>
  <si>
    <t>Unrounded</t>
  </si>
  <si>
    <t>Rounded</t>
  </si>
  <si>
    <t>Preliminary Iteration Results - Do Not Use - for comparison purposes only</t>
  </si>
  <si>
    <t>INSERT ONLY POSITIVE VALUES</t>
  </si>
  <si>
    <t>PROFILE</t>
  </si>
  <si>
    <t>BSLD</t>
  </si>
  <si>
    <t>PEAK</t>
  </si>
  <si>
    <t>OFPK</t>
  </si>
  <si>
    <t>DAY</t>
  </si>
  <si>
    <t>HOUR</t>
  </si>
  <si>
    <t>UNSAVED DEALS</t>
  </si>
  <si>
    <t>TOTAL POSITION</t>
  </si>
  <si>
    <t>Base</t>
  </si>
  <si>
    <t>peak</t>
  </si>
  <si>
    <t>offpeak</t>
  </si>
  <si>
    <t>COUNTERPARTY</t>
  </si>
  <si>
    <t>DEAL (MW) OTC SELL</t>
  </si>
  <si>
    <t>DEAL (MW) OTC BUY</t>
  </si>
  <si>
    <t>START_DATE</t>
  </si>
  <si>
    <t>DAILY QUANTITY (MW)</t>
  </si>
  <si>
    <t>Note:</t>
  </si>
  <si>
    <t>Step 1: Press button A1</t>
  </si>
  <si>
    <t>POSITION FIXED</t>
  </si>
  <si>
    <t>Sum</t>
  </si>
  <si>
    <t>My blocks1</t>
  </si>
  <si>
    <t>My blocks2</t>
  </si>
  <si>
    <t>My blocks3</t>
  </si>
  <si>
    <t>My blocks4</t>
  </si>
  <si>
    <t>My blocks5</t>
  </si>
  <si>
    <t>My blocks6</t>
  </si>
  <si>
    <t>My blocks7</t>
  </si>
  <si>
    <t>My blocks8</t>
  </si>
  <si>
    <t>My blocks9</t>
  </si>
  <si>
    <t>My blocks10</t>
  </si>
  <si>
    <t>My blocks11</t>
  </si>
  <si>
    <t>My blocks12</t>
  </si>
  <si>
    <t>My blocks13</t>
  </si>
  <si>
    <t>My blocks14</t>
  </si>
  <si>
    <t>My blocks15</t>
  </si>
  <si>
    <t>My blocks16</t>
  </si>
  <si>
    <t>My blocks17</t>
  </si>
  <si>
    <t>My blocks18</t>
  </si>
  <si>
    <t>My blocks19</t>
  </si>
  <si>
    <t>My blocks20</t>
  </si>
  <si>
    <t>Lower and Upper Bound Limits for Fixed Positions</t>
  </si>
  <si>
    <t>Table on the left insert your stop limits to sell and buy to the</t>
  </si>
  <si>
    <t>if market crushes and 1000 €/MWh to buy if market peaks.</t>
  </si>
  <si>
    <r>
      <t xml:space="preserve">exchange on an hourly basis. Default values are -100 </t>
    </r>
    <r>
      <rPr>
        <i/>
        <sz val="11"/>
        <color theme="1"/>
        <rFont val="Calibri"/>
        <family val="2"/>
      </rPr>
      <t>€/MWh</t>
    </r>
    <r>
      <rPr>
        <i/>
        <sz val="11"/>
        <color theme="1"/>
        <rFont val="Calibri"/>
        <family val="2"/>
        <scheme val="minor"/>
      </rPr>
      <t xml:space="preserve"> to sell</t>
    </r>
  </si>
  <si>
    <t>Price tick</t>
  </si>
  <si>
    <t>DAM Min Price</t>
  </si>
  <si>
    <t>DAM Max Price</t>
  </si>
  <si>
    <t>Step 2: Insert my Fixed Position</t>
  </si>
  <si>
    <t>Create Interpolated Bids (Single Click)</t>
  </si>
  <si>
    <t>FolderPathtoUse</t>
  </si>
  <si>
    <t>On the left hand side there is the summary of the bid/offers you</t>
  </si>
  <si>
    <t>insert below from Range P56:AN75.</t>
  </si>
  <si>
    <t xml:space="preserve">Note: </t>
  </si>
  <si>
    <t>Button for copying the block bids on the left (Range O32:V32)</t>
  </si>
  <si>
    <t>Negative amounts (i.e. -25) imply that you are selling on the exchange.</t>
  </si>
  <si>
    <t>Columns L56:O75 can remain unattached for simple block bids.</t>
  </si>
  <si>
    <t>Exchange Offer last created on mercredi</t>
  </si>
  <si>
    <t>Austria</t>
  </si>
  <si>
    <t>DAM Firm vs Triggers Results</t>
  </si>
  <si>
    <t>Participant: Company</t>
  </si>
  <si>
    <t>If not, modify manually your allocation of books.</t>
  </si>
  <si>
    <t>In our example, once running Step 2 button</t>
  </si>
  <si>
    <t xml:space="preserve">(Trigger Results), it will show a positive imbalance on H1 </t>
  </si>
  <si>
    <t>Check Column F, imbalance should result to zero.</t>
  </si>
  <si>
    <t>and a negative imbalance on H2 (due to pro-rata and market</t>
  </si>
  <si>
    <t>clearing at the same price interval as your trigger input).</t>
  </si>
  <si>
    <t>been done correctly.</t>
  </si>
  <si>
    <t>Positive amounts (i.e. 25) imply that you are buying from the exchange.</t>
  </si>
  <si>
    <t>HOURLY BUY</t>
  </si>
  <si>
    <t>HOURLY SELL</t>
  </si>
  <si>
    <t>C:\</t>
  </si>
  <si>
    <t>Read 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</si>
</sst>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#,##0\ &quot;€&quot;;[Red]\-#,##0\ &quot;€&quot;"/>
    <numFmt numFmtId="164" formatCode="0_ ;[Red]\-0\ "/>
    <numFmt numFmtId="165" formatCode="0.0_ ;[Red]\-0.0\ "/>
    <numFmt numFmtId="166" formatCode="#,##0.00_ ;[Red]\-#,##0.00\ "/>
    <numFmt numFmtId="167" formatCode="0.0"/>
    <numFmt numFmtId="168" formatCode="0.00_ ;[Red]\-0.00\ "/>
    <numFmt numFmtId="169" formatCode="#,##0.0_ ;[Red]\-#,##0.0\ "/>
  </numFmts>
  <fonts count="31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b/>
      <sz val="10"/>
      <color theme="3" tint="0.39997558519241921"/>
      <name val="Arial"/>
      <family val="2"/>
    </font>
    <font>
      <sz val="8"/>
      <color theme="0" tint="-0.499984740745262"/>
      <name val="Arial"/>
      <family val="2"/>
    </font>
    <font>
      <b/>
      <sz val="10"/>
      <color indexed="9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u/>
      <sz val="10"/>
      <name val="Arial"/>
      <family val="2"/>
    </font>
    <font>
      <sz val="10"/>
      <color rgb="FFFF0000"/>
      <name val="Arial"/>
      <family val="2"/>
    </font>
    <font>
      <b/>
      <sz val="11"/>
      <color indexed="8"/>
      <name val="Calibri"/>
      <family val="2"/>
    </font>
    <font>
      <b/>
      <i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thin">
        <color indexed="64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indexed="64"/>
      </bottom>
      <diagonal/>
    </border>
    <border>
      <left style="hair">
        <color indexed="9"/>
      </left>
      <right style="thin">
        <color indexed="64"/>
      </right>
      <top style="hair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dotted">
        <color indexed="9"/>
      </right>
      <top style="thin">
        <color indexed="64"/>
      </top>
      <bottom style="dotted">
        <color indexed="9"/>
      </bottom>
      <diagonal/>
    </border>
    <border>
      <left style="dotted">
        <color indexed="9"/>
      </left>
      <right style="dotted">
        <color indexed="9"/>
      </right>
      <top style="thin">
        <color indexed="64"/>
      </top>
      <bottom style="dotted">
        <color indexed="9"/>
      </bottom>
      <diagonal/>
    </border>
    <border>
      <left style="dotted">
        <color indexed="9"/>
      </left>
      <right/>
      <top style="thin">
        <color indexed="64"/>
      </top>
      <bottom style="dotted">
        <color indexed="9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 style="dotted">
        <color indexed="9"/>
      </bottom>
      <diagonal/>
    </border>
    <border>
      <left style="thin">
        <color indexed="64"/>
      </left>
      <right style="dotted">
        <color indexed="9"/>
      </right>
      <top style="dotted">
        <color indexed="9"/>
      </top>
      <bottom style="dotted">
        <color indexed="9"/>
      </bottom>
      <diagonal/>
    </border>
    <border>
      <left style="dotted">
        <color indexed="9"/>
      </left>
      <right style="dotted">
        <color indexed="9"/>
      </right>
      <top style="dotted">
        <color indexed="9"/>
      </top>
      <bottom style="dotted">
        <color indexed="9"/>
      </bottom>
      <diagonal/>
    </border>
    <border>
      <left style="dotted">
        <color indexed="9"/>
      </left>
      <right/>
      <top style="dotted">
        <color indexed="9"/>
      </top>
      <bottom style="dotted">
        <color indexed="9"/>
      </bottom>
      <diagonal/>
    </border>
    <border>
      <left style="thick">
        <color theme="0"/>
      </left>
      <right style="thin">
        <color indexed="64"/>
      </right>
      <top style="dotted">
        <color indexed="9"/>
      </top>
      <bottom style="dotted">
        <color indexed="9"/>
      </bottom>
      <diagonal/>
    </border>
    <border>
      <left style="thin">
        <color indexed="64"/>
      </left>
      <right style="dotted">
        <color indexed="9"/>
      </right>
      <top/>
      <bottom style="dotted">
        <color indexed="9"/>
      </bottom>
      <diagonal/>
    </border>
    <border>
      <left style="dotted">
        <color indexed="9"/>
      </left>
      <right style="dotted">
        <color indexed="9"/>
      </right>
      <top/>
      <bottom style="dotted">
        <color indexed="9"/>
      </bottom>
      <diagonal/>
    </border>
    <border>
      <left style="thin">
        <color indexed="64"/>
      </left>
      <right/>
      <top style="dotted">
        <color indexed="9"/>
      </top>
      <bottom style="dotted">
        <color indexed="9"/>
      </bottom>
      <diagonal/>
    </border>
    <border>
      <left style="dotted">
        <color indexed="9"/>
      </left>
      <right style="thin">
        <color indexed="64"/>
      </right>
      <top style="dotted">
        <color indexed="9"/>
      </top>
      <bottom style="dotted">
        <color indexed="9"/>
      </bottom>
      <diagonal/>
    </border>
    <border>
      <left style="thin">
        <color indexed="64"/>
      </left>
      <right style="thin">
        <color indexed="64"/>
      </right>
      <top style="dotted">
        <color indexed="9"/>
      </top>
      <bottom style="thin">
        <color indexed="64"/>
      </bottom>
      <diagonal/>
    </border>
    <border>
      <left style="thin">
        <color indexed="64"/>
      </left>
      <right/>
      <top style="dotted">
        <color indexed="9"/>
      </top>
      <bottom style="thin">
        <color indexed="64"/>
      </bottom>
      <diagonal/>
    </border>
    <border>
      <left style="thin">
        <color indexed="64"/>
      </left>
      <right style="dotted">
        <color indexed="9"/>
      </right>
      <top style="dotted">
        <color indexed="9"/>
      </top>
      <bottom style="thin">
        <color indexed="64"/>
      </bottom>
      <diagonal/>
    </border>
    <border>
      <left style="dotted">
        <color indexed="9"/>
      </left>
      <right style="dotted">
        <color indexed="9"/>
      </right>
      <top style="dotted">
        <color indexed="9"/>
      </top>
      <bottom style="thin">
        <color indexed="64"/>
      </bottom>
      <diagonal/>
    </border>
    <border>
      <left style="dotted">
        <color indexed="9"/>
      </left>
      <right style="thin">
        <color indexed="64"/>
      </right>
      <top style="dotted">
        <color indexed="9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/>
      <top/>
      <bottom style="hair">
        <color indexed="9"/>
      </bottom>
      <diagonal/>
    </border>
    <border>
      <left style="thin">
        <color indexed="64"/>
      </left>
      <right style="dotted">
        <color indexed="9"/>
      </right>
      <top style="dotted">
        <color indexed="9"/>
      </top>
      <bottom/>
      <diagonal/>
    </border>
    <border>
      <left style="dotted">
        <color indexed="9"/>
      </left>
      <right style="dotted">
        <color indexed="9"/>
      </right>
      <top style="dotted">
        <color indexed="9"/>
      </top>
      <bottom/>
      <diagonal/>
    </border>
    <border>
      <left style="dotted">
        <color indexed="9"/>
      </left>
      <right/>
      <top style="dotted">
        <color indexed="9"/>
      </top>
      <bottom/>
      <diagonal/>
    </border>
    <border>
      <left style="thick">
        <color theme="0"/>
      </left>
      <right style="thin">
        <color indexed="64"/>
      </right>
      <top style="dotted">
        <color indexed="9"/>
      </top>
      <bottom/>
      <diagonal/>
    </border>
    <border>
      <left style="thick">
        <color theme="0"/>
      </left>
      <right style="thin">
        <color indexed="64"/>
      </right>
      <top/>
      <bottom style="dotted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9"/>
      </left>
      <right/>
      <top/>
      <bottom style="dotted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9"/>
      </left>
      <right/>
      <top style="dotted">
        <color indexed="9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dotted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hair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indexed="9"/>
      </bottom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13" fillId="0" borderId="0"/>
  </cellStyleXfs>
  <cellXfs count="275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" fillId="2" borderId="0" xfId="0" applyFont="1" applyFill="1" applyAlignment="1">
      <alignment horizontal="center" vertical="center" wrapText="1"/>
    </xf>
    <xf numFmtId="22" fontId="4" fillId="2" borderId="0" xfId="0" applyNumberFormat="1" applyFont="1" applyFill="1" applyAlignment="1">
      <alignment vertical="center"/>
    </xf>
    <xf numFmtId="164" fontId="5" fillId="0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4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/>
    </xf>
    <xf numFmtId="0" fontId="0" fillId="3" borderId="0" xfId="0" applyFill="1" applyAlignment="1">
      <alignment horizontal="centerContinuous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4" borderId="3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0" fillId="0" borderId="6" xfId="0" applyNumberFormat="1" applyBorder="1"/>
    <xf numFmtId="165" fontId="0" fillId="0" borderId="7" xfId="0" applyNumberFormat="1" applyBorder="1"/>
    <xf numFmtId="0" fontId="0" fillId="5" borderId="8" xfId="0" applyFill="1" applyBorder="1" applyAlignment="1">
      <alignment horizontal="center"/>
    </xf>
    <xf numFmtId="166" fontId="0" fillId="2" borderId="9" xfId="0" applyNumberFormat="1" applyFill="1" applyBorder="1"/>
    <xf numFmtId="166" fontId="0" fillId="5" borderId="9" xfId="0" applyNumberFormat="1" applyFill="1" applyBorder="1"/>
    <xf numFmtId="0" fontId="10" fillId="5" borderId="10" xfId="0" applyFont="1" applyFill="1" applyBorder="1" applyAlignment="1">
      <alignment horizontal="left"/>
    </xf>
    <xf numFmtId="167" fontId="0" fillId="0" borderId="11" xfId="0" applyNumberFormat="1" applyBorder="1"/>
    <xf numFmtId="167" fontId="0" fillId="0" borderId="12" xfId="0" applyNumberFormat="1" applyBorder="1"/>
    <xf numFmtId="167" fontId="4" fillId="0" borderId="5" xfId="0" applyNumberFormat="1" applyFont="1" applyBorder="1"/>
    <xf numFmtId="0" fontId="5" fillId="0" borderId="0" xfId="0" applyFont="1" applyAlignment="1">
      <alignment horizontal="right"/>
    </xf>
    <xf numFmtId="164" fontId="0" fillId="0" borderId="13" xfId="0" applyNumberFormat="1" applyBorder="1"/>
    <xf numFmtId="164" fontId="0" fillId="0" borderId="14" xfId="0" applyNumberFormat="1" applyBorder="1"/>
    <xf numFmtId="0" fontId="0" fillId="5" borderId="15" xfId="0" applyFill="1" applyBorder="1" applyAlignment="1">
      <alignment horizontal="center"/>
    </xf>
    <xf numFmtId="166" fontId="0" fillId="2" borderId="16" xfId="0" applyNumberFormat="1" applyFill="1" applyBorder="1"/>
    <xf numFmtId="166" fontId="0" fillId="5" borderId="16" xfId="0" applyNumberFormat="1" applyFill="1" applyBorder="1"/>
    <xf numFmtId="0" fontId="10" fillId="5" borderId="17" xfId="0" applyFont="1" applyFill="1" applyBorder="1" applyAlignment="1">
      <alignment horizontal="left"/>
    </xf>
    <xf numFmtId="0" fontId="0" fillId="0" borderId="18" xfId="0" applyBorder="1"/>
    <xf numFmtId="167" fontId="0" fillId="0" borderId="18" xfId="0" applyNumberFormat="1" applyBorder="1"/>
    <xf numFmtId="164" fontId="4" fillId="0" borderId="14" xfId="0" applyNumberFormat="1" applyFont="1" applyBorder="1"/>
    <xf numFmtId="0" fontId="0" fillId="5" borderId="19" xfId="0" applyFill="1" applyBorder="1" applyAlignment="1">
      <alignment horizontal="center"/>
    </xf>
    <xf numFmtId="166" fontId="0" fillId="2" borderId="20" xfId="0" applyNumberFormat="1" applyFill="1" applyBorder="1"/>
    <xf numFmtId="166" fontId="0" fillId="5" borderId="20" xfId="0" applyNumberFormat="1" applyFill="1" applyBorder="1"/>
    <xf numFmtId="0" fontId="10" fillId="5" borderId="21" xfId="0" applyFont="1" applyFill="1" applyBorder="1" applyAlignment="1">
      <alignment horizontal="left"/>
    </xf>
    <xf numFmtId="164" fontId="0" fillId="0" borderId="22" xfId="0" applyNumberFormat="1" applyBorder="1"/>
    <xf numFmtId="0" fontId="0" fillId="2" borderId="23" xfId="0" applyFill="1" applyBorder="1" applyAlignment="1">
      <alignment horizontal="center"/>
    </xf>
    <xf numFmtId="164" fontId="0" fillId="2" borderId="24" xfId="0" applyNumberFormat="1" applyFill="1" applyBorder="1"/>
    <xf numFmtId="168" fontId="0" fillId="2" borderId="25" xfId="0" applyNumberFormat="1" applyFill="1" applyBorder="1"/>
    <xf numFmtId="0" fontId="11" fillId="2" borderId="26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2" borderId="27" xfId="0" applyFill="1" applyBorder="1" applyAlignment="1">
      <alignment horizontal="center"/>
    </xf>
    <xf numFmtId="164" fontId="0" fillId="2" borderId="28" xfId="0" applyNumberFormat="1" applyFill="1" applyBorder="1"/>
    <xf numFmtId="168" fontId="0" fillId="2" borderId="29" xfId="0" applyNumberFormat="1" applyFill="1" applyBorder="1"/>
    <xf numFmtId="0" fontId="11" fillId="2" borderId="30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Continuous"/>
    </xf>
    <xf numFmtId="0" fontId="0" fillId="0" borderId="0" xfId="0" applyFill="1"/>
    <xf numFmtId="0" fontId="4" fillId="6" borderId="0" xfId="0" applyFont="1" applyFill="1" applyAlignment="1" applyProtection="1">
      <alignment horizontal="centerContinuous" vertical="center"/>
      <protection hidden="1"/>
    </xf>
    <xf numFmtId="0" fontId="0" fillId="6" borderId="0" xfId="0" applyFill="1" applyAlignment="1" applyProtection="1">
      <alignment horizontal="centerContinuous" vertical="center"/>
      <protection hidden="1"/>
    </xf>
    <xf numFmtId="164" fontId="5" fillId="3" borderId="0" xfId="0" applyNumberFormat="1" applyFont="1" applyFill="1" applyBorder="1" applyAlignment="1">
      <alignment horizontal="centerContinuous" vertical="center"/>
    </xf>
    <xf numFmtId="164" fontId="0" fillId="3" borderId="0" xfId="0" applyNumberFormat="1" applyFill="1" applyBorder="1" applyAlignment="1">
      <alignment horizontal="centerContinuous" vertical="center"/>
    </xf>
    <xf numFmtId="0" fontId="2" fillId="0" borderId="0" xfId="0" applyFont="1" applyBorder="1" applyAlignment="1"/>
    <xf numFmtId="0" fontId="0" fillId="7" borderId="0" xfId="0" applyFill="1"/>
    <xf numFmtId="21" fontId="0" fillId="7" borderId="0" xfId="0" applyNumberFormat="1" applyFill="1"/>
    <xf numFmtId="3" fontId="4" fillId="8" borderId="0" xfId="0" applyNumberFormat="1" applyFont="1" applyFill="1" applyAlignment="1" applyProtection="1">
      <protection hidden="1"/>
    </xf>
    <xf numFmtId="3" fontId="4" fillId="8" borderId="0" xfId="0" applyNumberFormat="1" applyFont="1" applyFill="1" applyAlignment="1" applyProtection="1">
      <alignment horizontal="left"/>
      <protection hidden="1"/>
    </xf>
    <xf numFmtId="3" fontId="0" fillId="8" borderId="0" xfId="0" applyNumberFormat="1" applyFill="1" applyAlignment="1" applyProtection="1">
      <protection hidden="1"/>
    </xf>
    <xf numFmtId="0" fontId="4" fillId="0" borderId="0" xfId="0" applyFont="1" applyFill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Alignment="1">
      <alignment horizontal="centerContinuous"/>
    </xf>
    <xf numFmtId="3" fontId="0" fillId="8" borderId="0" xfId="0" applyNumberFormat="1" applyFill="1" applyAlignment="1" applyProtection="1">
      <alignment horizontal="centerContinuous"/>
      <protection hidden="1"/>
    </xf>
    <xf numFmtId="0" fontId="0" fillId="0" borderId="4" xfId="0" applyFill="1" applyBorder="1" applyAlignment="1" applyProtection="1">
      <alignment horizontal="center" vertical="center"/>
      <protection hidden="1"/>
    </xf>
    <xf numFmtId="0" fontId="0" fillId="0" borderId="0" xfId="0" applyFill="1" applyProtection="1">
      <protection hidden="1"/>
    </xf>
    <xf numFmtId="0" fontId="0" fillId="8" borderId="0" xfId="0" applyFill="1" applyAlignment="1" applyProtection="1">
      <alignment horizontal="centerContinuous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3" fontId="0" fillId="9" borderId="0" xfId="0" applyNumberFormat="1" applyFill="1" applyProtection="1"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3" fontId="4" fillId="8" borderId="0" xfId="0" applyNumberFormat="1" applyFont="1" applyFill="1" applyAlignment="1" applyProtection="1">
      <alignment horizontal="centerContinuous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2" borderId="31" xfId="0" applyFill="1" applyBorder="1" applyAlignment="1">
      <alignment horizontal="center"/>
    </xf>
    <xf numFmtId="164" fontId="0" fillId="2" borderId="32" xfId="0" applyNumberFormat="1" applyFill="1" applyBorder="1"/>
    <xf numFmtId="0" fontId="9" fillId="10" borderId="0" xfId="1" applyFont="1" applyFill="1" applyBorder="1" applyAlignment="1" applyProtection="1">
      <alignment horizontal="center"/>
      <protection hidden="1"/>
    </xf>
    <xf numFmtId="164" fontId="4" fillId="2" borderId="33" xfId="1" applyNumberFormat="1" applyFill="1" applyBorder="1" applyAlignment="1">
      <alignment horizontal="center"/>
    </xf>
    <xf numFmtId="164" fontId="0" fillId="2" borderId="33" xfId="0" applyNumberFormat="1" applyFill="1" applyBorder="1" applyAlignment="1">
      <alignment horizontal="center"/>
    </xf>
    <xf numFmtId="164" fontId="0" fillId="2" borderId="27" xfId="0" applyNumberFormat="1" applyFill="1" applyBorder="1" applyAlignment="1">
      <alignment horizontal="center"/>
    </xf>
    <xf numFmtId="164" fontId="0" fillId="2" borderId="28" xfId="0" applyNumberFormat="1" applyFill="1" applyBorder="1" applyAlignment="1">
      <alignment horizontal="center"/>
    </xf>
    <xf numFmtId="164" fontId="0" fillId="2" borderId="34" xfId="0" applyNumberFormat="1" applyFill="1" applyBorder="1" applyAlignment="1">
      <alignment horizontal="center"/>
    </xf>
    <xf numFmtId="164" fontId="0" fillId="0" borderId="2" xfId="0" applyNumberFormat="1" applyFill="1" applyBorder="1"/>
    <xf numFmtId="164" fontId="4" fillId="2" borderId="35" xfId="1" applyNumberFormat="1" applyFill="1" applyBorder="1" applyAlignment="1">
      <alignment horizontal="center"/>
    </xf>
    <xf numFmtId="164" fontId="0" fillId="2" borderId="35" xfId="0" applyNumberFormat="1" applyFill="1" applyBorder="1" applyAlignment="1">
      <alignment horizontal="center"/>
    </xf>
    <xf numFmtId="164" fontId="0" fillId="2" borderId="37" xfId="0" applyNumberFormat="1" applyFill="1" applyBorder="1" applyAlignment="1">
      <alignment horizontal="center"/>
    </xf>
    <xf numFmtId="164" fontId="0" fillId="2" borderId="38" xfId="0" applyNumberFormat="1" applyFill="1" applyBorder="1" applyAlignment="1">
      <alignment horizontal="center"/>
    </xf>
    <xf numFmtId="164" fontId="0" fillId="2" borderId="39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6" fontId="0" fillId="11" borderId="41" xfId="0" applyNumberFormat="1" applyFill="1" applyBorder="1"/>
    <xf numFmtId="0" fontId="10" fillId="5" borderId="0" xfId="0" applyFont="1" applyFill="1" applyBorder="1" applyAlignment="1">
      <alignment horizontal="left"/>
    </xf>
    <xf numFmtId="0" fontId="0" fillId="13" borderId="0" xfId="0" applyFill="1"/>
    <xf numFmtId="167" fontId="0" fillId="0" borderId="0" xfId="0" applyNumberFormat="1"/>
    <xf numFmtId="166" fontId="0" fillId="0" borderId="0" xfId="0" applyNumberFormat="1"/>
    <xf numFmtId="0" fontId="0" fillId="2" borderId="42" xfId="0" applyFill="1" applyBorder="1" applyAlignment="1">
      <alignment horizontal="center"/>
    </xf>
    <xf numFmtId="164" fontId="0" fillId="2" borderId="43" xfId="0" applyNumberFormat="1" applyFill="1" applyBorder="1"/>
    <xf numFmtId="168" fontId="0" fillId="2" borderId="44" xfId="0" applyNumberFormat="1" applyFill="1" applyBorder="1"/>
    <xf numFmtId="0" fontId="11" fillId="2" borderId="45" xfId="0" applyFont="1" applyFill="1" applyBorder="1" applyAlignment="1">
      <alignment horizontal="left"/>
    </xf>
    <xf numFmtId="0" fontId="11" fillId="2" borderId="46" xfId="0" applyFont="1" applyFill="1" applyBorder="1" applyAlignment="1">
      <alignment horizontal="left"/>
    </xf>
    <xf numFmtId="165" fontId="0" fillId="2" borderId="29" xfId="0" applyNumberFormat="1" applyFill="1" applyBorder="1"/>
    <xf numFmtId="165" fontId="0" fillId="2" borderId="44" xfId="0" applyNumberFormat="1" applyFill="1" applyBorder="1"/>
    <xf numFmtId="165" fontId="0" fillId="2" borderId="48" xfId="0" applyNumberFormat="1" applyFill="1" applyBorder="1"/>
    <xf numFmtId="0" fontId="0" fillId="0" borderId="49" xfId="0" applyBorder="1"/>
    <xf numFmtId="167" fontId="0" fillId="0" borderId="40" xfId="0" applyNumberFormat="1" applyBorder="1"/>
    <xf numFmtId="0" fontId="0" fillId="2" borderId="37" xfId="0" applyFill="1" applyBorder="1" applyAlignment="1">
      <alignment horizontal="center"/>
    </xf>
    <xf numFmtId="164" fontId="0" fillId="2" borderId="38" xfId="0" applyNumberFormat="1" applyFill="1" applyBorder="1"/>
    <xf numFmtId="165" fontId="0" fillId="2" borderId="50" xfId="0" applyNumberFormat="1" applyFill="1" applyBorder="1"/>
    <xf numFmtId="0" fontId="11" fillId="2" borderId="51" xfId="0" applyFont="1" applyFill="1" applyBorder="1" applyAlignment="1">
      <alignment horizontal="left"/>
    </xf>
    <xf numFmtId="167" fontId="0" fillId="0" borderId="52" xfId="0" applyNumberFormat="1" applyBorder="1"/>
    <xf numFmtId="0" fontId="12" fillId="14" borderId="47" xfId="0" applyFont="1" applyFill="1" applyBorder="1"/>
    <xf numFmtId="167" fontId="12" fillId="14" borderId="11" xfId="0" applyNumberFormat="1" applyFont="1" applyFill="1" applyBorder="1"/>
    <xf numFmtId="167" fontId="12" fillId="14" borderId="18" xfId="0" applyNumberFormat="1" applyFont="1" applyFill="1" applyBorder="1"/>
    <xf numFmtId="167" fontId="12" fillId="15" borderId="18" xfId="0" applyNumberFormat="1" applyFont="1" applyFill="1" applyBorder="1"/>
    <xf numFmtId="0" fontId="12" fillId="16" borderId="18" xfId="0" applyFont="1" applyFill="1" applyBorder="1"/>
    <xf numFmtId="0" fontId="12" fillId="16" borderId="49" xfId="0" applyFont="1" applyFill="1" applyBorder="1"/>
    <xf numFmtId="0" fontId="12" fillId="0" borderId="0" xfId="0" applyFont="1" applyFill="1"/>
    <xf numFmtId="0" fontId="0" fillId="0" borderId="0" xfId="0" applyBorder="1"/>
    <xf numFmtId="14" fontId="0" fillId="0" borderId="0" xfId="0" applyNumberFormat="1"/>
    <xf numFmtId="0" fontId="4" fillId="0" borderId="0" xfId="1" applyFill="1"/>
    <xf numFmtId="14" fontId="4" fillId="0" borderId="0" xfId="1" applyNumberFormat="1" applyFill="1"/>
    <xf numFmtId="0" fontId="4" fillId="0" borderId="0" xfId="1"/>
    <xf numFmtId="0" fontId="14" fillId="0" borderId="0" xfId="1" applyFont="1" applyAlignment="1">
      <alignment horizontal="center"/>
    </xf>
    <xf numFmtId="0" fontId="14" fillId="0" borderId="0" xfId="1" applyFont="1" applyAlignment="1">
      <alignment horizontal="centerContinuous"/>
    </xf>
    <xf numFmtId="0" fontId="4" fillId="0" borderId="0" xfId="1" applyAlignment="1">
      <alignment horizontal="centerContinuous"/>
    </xf>
    <xf numFmtId="0" fontId="15" fillId="0" borderId="0" xfId="0" applyFont="1"/>
    <xf numFmtId="0" fontId="5" fillId="0" borderId="0" xfId="1" applyFont="1" applyAlignment="1">
      <alignment horizontal="centerContinuous"/>
    </xf>
    <xf numFmtId="0" fontId="5" fillId="0" borderId="53" xfId="1" applyFont="1" applyBorder="1" applyAlignment="1">
      <alignment horizontal="center"/>
    </xf>
    <xf numFmtId="0" fontId="5" fillId="0" borderId="0" xfId="1" applyFont="1" applyAlignment="1">
      <alignment horizontal="center" vertical="center"/>
    </xf>
    <xf numFmtId="166" fontId="4" fillId="0" borderId="0" xfId="1" applyNumberFormat="1" applyFill="1" applyAlignment="1">
      <alignment horizontal="center" vertical="center"/>
    </xf>
    <xf numFmtId="166" fontId="4" fillId="17" borderId="0" xfId="1" applyNumberFormat="1" applyFill="1" applyAlignment="1">
      <alignment horizontal="center" vertical="center"/>
    </xf>
    <xf numFmtId="0" fontId="4" fillId="0" borderId="54" xfId="1" applyBorder="1" applyAlignment="1">
      <alignment horizontal="center" vertical="center"/>
    </xf>
    <xf numFmtId="0" fontId="4" fillId="0" borderId="0" xfId="1" applyAlignment="1">
      <alignment horizontal="center"/>
    </xf>
    <xf numFmtId="0" fontId="4" fillId="0" borderId="55" xfId="1" applyBorder="1" applyAlignment="1">
      <alignment horizontal="center" vertical="center"/>
    </xf>
    <xf numFmtId="0" fontId="5" fillId="0" borderId="54" xfId="1" applyFont="1" applyBorder="1" applyAlignment="1">
      <alignment horizontal="center" vertical="center"/>
    </xf>
    <xf numFmtId="166" fontId="4" fillId="0" borderId="54" xfId="1" applyNumberFormat="1" applyFill="1" applyBorder="1" applyAlignment="1">
      <alignment horizontal="center" vertical="center"/>
    </xf>
    <xf numFmtId="166" fontId="4" fillId="17" borderId="54" xfId="1" applyNumberForma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5" fillId="0" borderId="55" xfId="1" applyFont="1" applyBorder="1" applyAlignment="1">
      <alignment horizontal="center" vertical="center"/>
    </xf>
    <xf numFmtId="166" fontId="4" fillId="0" borderId="55" xfId="1" applyNumberFormat="1" applyFill="1" applyBorder="1" applyAlignment="1">
      <alignment horizontal="center" vertical="center"/>
    </xf>
    <xf numFmtId="166" fontId="4" fillId="18" borderId="0" xfId="1" applyNumberFormat="1" applyFill="1" applyAlignment="1">
      <alignment horizontal="center" vertical="center"/>
    </xf>
    <xf numFmtId="166" fontId="4" fillId="9" borderId="0" xfId="1" applyNumberFormat="1" applyFill="1" applyAlignment="1">
      <alignment horizontal="center" vertical="center"/>
    </xf>
    <xf numFmtId="166" fontId="4" fillId="17" borderId="55" xfId="1" applyNumberFormat="1" applyFill="1" applyBorder="1" applyAlignment="1">
      <alignment horizontal="center" vertical="center"/>
    </xf>
    <xf numFmtId="166" fontId="4" fillId="0" borderId="0" xfId="1" applyNumberFormat="1"/>
    <xf numFmtId="166" fontId="4" fillId="17" borderId="0" xfId="1" applyNumberFormat="1" applyFont="1" applyFill="1" applyAlignment="1">
      <alignment horizontal="center" vertical="center"/>
    </xf>
    <xf numFmtId="0" fontId="5" fillId="0" borderId="0" xfId="1" applyFont="1"/>
    <xf numFmtId="0" fontId="5" fillId="0" borderId="0" xfId="1" applyFont="1" applyAlignment="1">
      <alignment horizontal="center"/>
    </xf>
    <xf numFmtId="0" fontId="5" fillId="18" borderId="0" xfId="1" applyFont="1" applyFill="1" applyAlignment="1">
      <alignment horizontal="center"/>
    </xf>
    <xf numFmtId="0" fontId="4" fillId="0" borderId="0" xfId="1" applyFill="1" applyAlignment="1">
      <alignment horizontal="center"/>
    </xf>
    <xf numFmtId="2" fontId="4" fillId="0" borderId="0" xfId="1" applyNumberFormat="1" applyFill="1" applyAlignment="1">
      <alignment horizontal="center"/>
    </xf>
    <xf numFmtId="0" fontId="4" fillId="18" borderId="0" xfId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18" borderId="0" xfId="1" applyFont="1" applyFill="1" applyAlignment="1">
      <alignment horizontal="center"/>
    </xf>
    <xf numFmtId="0" fontId="4" fillId="0" borderId="0" xfId="1" applyFont="1" applyFill="1" applyAlignment="1">
      <alignment horizontal="right"/>
    </xf>
    <xf numFmtId="0" fontId="4" fillId="19" borderId="0" xfId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6" fillId="0" borderId="0" xfId="2" applyFont="1" applyAlignment="1" applyProtection="1">
      <alignment horizontal="center"/>
    </xf>
    <xf numFmtId="0" fontId="13" fillId="0" borderId="0" xfId="2" applyProtection="1"/>
    <xf numFmtId="14" fontId="16" fillId="20" borderId="0" xfId="2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2" applyProtection="1">
      <protection hidden="1"/>
    </xf>
    <xf numFmtId="0" fontId="13" fillId="13" borderId="0" xfId="2" applyFill="1" applyProtection="1"/>
    <xf numFmtId="0" fontId="13" fillId="0" borderId="0" xfId="2" applyAlignment="1" applyProtection="1">
      <alignment horizontal="center"/>
      <protection hidden="1"/>
    </xf>
    <xf numFmtId="0" fontId="17" fillId="21" borderId="47" xfId="2" applyFont="1" applyFill="1" applyBorder="1" applyAlignment="1" applyProtection="1">
      <alignment horizontal="centerContinuous"/>
    </xf>
    <xf numFmtId="14" fontId="18" fillId="13" borderId="0" xfId="2" applyNumberFormat="1" applyFont="1" applyFill="1" applyProtection="1"/>
    <xf numFmtId="0" fontId="16" fillId="20" borderId="0" xfId="2" applyFont="1" applyFill="1" applyBorder="1" applyAlignment="1" applyProtection="1">
      <alignment horizontal="center" vertical="center"/>
    </xf>
    <xf numFmtId="0" fontId="13" fillId="20" borderId="0" xfId="2" applyFill="1" applyBorder="1" applyAlignment="1" applyProtection="1">
      <alignment horizontal="center" vertical="center"/>
    </xf>
    <xf numFmtId="0" fontId="13" fillId="0" borderId="0" xfId="2" applyBorder="1" applyProtection="1"/>
    <xf numFmtId="0" fontId="16" fillId="20" borderId="47" xfId="2" applyFont="1" applyFill="1" applyBorder="1" applyAlignment="1" applyProtection="1">
      <alignment horizontal="center" vertical="center"/>
      <protection hidden="1"/>
    </xf>
    <xf numFmtId="0" fontId="16" fillId="20" borderId="47" xfId="2" applyFont="1" applyFill="1" applyBorder="1" applyAlignment="1" applyProtection="1">
      <alignment horizontal="center" vertical="center" wrapText="1"/>
      <protection hidden="1"/>
    </xf>
    <xf numFmtId="0" fontId="16" fillId="13" borderId="0" xfId="2" applyFont="1" applyFill="1" applyProtection="1"/>
    <xf numFmtId="0" fontId="16" fillId="0" borderId="0" xfId="2" applyFont="1" applyBorder="1" applyAlignment="1" applyProtection="1">
      <alignment horizontal="center"/>
    </xf>
    <xf numFmtId="14" fontId="19" fillId="20" borderId="56" xfId="2" applyNumberFormat="1" applyFont="1" applyFill="1" applyBorder="1" applyAlignment="1" applyProtection="1">
      <alignment horizontal="center"/>
      <protection hidden="1"/>
    </xf>
    <xf numFmtId="0" fontId="16" fillId="20" borderId="56" xfId="2" applyFont="1" applyFill="1" applyBorder="1" applyProtection="1">
      <protection hidden="1"/>
    </xf>
    <xf numFmtId="0" fontId="16" fillId="22" borderId="56" xfId="2" applyFont="1" applyFill="1" applyBorder="1" applyAlignment="1" applyProtection="1">
      <alignment horizontal="center"/>
      <protection locked="0"/>
    </xf>
    <xf numFmtId="0" fontId="0" fillId="13" borderId="0" xfId="0" applyFill="1" applyProtection="1"/>
    <xf numFmtId="0" fontId="17" fillId="21" borderId="0" xfId="2" applyFont="1" applyFill="1" applyBorder="1" applyAlignment="1" applyProtection="1">
      <alignment horizontal="center"/>
    </xf>
    <xf numFmtId="14" fontId="19" fillId="20" borderId="18" xfId="2" applyNumberFormat="1" applyFont="1" applyFill="1" applyBorder="1" applyAlignment="1" applyProtection="1">
      <alignment horizontal="center"/>
      <protection hidden="1"/>
    </xf>
    <xf numFmtId="0" fontId="16" fillId="20" borderId="18" xfId="2" applyFont="1" applyFill="1" applyBorder="1" applyProtection="1">
      <protection hidden="1"/>
    </xf>
    <xf numFmtId="0" fontId="16" fillId="22" borderId="18" xfId="2" applyFont="1" applyFill="1" applyBorder="1" applyAlignment="1" applyProtection="1">
      <alignment horizontal="center"/>
      <protection locked="0"/>
    </xf>
    <xf numFmtId="0" fontId="16" fillId="20" borderId="0" xfId="2" applyFont="1" applyFill="1" applyBorder="1" applyAlignment="1" applyProtection="1">
      <alignment horizontal="center"/>
    </xf>
    <xf numFmtId="0" fontId="16" fillId="20" borderId="0" xfId="2" applyFont="1" applyFill="1" applyBorder="1" applyProtection="1"/>
    <xf numFmtId="0" fontId="5" fillId="22" borderId="0" xfId="2" applyFont="1" applyFill="1" applyBorder="1" applyAlignment="1" applyProtection="1">
      <alignment horizontal="center"/>
      <protection locked="0"/>
    </xf>
    <xf numFmtId="0" fontId="13" fillId="22" borderId="0" xfId="2" applyFill="1" applyBorder="1" applyAlignment="1" applyProtection="1">
      <alignment horizontal="center"/>
      <protection locked="0"/>
    </xf>
    <xf numFmtId="0" fontId="13" fillId="22" borderId="0" xfId="2" applyFill="1" applyBorder="1" applyProtection="1">
      <protection locked="0"/>
    </xf>
    <xf numFmtId="14" fontId="16" fillId="23" borderId="0" xfId="2" applyNumberFormat="1" applyFont="1" applyFill="1" applyBorder="1" applyProtection="1"/>
    <xf numFmtId="14" fontId="19" fillId="20" borderId="49" xfId="2" applyNumberFormat="1" applyFont="1" applyFill="1" applyBorder="1" applyAlignment="1" applyProtection="1">
      <alignment horizontal="center"/>
      <protection hidden="1"/>
    </xf>
    <xf numFmtId="0" fontId="16" fillId="20" borderId="49" xfId="2" applyFont="1" applyFill="1" applyBorder="1" applyProtection="1">
      <protection hidden="1"/>
    </xf>
    <xf numFmtId="0" fontId="16" fillId="22" borderId="49" xfId="2" applyFont="1" applyFill="1" applyBorder="1" applyAlignment="1" applyProtection="1">
      <alignment horizontal="center"/>
      <protection locked="0"/>
    </xf>
    <xf numFmtId="0" fontId="16" fillId="22" borderId="0" xfId="2" applyFont="1" applyFill="1" applyBorder="1" applyAlignment="1" applyProtection="1">
      <alignment horizontal="center"/>
      <protection locked="0"/>
    </xf>
    <xf numFmtId="14" fontId="13" fillId="0" borderId="0" xfId="2" applyNumberFormat="1" applyProtection="1"/>
    <xf numFmtId="0" fontId="19" fillId="0" borderId="0" xfId="2" applyFont="1" applyAlignment="1" applyProtection="1">
      <alignment horizontal="center"/>
      <protection locked="0"/>
    </xf>
    <xf numFmtId="164" fontId="21" fillId="0" borderId="2" xfId="0" applyNumberFormat="1" applyFont="1" applyFill="1" applyBorder="1" applyAlignment="1">
      <alignment horizontal="center" vertical="center" wrapText="1"/>
    </xf>
    <xf numFmtId="6" fontId="0" fillId="0" borderId="0" xfId="0" applyNumberFormat="1" applyBorder="1" applyAlignment="1">
      <alignment horizontal="center" vertical="center"/>
    </xf>
    <xf numFmtId="167" fontId="4" fillId="0" borderId="18" xfId="0" applyNumberFormat="1" applyFont="1" applyFill="1" applyBorder="1"/>
    <xf numFmtId="0" fontId="0" fillId="0" borderId="58" xfId="0" applyFont="1" applyBorder="1"/>
    <xf numFmtId="166" fontId="0" fillId="12" borderId="60" xfId="0" applyNumberFormat="1" applyFill="1" applyBorder="1"/>
    <xf numFmtId="166" fontId="0" fillId="11" borderId="0" xfId="0" applyNumberFormat="1" applyFont="1" applyFill="1" applyBorder="1" applyAlignment="1">
      <alignment horizontal="center"/>
    </xf>
    <xf numFmtId="166" fontId="0" fillId="12" borderId="0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0" fillId="0" borderId="57" xfId="0" applyFont="1" applyBorder="1"/>
    <xf numFmtId="0" fontId="0" fillId="0" borderId="61" xfId="0" applyFont="1" applyBorder="1"/>
    <xf numFmtId="166" fontId="0" fillId="11" borderId="62" xfId="0" applyNumberFormat="1" applyFont="1" applyFill="1" applyBorder="1" applyAlignment="1">
      <alignment horizontal="center"/>
    </xf>
    <xf numFmtId="166" fontId="0" fillId="12" borderId="62" xfId="0" applyNumberFormat="1" applyFont="1" applyFill="1" applyBorder="1" applyAlignment="1">
      <alignment horizontal="center"/>
    </xf>
    <xf numFmtId="0" fontId="10" fillId="5" borderId="62" xfId="0" applyFont="1" applyFill="1" applyBorder="1" applyAlignment="1">
      <alignment horizontal="center"/>
    </xf>
    <xf numFmtId="0" fontId="0" fillId="0" borderId="63" xfId="0" applyFont="1" applyBorder="1"/>
    <xf numFmtId="166" fontId="0" fillId="11" borderId="59" xfId="0" applyNumberFormat="1" applyFont="1" applyFill="1" applyBorder="1" applyAlignment="1">
      <alignment horizontal="center"/>
    </xf>
    <xf numFmtId="166" fontId="0" fillId="12" borderId="59" xfId="0" applyNumberFormat="1" applyFont="1" applyFill="1" applyBorder="1" applyAlignment="1">
      <alignment horizontal="center"/>
    </xf>
    <xf numFmtId="0" fontId="10" fillId="5" borderId="59" xfId="0" applyFont="1" applyFill="1" applyBorder="1" applyAlignment="1">
      <alignment horizontal="center"/>
    </xf>
    <xf numFmtId="0" fontId="0" fillId="0" borderId="64" xfId="0" applyFont="1" applyBorder="1"/>
    <xf numFmtId="164" fontId="0" fillId="0" borderId="2" xfId="0" applyNumberFormat="1" applyFill="1" applyBorder="1" applyAlignment="1"/>
    <xf numFmtId="0" fontId="20" fillId="0" borderId="0" xfId="0" applyFont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0" xfId="0" applyBorder="1" applyAlignment="1"/>
    <xf numFmtId="0" fontId="0" fillId="0" borderId="65" xfId="0" applyFont="1" applyBorder="1" applyAlignment="1">
      <alignment horizontal="right"/>
    </xf>
    <xf numFmtId="0" fontId="15" fillId="0" borderId="65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4" fillId="0" borderId="59" xfId="0" applyFont="1" applyFill="1" applyBorder="1" applyAlignment="1">
      <alignment horizontal="center"/>
    </xf>
    <xf numFmtId="0" fontId="24" fillId="0" borderId="0" xfId="0" applyFont="1"/>
    <xf numFmtId="168" fontId="0" fillId="0" borderId="0" xfId="0" applyNumberFormat="1"/>
    <xf numFmtId="0" fontId="13" fillId="0" borderId="0" xfId="2" applyNumberFormat="1" applyProtection="1"/>
    <xf numFmtId="0" fontId="26" fillId="0" borderId="4" xfId="0" applyFont="1" applyFill="1" applyBorder="1" applyAlignment="1" applyProtection="1">
      <alignment horizontal="center" vertical="center"/>
      <protection hidden="1"/>
    </xf>
    <xf numFmtId="0" fontId="26" fillId="0" borderId="0" xfId="0" applyFont="1" applyFill="1" applyBorder="1" applyAlignment="1" applyProtection="1">
      <alignment horizontal="center" vertical="center"/>
      <protection hidden="1"/>
    </xf>
    <xf numFmtId="0" fontId="26" fillId="0" borderId="1" xfId="0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0" fontId="24" fillId="0" borderId="0" xfId="0" applyFont="1" applyFill="1" applyProtection="1">
      <protection hidden="1"/>
    </xf>
    <xf numFmtId="164" fontId="0" fillId="0" borderId="4" xfId="0" applyNumberFormat="1" applyFill="1" applyBorder="1" applyAlignment="1" applyProtection="1">
      <alignment horizontal="center" vertical="center"/>
      <protection hidden="1"/>
    </xf>
    <xf numFmtId="164" fontId="0" fillId="0" borderId="0" xfId="0" applyNumberFormat="1" applyFill="1" applyBorder="1" applyAlignment="1" applyProtection="1">
      <alignment horizontal="center" vertical="center"/>
      <protection hidden="1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65" fontId="0" fillId="0" borderId="4" xfId="0" applyNumberFormat="1" applyFill="1" applyBorder="1" applyAlignment="1" applyProtection="1">
      <alignment horizontal="center" vertical="center"/>
      <protection hidden="1"/>
    </xf>
    <xf numFmtId="165" fontId="0" fillId="0" borderId="0" xfId="0" applyNumberFormat="1" applyFill="1" applyBorder="1" applyAlignment="1" applyProtection="1">
      <alignment horizontal="center" vertical="center"/>
      <protection hidden="1"/>
    </xf>
    <xf numFmtId="165" fontId="0" fillId="0" borderId="1" xfId="0" applyNumberFormat="1" applyFill="1" applyBorder="1" applyAlignment="1" applyProtection="1">
      <alignment horizontal="center" vertical="center"/>
      <protection hidden="1"/>
    </xf>
    <xf numFmtId="164" fontId="0" fillId="0" borderId="0" xfId="0" applyNumberFormat="1"/>
    <xf numFmtId="165" fontId="0" fillId="2" borderId="33" xfId="0" applyNumberFormat="1" applyFill="1" applyBorder="1" applyAlignment="1">
      <alignment horizontal="center"/>
    </xf>
    <xf numFmtId="165" fontId="0" fillId="2" borderId="36" xfId="0" applyNumberFormat="1" applyFill="1" applyBorder="1" applyAlignment="1">
      <alignment horizontal="center"/>
    </xf>
    <xf numFmtId="0" fontId="6" fillId="0" borderId="40" xfId="0" applyFont="1" applyBorder="1" applyAlignment="1">
      <alignment horizontal="left"/>
    </xf>
    <xf numFmtId="167" fontId="0" fillId="0" borderId="56" xfId="0" applyNumberFormat="1" applyBorder="1"/>
    <xf numFmtId="0" fontId="27" fillId="25" borderId="0" xfId="0" applyFont="1" applyFill="1"/>
    <xf numFmtId="0" fontId="4" fillId="0" borderId="0" xfId="1" applyFont="1" applyBorder="1" applyAlignment="1">
      <alignment horizontal="center"/>
    </xf>
    <xf numFmtId="0" fontId="4" fillId="0" borderId="0" xfId="1" applyFont="1" applyBorder="1"/>
    <xf numFmtId="0" fontId="4" fillId="0" borderId="0" xfId="1" applyFont="1" applyBorder="1" applyAlignment="1">
      <alignment horizontal="center" vertical="center"/>
    </xf>
    <xf numFmtId="166" fontId="4" fillId="0" borderId="0" xfId="1" applyNumberFormat="1" applyFont="1" applyFill="1" applyBorder="1" applyAlignment="1">
      <alignment horizontal="center" vertical="center"/>
    </xf>
    <xf numFmtId="0" fontId="19" fillId="13" borderId="0" xfId="2" applyFont="1" applyFill="1" applyProtection="1"/>
    <xf numFmtId="165" fontId="17" fillId="5" borderId="47" xfId="2" applyNumberFormat="1" applyFont="1" applyFill="1" applyBorder="1" applyProtection="1">
      <protection hidden="1"/>
    </xf>
    <xf numFmtId="165" fontId="16" fillId="24" borderId="56" xfId="2" applyNumberFormat="1" applyFont="1" applyFill="1" applyBorder="1" applyProtection="1">
      <protection hidden="1"/>
    </xf>
    <xf numFmtId="165" fontId="16" fillId="24" borderId="18" xfId="2" applyNumberFormat="1" applyFont="1" applyFill="1" applyBorder="1" applyProtection="1">
      <protection hidden="1"/>
    </xf>
    <xf numFmtId="165" fontId="16" fillId="24" borderId="49" xfId="2" applyNumberFormat="1" applyFont="1" applyFill="1" applyBorder="1" applyProtection="1">
      <protection hidden="1"/>
    </xf>
    <xf numFmtId="165" fontId="16" fillId="0" borderId="56" xfId="2" applyNumberFormat="1" applyFont="1" applyBorder="1" applyProtection="1">
      <protection hidden="1"/>
    </xf>
    <xf numFmtId="165" fontId="16" fillId="0" borderId="18" xfId="2" applyNumberFormat="1" applyFont="1" applyBorder="1" applyProtection="1">
      <protection hidden="1"/>
    </xf>
    <xf numFmtId="165" fontId="16" fillId="0" borderId="49" xfId="2" applyNumberFormat="1" applyFont="1" applyBorder="1" applyProtection="1">
      <protection hidden="1"/>
    </xf>
    <xf numFmtId="165" fontId="13" fillId="0" borderId="56" xfId="2" applyNumberFormat="1" applyFont="1" applyBorder="1" applyProtection="1">
      <protection hidden="1"/>
    </xf>
    <xf numFmtId="165" fontId="13" fillId="0" borderId="18" xfId="2" applyNumberFormat="1" applyFont="1" applyBorder="1" applyProtection="1">
      <protection hidden="1"/>
    </xf>
    <xf numFmtId="165" fontId="13" fillId="0" borderId="49" xfId="2" applyNumberFormat="1" applyFont="1" applyBorder="1" applyProtection="1">
      <protection hidden="1"/>
    </xf>
    <xf numFmtId="165" fontId="13" fillId="0" borderId="0" xfId="2" applyNumberFormat="1" applyBorder="1" applyProtection="1">
      <protection hidden="1"/>
    </xf>
    <xf numFmtId="169" fontId="0" fillId="8" borderId="0" xfId="0" applyNumberFormat="1" applyFill="1" applyAlignment="1" applyProtection="1">
      <alignment horizontal="centerContinuous"/>
      <protection hidden="1"/>
    </xf>
    <xf numFmtId="165" fontId="0" fillId="8" borderId="0" xfId="0" applyNumberFormat="1" applyFill="1" applyAlignment="1" applyProtection="1">
      <alignment horizontal="centerContinuous"/>
      <protection hidden="1"/>
    </xf>
    <xf numFmtId="167" fontId="0" fillId="0" borderId="5" xfId="0" applyNumberFormat="1" applyBorder="1"/>
    <xf numFmtId="0" fontId="9" fillId="4" borderId="62" xfId="0" applyFont="1" applyFill="1" applyBorder="1" applyAlignment="1">
      <alignment horizontal="left"/>
    </xf>
    <xf numFmtId="0" fontId="12" fillId="26" borderId="59" xfId="0" applyFont="1" applyFill="1" applyBorder="1" applyAlignment="1">
      <alignment horizontal="center"/>
    </xf>
    <xf numFmtId="0" fontId="28" fillId="0" borderId="56" xfId="0" applyFont="1" applyBorder="1"/>
    <xf numFmtId="0" fontId="28" fillId="0" borderId="18" xfId="0" applyFont="1" applyBorder="1"/>
    <xf numFmtId="0" fontId="28" fillId="0" borderId="49" xfId="0" applyFont="1" applyBorder="1"/>
    <xf numFmtId="164" fontId="29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Alignment="1">
      <alignment vertical="center"/>
    </xf>
  </cellXfs>
  <cellStyles count="3">
    <cellStyle name="Normal" xfId="0" builtinId="0"/>
    <cellStyle name="Normal 2" xfId="1"/>
    <cellStyle name="Normal 3" xfId="2"/>
  </cellStyles>
  <dxfs count="5">
    <dxf>
      <font>
        <color auto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39994506668294322"/>
        </patternFill>
      </fill>
    </dxf>
    <dxf>
      <font>
        <color rgb="FFFF0000"/>
      </font>
    </dxf>
    <dxf>
      <fill>
        <patternFill>
          <bgColor theme="4" tint="0.39994506668294322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1916206</xdr:colOff>
      <xdr:row>0</xdr:row>
      <xdr:rowOff>281359</xdr:rowOff>
    </xdr:to>
    <xdr:sp macro="[0]!enablefunctionality" textlink="">
      <xdr:nvSpPr>
        <xdr:cNvPr id="2" name="Rectangle 1"/>
        <xdr:cNvSpPr>
          <a:spLocks noChangeAspect="1"/>
        </xdr:cNvSpPr>
      </xdr:nvSpPr>
      <xdr:spPr>
        <a:xfrm>
          <a:off x="0" y="0"/>
          <a:ext cx="1916206" cy="281359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900">
              <a:solidFill>
                <a:schemeClr val="bg1"/>
              </a:solidFill>
            </a:rPr>
            <a:t>Enable </a:t>
          </a:r>
          <a:r>
            <a:rPr lang="it-IT" sz="900" baseline="0">
              <a:solidFill>
                <a:schemeClr val="bg1"/>
              </a:solidFill>
            </a:rPr>
            <a:t> Trigger Events  / Calc to Auto</a:t>
          </a:r>
          <a:endParaRPr lang="it-IT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38100</xdr:colOff>
      <xdr:row>29</xdr:row>
      <xdr:rowOff>38099</xdr:rowOff>
    </xdr:from>
    <xdr:to>
      <xdr:col>9</xdr:col>
      <xdr:colOff>1123950</xdr:colOff>
      <xdr:row>31</xdr:row>
      <xdr:rowOff>38100</xdr:rowOff>
    </xdr:to>
    <xdr:sp macro="[0]!Sheet2.FixedPosPlace" textlink="">
      <xdr:nvSpPr>
        <xdr:cNvPr id="3" name="Rectangle 2"/>
        <xdr:cNvSpPr>
          <a:spLocks noChangeAspect="1"/>
        </xdr:cNvSpPr>
      </xdr:nvSpPr>
      <xdr:spPr>
        <a:xfrm>
          <a:off x="11563350" y="5705474"/>
          <a:ext cx="1085850" cy="381001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</a:rPr>
            <a:t>Fixed Pos to Template</a:t>
          </a:r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28575</xdr:colOff>
      <xdr:row>31</xdr:row>
      <xdr:rowOff>1</xdr:rowOff>
    </xdr:to>
    <xdr:sp macro="[0]!Sheet2.TotalPosPlace" textlink="">
      <xdr:nvSpPr>
        <xdr:cNvPr id="4" name="Rectangle 3"/>
        <xdr:cNvSpPr>
          <a:spLocks noChangeAspect="1"/>
        </xdr:cNvSpPr>
      </xdr:nvSpPr>
      <xdr:spPr>
        <a:xfrm>
          <a:off x="15849600" y="5667375"/>
          <a:ext cx="1085850" cy="3810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900"/>
            <a:t>Total Pos to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18</xdr:col>
      <xdr:colOff>1</xdr:colOff>
      <xdr:row>0</xdr:row>
      <xdr:rowOff>476250</xdr:rowOff>
    </xdr:to>
    <xdr:sp macro="[0]!enablefunctionality" textlink="">
      <xdr:nvSpPr>
        <xdr:cNvPr id="2" name="Rectangle 1"/>
        <xdr:cNvSpPr>
          <a:spLocks noChangeAspect="1"/>
        </xdr:cNvSpPr>
      </xdr:nvSpPr>
      <xdr:spPr>
        <a:xfrm>
          <a:off x="9058275" y="0"/>
          <a:ext cx="1457326" cy="47625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900">
              <a:solidFill>
                <a:schemeClr val="bg1"/>
              </a:solidFill>
            </a:rPr>
            <a:t>Enable </a:t>
          </a:r>
          <a:r>
            <a:rPr lang="it-IT" sz="900" baseline="0">
              <a:solidFill>
                <a:schemeClr val="bg1"/>
              </a:solidFill>
            </a:rPr>
            <a:t> Trigger Events  / Calc to Auto</a:t>
          </a:r>
          <a:endParaRPr lang="it-IT" sz="9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571500</xdr:colOff>
      <xdr:row>31</xdr:row>
      <xdr:rowOff>171451</xdr:rowOff>
    </xdr:to>
    <xdr:sp macro="[0]!Sheet3.BlockBidsCopy" textlink="">
      <xdr:nvSpPr>
        <xdr:cNvPr id="3" name="Rectangle 2"/>
        <xdr:cNvSpPr>
          <a:spLocks noChangeAspect="1"/>
        </xdr:cNvSpPr>
      </xdr:nvSpPr>
      <xdr:spPr>
        <a:xfrm>
          <a:off x="7543800" y="6200775"/>
          <a:ext cx="5219700" cy="171451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it-IT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15</xdr:col>
      <xdr:colOff>543485</xdr:colOff>
      <xdr:row>5</xdr:row>
      <xdr:rowOff>128308</xdr:rowOff>
    </xdr:to>
    <xdr:sp macro="[0]!MyDAMResultFile" textlink="">
      <xdr:nvSpPr>
        <xdr:cNvPr id="2" name="Rectangle 1"/>
        <xdr:cNvSpPr/>
      </xdr:nvSpPr>
      <xdr:spPr>
        <a:xfrm>
          <a:off x="9858375" y="647700"/>
          <a:ext cx="1762685" cy="290233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/>
            <a:t>Get DAM File</a:t>
          </a: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15</xdr:col>
      <xdr:colOff>543485</xdr:colOff>
      <xdr:row>10</xdr:row>
      <xdr:rowOff>128308</xdr:rowOff>
    </xdr:to>
    <xdr:sp macro="[0]!MyResultsCalc" textlink="">
      <xdr:nvSpPr>
        <xdr:cNvPr id="3" name="Rectangle 2"/>
        <xdr:cNvSpPr/>
      </xdr:nvSpPr>
      <xdr:spPr>
        <a:xfrm>
          <a:off x="9858375" y="1457325"/>
          <a:ext cx="1762685" cy="290233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>
              <a:solidFill>
                <a:schemeClr val="bg1"/>
              </a:solidFill>
            </a:rPr>
            <a:t>Trigger</a:t>
          </a:r>
          <a:r>
            <a:rPr lang="it-IT" sz="1100" baseline="0">
              <a:solidFill>
                <a:schemeClr val="bg1"/>
              </a:solidFill>
            </a:rPr>
            <a:t> Results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25</xdr:row>
      <xdr:rowOff>0</xdr:rowOff>
    </xdr:from>
    <xdr:to>
      <xdr:col>15</xdr:col>
      <xdr:colOff>543485</xdr:colOff>
      <xdr:row>26</xdr:row>
      <xdr:rowOff>128307</xdr:rowOff>
    </xdr:to>
    <xdr:sp macro="[0]!FinalBookResults_Mail" textlink="">
      <xdr:nvSpPr>
        <xdr:cNvPr id="4" name="Rectangle 3"/>
        <xdr:cNvSpPr/>
      </xdr:nvSpPr>
      <xdr:spPr>
        <a:xfrm>
          <a:off x="9858375" y="4048125"/>
          <a:ext cx="1762685" cy="290232"/>
        </a:xfrm>
        <a:prstGeom prst="rect">
          <a:avLst/>
        </a:prstGeom>
        <a:solidFill>
          <a:schemeClr val="bg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>
              <a:solidFill>
                <a:srgbClr val="FF0000"/>
              </a:solidFill>
            </a:rPr>
            <a:t>Send  Final Books Email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"/>
  <sheetViews>
    <sheetView workbookViewId="0">
      <selection activeCell="J17" sqref="J17"/>
    </sheetView>
  </sheetViews>
  <sheetFormatPr defaultRowHeight="15" x14ac:dyDescent="0.25"/>
  <cols>
    <col min="1" max="2" width="11.42578125" bestFit="1" customWidth="1"/>
    <col min="3" max="3" width="11.7109375" bestFit="1" customWidth="1"/>
    <col min="4" max="5" width="14.140625" bestFit="1" customWidth="1"/>
    <col min="8" max="8" width="11.42578125" bestFit="1" customWidth="1"/>
    <col min="9" max="9" width="19.1406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157</v>
      </c>
      <c r="E1" t="s">
        <v>158</v>
      </c>
      <c r="F1" t="s">
        <v>156</v>
      </c>
      <c r="I1" t="s">
        <v>161</v>
      </c>
    </row>
    <row r="2" spans="1:12" x14ac:dyDescent="0.25">
      <c r="A2" t="s">
        <v>24</v>
      </c>
      <c r="B2" t="s">
        <v>169</v>
      </c>
      <c r="C2" s="14">
        <f ca="1">TODAY()+1</f>
        <v>43311</v>
      </c>
      <c r="D2" s="230">
        <v>-500</v>
      </c>
      <c r="E2" s="230">
        <v>3000</v>
      </c>
      <c r="F2">
        <v>0.1</v>
      </c>
      <c r="I2" s="235" t="s">
        <v>182</v>
      </c>
      <c r="J2" s="235"/>
      <c r="K2" s="235"/>
      <c r="L2" s="235"/>
    </row>
    <row r="3" spans="1:12" x14ac:dyDescent="0.25">
      <c r="A3" t="s">
        <v>44</v>
      </c>
      <c r="B3" t="s">
        <v>45</v>
      </c>
      <c r="C3" s="129"/>
    </row>
    <row r="4" spans="1:12" x14ac:dyDescent="0.25">
      <c r="B4" t="s">
        <v>46</v>
      </c>
      <c r="C4" s="129"/>
    </row>
    <row r="5" spans="1:12" x14ac:dyDescent="0.25">
      <c r="B5" s="248" t="s">
        <v>3</v>
      </c>
      <c r="C5" s="129"/>
    </row>
  </sheetData>
  <conditionalFormatting sqref="C2">
    <cfRule type="expression" dxfId="4" priority="1" stopIfTrue="1">
      <formula>AND(OR($K$37&lt;&gt;"",$K$41&lt;&gt;"",$K$43&lt;&gt;""),$B$3=TODAY()+1)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37"/>
  <sheetViews>
    <sheetView workbookViewId="0">
      <selection activeCell="B1" sqref="B1"/>
    </sheetView>
  </sheetViews>
  <sheetFormatPr defaultRowHeight="15" x14ac:dyDescent="0.25"/>
  <cols>
    <col min="1" max="1" width="28.85546875" style="168" bestFit="1" customWidth="1"/>
    <col min="2" max="2" width="15" style="169" bestFit="1" customWidth="1"/>
    <col min="3" max="3" width="22.7109375" style="169" bestFit="1" customWidth="1"/>
    <col min="4" max="4" width="22.85546875" style="169" bestFit="1" customWidth="1"/>
    <col min="5" max="5" width="12" style="169" bestFit="1" customWidth="1"/>
    <col min="6" max="6" width="20.7109375" style="169" customWidth="1"/>
    <col min="7" max="7" width="9.140625" style="169"/>
    <col min="8" max="8" width="20.85546875" style="169" customWidth="1"/>
    <col min="9" max="9" width="9.140625" style="169"/>
    <col min="10" max="10" width="17" style="169" customWidth="1"/>
    <col min="11" max="11" width="17" style="169" bestFit="1" customWidth="1"/>
    <col min="12" max="12" width="15.85546875" style="169" bestFit="1" customWidth="1"/>
    <col min="13" max="13" width="15" style="169" bestFit="1" customWidth="1"/>
    <col min="14" max="14" width="15.85546875" style="169" bestFit="1" customWidth="1"/>
    <col min="15" max="15" width="9.140625" style="169" customWidth="1"/>
    <col min="16" max="16" width="4.28515625" style="169" customWidth="1"/>
    <col min="17" max="19" width="9" style="169" hidden="1" customWidth="1"/>
    <col min="20" max="20" width="10.85546875" style="169" hidden="1" customWidth="1"/>
    <col min="21" max="22" width="9.140625" style="169" hidden="1" customWidth="1"/>
    <col min="23" max="23" width="5.42578125" style="169" customWidth="1"/>
    <col min="24" max="16384" width="9.140625" style="169"/>
  </cols>
  <sheetData>
    <row r="1" spans="1:23" ht="22.5" customHeight="1" x14ac:dyDescent="0.25">
      <c r="B1" s="203" t="s">
        <v>129</v>
      </c>
      <c r="H1" s="170">
        <f ca="1">DDay</f>
        <v>43311</v>
      </c>
      <c r="I1" s="171"/>
      <c r="J1" s="203" t="s">
        <v>159</v>
      </c>
      <c r="K1" s="171"/>
      <c r="L1" s="171"/>
      <c r="M1" s="171"/>
      <c r="P1" s="172"/>
      <c r="Q1" s="172"/>
      <c r="R1" s="172"/>
      <c r="S1" s="172">
        <f>ABS(K28)+ABS(L28)+ABS(M28)</f>
        <v>0</v>
      </c>
      <c r="T1" s="172"/>
      <c r="U1" s="172"/>
      <c r="V1" s="172"/>
      <c r="W1" s="172"/>
    </row>
    <row r="2" spans="1:23" x14ac:dyDescent="0.25">
      <c r="H2" s="173"/>
      <c r="I2" s="171"/>
      <c r="J2" s="171"/>
      <c r="K2" s="171"/>
      <c r="L2" s="174" t="s">
        <v>111</v>
      </c>
      <c r="M2" s="174"/>
      <c r="P2" s="172"/>
      <c r="Q2" s="172"/>
      <c r="R2" s="172"/>
      <c r="S2" s="172"/>
      <c r="T2" s="175"/>
      <c r="U2" s="172"/>
      <c r="V2" s="172"/>
      <c r="W2" s="172"/>
    </row>
    <row r="3" spans="1:23" ht="20.25" customHeight="1" x14ac:dyDescent="0.25">
      <c r="A3" s="176" t="s">
        <v>112</v>
      </c>
      <c r="B3" s="177" t="s">
        <v>113</v>
      </c>
      <c r="C3" s="177" t="s">
        <v>114</v>
      </c>
      <c r="D3" s="177" t="s">
        <v>115</v>
      </c>
      <c r="E3" s="178"/>
      <c r="F3" s="178"/>
      <c r="H3" s="179" t="s">
        <v>116</v>
      </c>
      <c r="I3" s="179" t="s">
        <v>117</v>
      </c>
      <c r="J3" s="179" t="s">
        <v>130</v>
      </c>
      <c r="K3" s="179" t="s">
        <v>118</v>
      </c>
      <c r="L3" s="180" t="s">
        <v>180</v>
      </c>
      <c r="M3" s="180" t="s">
        <v>181</v>
      </c>
      <c r="N3" s="179" t="s">
        <v>119</v>
      </c>
      <c r="P3" s="172"/>
      <c r="Q3" s="253" t="s">
        <v>113</v>
      </c>
      <c r="R3" s="253" t="s">
        <v>114</v>
      </c>
      <c r="S3" s="253" t="s">
        <v>115</v>
      </c>
      <c r="T3" s="172"/>
      <c r="U3" s="172">
        <f>SUMPRODUCT($K$4:$K$27,$Q$4:$Q$27)</f>
        <v>0</v>
      </c>
      <c r="V3" s="181" t="s">
        <v>120</v>
      </c>
      <c r="W3" s="172"/>
    </row>
    <row r="4" spans="1:23" x14ac:dyDescent="0.25">
      <c r="A4" s="182"/>
      <c r="B4" s="178"/>
      <c r="C4" s="178"/>
      <c r="D4" s="178"/>
      <c r="E4" s="178"/>
      <c r="F4" s="178"/>
      <c r="H4" s="183">
        <f t="array" aca="1" ref="H4:H27" ca="1">H1</f>
        <v>43311</v>
      </c>
      <c r="I4" s="184">
        <v>1</v>
      </c>
      <c r="J4" s="255">
        <v>20</v>
      </c>
      <c r="K4" s="261">
        <f t="array" ref="K4:K27">SUMIF($B:$B,$Q$3,$F:$F)*$Q4:$Q27+SUMIF($B:$B,$R$3,$F:$F)*$R4:$R27+SUMIF($B:$B,$S$3,$F:$F)*$S4:$S27</f>
        <v>0</v>
      </c>
      <c r="L4" s="185"/>
      <c r="M4" s="185"/>
      <c r="N4" s="258">
        <f t="array" ref="N4:N27">ROUND(ROUND(K4:K27,1)+ROUND(J4:J27,1)+ROUND(L4:L27,1)-ROUND(M4:M27,1),1)</f>
        <v>20</v>
      </c>
      <c r="P4" s="172"/>
      <c r="Q4" s="172">
        <v>1</v>
      </c>
      <c r="R4" s="172">
        <v>0</v>
      </c>
      <c r="S4" s="172">
        <v>1</v>
      </c>
      <c r="T4" s="172">
        <v>1</v>
      </c>
      <c r="U4" s="186">
        <f>SUMPRODUCT($K$12:$K$23,$R$12:$R$23)</f>
        <v>0</v>
      </c>
      <c r="V4" s="186" t="s">
        <v>121</v>
      </c>
      <c r="W4" s="172"/>
    </row>
    <row r="5" spans="1:23" x14ac:dyDescent="0.25">
      <c r="A5" s="187" t="s">
        <v>111</v>
      </c>
      <c r="B5" s="178"/>
      <c r="C5" s="178"/>
      <c r="D5" s="178"/>
      <c r="E5" s="178"/>
      <c r="F5" s="178"/>
      <c r="H5" s="188">
        <f ca="1"/>
        <v>43311</v>
      </c>
      <c r="I5" s="189">
        <v>2</v>
      </c>
      <c r="J5" s="256">
        <v>20</v>
      </c>
      <c r="K5" s="262">
        <v>0</v>
      </c>
      <c r="L5" s="190"/>
      <c r="M5" s="190"/>
      <c r="N5" s="259">
        <v>20</v>
      </c>
      <c r="P5" s="172"/>
      <c r="Q5" s="172">
        <v>1</v>
      </c>
      <c r="R5" s="172">
        <v>0</v>
      </c>
      <c r="S5" s="172">
        <v>1</v>
      </c>
      <c r="T5" s="172">
        <v>2</v>
      </c>
      <c r="U5" s="186">
        <f>SUMPRODUCT($K$4:$K$27,$S$4:$S$27)</f>
        <v>0</v>
      </c>
      <c r="V5" s="186" t="s">
        <v>122</v>
      </c>
      <c r="W5" s="172"/>
    </row>
    <row r="6" spans="1:23" x14ac:dyDescent="0.25">
      <c r="A6" s="191" t="s">
        <v>123</v>
      </c>
      <c r="B6" s="191" t="s">
        <v>112</v>
      </c>
      <c r="C6" s="191" t="s">
        <v>124</v>
      </c>
      <c r="D6" s="191" t="s">
        <v>125</v>
      </c>
      <c r="E6" s="192" t="s">
        <v>126</v>
      </c>
      <c r="F6" s="192" t="s">
        <v>127</v>
      </c>
      <c r="H6" s="188">
        <f ca="1"/>
        <v>43311</v>
      </c>
      <c r="I6" s="189">
        <v>3</v>
      </c>
      <c r="J6" s="256">
        <v>20</v>
      </c>
      <c r="K6" s="262">
        <v>0</v>
      </c>
      <c r="L6" s="190"/>
      <c r="M6" s="190"/>
      <c r="N6" s="259">
        <v>20</v>
      </c>
      <c r="P6" s="172"/>
      <c r="Q6" s="172">
        <v>1</v>
      </c>
      <c r="R6" s="172">
        <v>0</v>
      </c>
      <c r="S6" s="172">
        <v>1</v>
      </c>
      <c r="T6" s="172">
        <v>3</v>
      </c>
      <c r="U6" s="172"/>
      <c r="V6" s="172"/>
      <c r="W6" s="172"/>
    </row>
    <row r="7" spans="1:23" x14ac:dyDescent="0.25">
      <c r="A7" s="193"/>
      <c r="B7" s="194"/>
      <c r="C7" s="195"/>
      <c r="D7" s="195"/>
      <c r="E7" s="196">
        <f ca="1">IF($H$1=TODAY()+1,TODAY()+1,"")</f>
        <v>43311</v>
      </c>
      <c r="F7" s="264" t="str">
        <f>IF(B7="","",IF($H$1=E7,C7-D7,0))</f>
        <v/>
      </c>
      <c r="H7" s="197">
        <f ca="1"/>
        <v>43311</v>
      </c>
      <c r="I7" s="198">
        <v>4</v>
      </c>
      <c r="J7" s="257">
        <v>20</v>
      </c>
      <c r="K7" s="263">
        <v>0</v>
      </c>
      <c r="L7" s="199"/>
      <c r="M7" s="199"/>
      <c r="N7" s="260">
        <v>20</v>
      </c>
      <c r="P7" s="172"/>
      <c r="Q7" s="172">
        <v>1</v>
      </c>
      <c r="R7" s="172">
        <v>0</v>
      </c>
      <c r="S7" s="172">
        <v>1</v>
      </c>
      <c r="T7" s="172">
        <v>4</v>
      </c>
      <c r="U7" s="172"/>
      <c r="V7" s="172"/>
      <c r="W7" s="172"/>
    </row>
    <row r="8" spans="1:23" x14ac:dyDescent="0.25">
      <c r="A8" s="193"/>
      <c r="B8" s="194"/>
      <c r="C8" s="195"/>
      <c r="D8" s="195"/>
      <c r="E8" s="196">
        <f t="shared" ref="E8:E27" ca="1" si="0">IF($H$1=TODAY()+1,TODAY()+1,"")</f>
        <v>43311</v>
      </c>
      <c r="F8" s="264" t="str">
        <f t="shared" ref="F8:F27" si="1">IF(B8="","",IF($H$1=E8,C8-D8,0))</f>
        <v/>
      </c>
      <c r="H8" s="183">
        <f ca="1"/>
        <v>43311</v>
      </c>
      <c r="I8" s="184">
        <v>5</v>
      </c>
      <c r="J8" s="255">
        <v>20</v>
      </c>
      <c r="K8" s="261">
        <v>0</v>
      </c>
      <c r="L8" s="185"/>
      <c r="M8" s="185"/>
      <c r="N8" s="258">
        <v>20</v>
      </c>
      <c r="P8" s="172"/>
      <c r="Q8" s="172">
        <v>1</v>
      </c>
      <c r="R8" s="172">
        <v>0</v>
      </c>
      <c r="S8" s="172">
        <v>1</v>
      </c>
      <c r="T8" s="172">
        <v>5</v>
      </c>
      <c r="U8" s="172"/>
      <c r="V8" s="172"/>
      <c r="W8" s="172"/>
    </row>
    <row r="9" spans="1:23" x14ac:dyDescent="0.25">
      <c r="A9" s="193"/>
      <c r="B9" s="194"/>
      <c r="C9" s="195"/>
      <c r="D9" s="195"/>
      <c r="E9" s="196">
        <f t="shared" ca="1" si="0"/>
        <v>43311</v>
      </c>
      <c r="F9" s="264" t="str">
        <f t="shared" si="1"/>
        <v/>
      </c>
      <c r="H9" s="188">
        <f ca="1"/>
        <v>43311</v>
      </c>
      <c r="I9" s="189">
        <v>6</v>
      </c>
      <c r="J9" s="256">
        <v>20</v>
      </c>
      <c r="K9" s="262">
        <v>0</v>
      </c>
      <c r="L9" s="190"/>
      <c r="M9" s="190"/>
      <c r="N9" s="259">
        <v>20</v>
      </c>
      <c r="P9" s="172"/>
      <c r="Q9" s="172">
        <v>1</v>
      </c>
      <c r="R9" s="172">
        <v>0</v>
      </c>
      <c r="S9" s="172">
        <v>1</v>
      </c>
      <c r="T9" s="172">
        <v>6</v>
      </c>
      <c r="U9" s="172"/>
      <c r="V9" s="172"/>
      <c r="W9" s="172"/>
    </row>
    <row r="10" spans="1:23" x14ac:dyDescent="0.25">
      <c r="A10" s="193"/>
      <c r="B10" s="194"/>
      <c r="C10" s="195"/>
      <c r="D10" s="195"/>
      <c r="E10" s="196">
        <f t="shared" ca="1" si="0"/>
        <v>43311</v>
      </c>
      <c r="F10" s="264" t="str">
        <f t="shared" si="1"/>
        <v/>
      </c>
      <c r="H10" s="188">
        <f ca="1"/>
        <v>43311</v>
      </c>
      <c r="I10" s="189">
        <v>7</v>
      </c>
      <c r="J10" s="256">
        <v>20</v>
      </c>
      <c r="K10" s="262">
        <v>0</v>
      </c>
      <c r="L10" s="190"/>
      <c r="M10" s="190"/>
      <c r="N10" s="259">
        <v>20</v>
      </c>
      <c r="P10" s="172"/>
      <c r="Q10" s="172">
        <v>1</v>
      </c>
      <c r="R10" s="172">
        <v>0</v>
      </c>
      <c r="S10" s="172">
        <v>1</v>
      </c>
      <c r="T10" s="172">
        <v>7</v>
      </c>
      <c r="U10" s="172"/>
      <c r="V10" s="172"/>
      <c r="W10" s="172"/>
    </row>
    <row r="11" spans="1:23" x14ac:dyDescent="0.25">
      <c r="A11" s="193"/>
      <c r="B11" s="194"/>
      <c r="C11" s="195"/>
      <c r="D11" s="195"/>
      <c r="E11" s="196">
        <f t="shared" ca="1" si="0"/>
        <v>43311</v>
      </c>
      <c r="F11" s="264" t="str">
        <f t="shared" si="1"/>
        <v/>
      </c>
      <c r="H11" s="197">
        <f ca="1"/>
        <v>43311</v>
      </c>
      <c r="I11" s="198">
        <v>8</v>
      </c>
      <c r="J11" s="257">
        <v>20</v>
      </c>
      <c r="K11" s="263">
        <v>0</v>
      </c>
      <c r="L11" s="199"/>
      <c r="M11" s="199"/>
      <c r="N11" s="260">
        <v>20</v>
      </c>
      <c r="P11" s="172"/>
      <c r="Q11" s="172">
        <v>1</v>
      </c>
      <c r="R11" s="172">
        <v>0</v>
      </c>
      <c r="S11" s="172">
        <v>1</v>
      </c>
      <c r="T11" s="172">
        <v>8</v>
      </c>
      <c r="U11" s="172"/>
      <c r="V11" s="172"/>
      <c r="W11" s="172"/>
    </row>
    <row r="12" spans="1:23" x14ac:dyDescent="0.25">
      <c r="A12" s="193"/>
      <c r="B12" s="194"/>
      <c r="C12" s="195"/>
      <c r="D12" s="195"/>
      <c r="E12" s="196">
        <f t="shared" ca="1" si="0"/>
        <v>43311</v>
      </c>
      <c r="F12" s="264" t="str">
        <f t="shared" si="1"/>
        <v/>
      </c>
      <c r="H12" s="183">
        <f ca="1"/>
        <v>43311</v>
      </c>
      <c r="I12" s="184">
        <v>9</v>
      </c>
      <c r="J12" s="255">
        <v>20</v>
      </c>
      <c r="K12" s="261">
        <v>0</v>
      </c>
      <c r="L12" s="185"/>
      <c r="M12" s="185"/>
      <c r="N12" s="258">
        <v>20</v>
      </c>
      <c r="P12" s="172"/>
      <c r="Q12" s="172">
        <v>1</v>
      </c>
      <c r="R12" s="172">
        <v>1</v>
      </c>
      <c r="S12" s="172">
        <v>0</v>
      </c>
      <c r="T12" s="172">
        <v>9</v>
      </c>
      <c r="U12" s="172"/>
      <c r="V12" s="172"/>
      <c r="W12" s="172"/>
    </row>
    <row r="13" spans="1:23" x14ac:dyDescent="0.25">
      <c r="A13" s="200"/>
      <c r="B13" s="194"/>
      <c r="C13" s="195"/>
      <c r="D13" s="195"/>
      <c r="E13" s="196">
        <f t="shared" ca="1" si="0"/>
        <v>43311</v>
      </c>
      <c r="F13" s="264" t="str">
        <f t="shared" si="1"/>
        <v/>
      </c>
      <c r="H13" s="188">
        <f ca="1"/>
        <v>43311</v>
      </c>
      <c r="I13" s="189">
        <v>10</v>
      </c>
      <c r="J13" s="256">
        <v>20</v>
      </c>
      <c r="K13" s="262">
        <v>0</v>
      </c>
      <c r="L13" s="190"/>
      <c r="M13" s="190"/>
      <c r="N13" s="259">
        <v>20</v>
      </c>
      <c r="P13" s="172"/>
      <c r="Q13" s="172">
        <v>1</v>
      </c>
      <c r="R13" s="172">
        <v>1</v>
      </c>
      <c r="S13" s="172">
        <v>0</v>
      </c>
      <c r="T13" s="172">
        <v>10</v>
      </c>
      <c r="U13" s="172"/>
      <c r="V13" s="172"/>
      <c r="W13" s="172"/>
    </row>
    <row r="14" spans="1:23" x14ac:dyDescent="0.25">
      <c r="A14" s="200"/>
      <c r="B14" s="194"/>
      <c r="C14" s="195"/>
      <c r="D14" s="195"/>
      <c r="E14" s="196">
        <f t="shared" ca="1" si="0"/>
        <v>43311</v>
      </c>
      <c r="F14" s="264" t="str">
        <f t="shared" si="1"/>
        <v/>
      </c>
      <c r="H14" s="188">
        <f ca="1"/>
        <v>43311</v>
      </c>
      <c r="I14" s="189">
        <v>11</v>
      </c>
      <c r="J14" s="256">
        <v>20</v>
      </c>
      <c r="K14" s="262">
        <v>0</v>
      </c>
      <c r="L14" s="190"/>
      <c r="M14" s="190"/>
      <c r="N14" s="259">
        <v>20</v>
      </c>
      <c r="P14" s="172"/>
      <c r="Q14" s="172">
        <v>1</v>
      </c>
      <c r="R14" s="172">
        <v>1</v>
      </c>
      <c r="S14" s="172">
        <v>0</v>
      </c>
      <c r="T14" s="172">
        <v>11</v>
      </c>
      <c r="U14" s="172"/>
      <c r="V14" s="172"/>
      <c r="W14" s="172"/>
    </row>
    <row r="15" spans="1:23" x14ac:dyDescent="0.25">
      <c r="A15" s="200"/>
      <c r="B15" s="194"/>
      <c r="C15" s="195"/>
      <c r="D15" s="195"/>
      <c r="E15" s="196">
        <f t="shared" ca="1" si="0"/>
        <v>43311</v>
      </c>
      <c r="F15" s="264" t="str">
        <f t="shared" si="1"/>
        <v/>
      </c>
      <c r="H15" s="197">
        <f ca="1"/>
        <v>43311</v>
      </c>
      <c r="I15" s="198">
        <v>12</v>
      </c>
      <c r="J15" s="257">
        <v>20</v>
      </c>
      <c r="K15" s="263">
        <v>0</v>
      </c>
      <c r="L15" s="199"/>
      <c r="M15" s="199"/>
      <c r="N15" s="260">
        <v>20</v>
      </c>
      <c r="P15" s="172"/>
      <c r="Q15" s="172">
        <v>1</v>
      </c>
      <c r="R15" s="172">
        <v>1</v>
      </c>
      <c r="S15" s="172">
        <v>0</v>
      </c>
      <c r="T15" s="172">
        <v>12</v>
      </c>
      <c r="U15" s="172"/>
      <c r="V15" s="172"/>
      <c r="W15" s="172"/>
    </row>
    <row r="16" spans="1:23" x14ac:dyDescent="0.25">
      <c r="A16" s="200"/>
      <c r="B16" s="194"/>
      <c r="C16" s="195"/>
      <c r="D16" s="195"/>
      <c r="E16" s="196">
        <f t="shared" ca="1" si="0"/>
        <v>43311</v>
      </c>
      <c r="F16" s="264" t="str">
        <f t="shared" si="1"/>
        <v/>
      </c>
      <c r="H16" s="183">
        <f ca="1"/>
        <v>43311</v>
      </c>
      <c r="I16" s="184">
        <v>13</v>
      </c>
      <c r="J16" s="255">
        <v>20</v>
      </c>
      <c r="K16" s="261">
        <v>0</v>
      </c>
      <c r="L16" s="185"/>
      <c r="M16" s="185"/>
      <c r="N16" s="258">
        <v>20</v>
      </c>
      <c r="P16" s="172"/>
      <c r="Q16" s="172">
        <v>1</v>
      </c>
      <c r="R16" s="172">
        <v>1</v>
      </c>
      <c r="S16" s="172">
        <v>0</v>
      </c>
      <c r="T16" s="172">
        <v>13</v>
      </c>
      <c r="U16" s="172"/>
      <c r="V16" s="172"/>
      <c r="W16" s="172"/>
    </row>
    <row r="17" spans="1:23" x14ac:dyDescent="0.25">
      <c r="A17" s="200"/>
      <c r="B17" s="194"/>
      <c r="C17" s="195"/>
      <c r="D17" s="195"/>
      <c r="E17" s="196">
        <f t="shared" ca="1" si="0"/>
        <v>43311</v>
      </c>
      <c r="F17" s="264" t="str">
        <f t="shared" si="1"/>
        <v/>
      </c>
      <c r="H17" s="188">
        <f ca="1"/>
        <v>43311</v>
      </c>
      <c r="I17" s="189">
        <v>14</v>
      </c>
      <c r="J17" s="256">
        <v>20</v>
      </c>
      <c r="K17" s="262">
        <v>0</v>
      </c>
      <c r="L17" s="190"/>
      <c r="M17" s="190"/>
      <c r="N17" s="259">
        <v>20</v>
      </c>
      <c r="P17" s="172"/>
      <c r="Q17" s="172">
        <v>1</v>
      </c>
      <c r="R17" s="172">
        <v>1</v>
      </c>
      <c r="S17" s="172">
        <v>0</v>
      </c>
      <c r="T17" s="172">
        <v>14</v>
      </c>
      <c r="U17" s="172"/>
      <c r="V17" s="172"/>
      <c r="W17" s="172"/>
    </row>
    <row r="18" spans="1:23" x14ac:dyDescent="0.25">
      <c r="A18" s="200"/>
      <c r="B18" s="194"/>
      <c r="C18" s="195"/>
      <c r="D18" s="195"/>
      <c r="E18" s="196">
        <f t="shared" ca="1" si="0"/>
        <v>43311</v>
      </c>
      <c r="F18" s="264" t="str">
        <f t="shared" si="1"/>
        <v/>
      </c>
      <c r="H18" s="188">
        <f ca="1"/>
        <v>43311</v>
      </c>
      <c r="I18" s="189">
        <v>15</v>
      </c>
      <c r="J18" s="256">
        <v>20</v>
      </c>
      <c r="K18" s="262">
        <v>0</v>
      </c>
      <c r="L18" s="190"/>
      <c r="M18" s="190"/>
      <c r="N18" s="259">
        <v>20</v>
      </c>
      <c r="P18" s="172"/>
      <c r="Q18" s="172">
        <v>1</v>
      </c>
      <c r="R18" s="172">
        <v>1</v>
      </c>
      <c r="S18" s="172">
        <v>0</v>
      </c>
      <c r="T18" s="172">
        <v>15</v>
      </c>
      <c r="U18" s="172"/>
      <c r="V18" s="172"/>
      <c r="W18" s="172"/>
    </row>
    <row r="19" spans="1:23" x14ac:dyDescent="0.25">
      <c r="A19" s="200"/>
      <c r="B19" s="194"/>
      <c r="C19" s="195"/>
      <c r="D19" s="195"/>
      <c r="E19" s="196">
        <f t="shared" ca="1" si="0"/>
        <v>43311</v>
      </c>
      <c r="F19" s="264" t="str">
        <f t="shared" si="1"/>
        <v/>
      </c>
      <c r="H19" s="197">
        <f ca="1"/>
        <v>43311</v>
      </c>
      <c r="I19" s="198">
        <v>16</v>
      </c>
      <c r="J19" s="257">
        <v>20</v>
      </c>
      <c r="K19" s="263">
        <v>0</v>
      </c>
      <c r="L19" s="199"/>
      <c r="M19" s="199"/>
      <c r="N19" s="260">
        <v>20</v>
      </c>
      <c r="P19" s="172"/>
      <c r="Q19" s="172">
        <v>1</v>
      </c>
      <c r="R19" s="172">
        <v>1</v>
      </c>
      <c r="S19" s="172">
        <v>0</v>
      </c>
      <c r="T19" s="172">
        <v>16</v>
      </c>
      <c r="U19" s="172"/>
      <c r="V19" s="172"/>
      <c r="W19" s="172"/>
    </row>
    <row r="20" spans="1:23" x14ac:dyDescent="0.25">
      <c r="A20" s="200"/>
      <c r="B20" s="194"/>
      <c r="C20" s="195"/>
      <c r="D20" s="195"/>
      <c r="E20" s="196">
        <f t="shared" ca="1" si="0"/>
        <v>43311</v>
      </c>
      <c r="F20" s="264" t="str">
        <f t="shared" si="1"/>
        <v/>
      </c>
      <c r="H20" s="183">
        <f ca="1"/>
        <v>43311</v>
      </c>
      <c r="I20" s="184">
        <v>17</v>
      </c>
      <c r="J20" s="255">
        <v>20</v>
      </c>
      <c r="K20" s="261">
        <v>0</v>
      </c>
      <c r="L20" s="185"/>
      <c r="M20" s="185"/>
      <c r="N20" s="258">
        <v>20</v>
      </c>
      <c r="P20" s="172"/>
      <c r="Q20" s="172">
        <v>1</v>
      </c>
      <c r="R20" s="172">
        <v>1</v>
      </c>
      <c r="S20" s="172">
        <v>0</v>
      </c>
      <c r="T20" s="172">
        <v>17</v>
      </c>
      <c r="U20" s="172"/>
      <c r="V20" s="172"/>
      <c r="W20" s="172"/>
    </row>
    <row r="21" spans="1:23" x14ac:dyDescent="0.25">
      <c r="A21" s="200"/>
      <c r="B21" s="194"/>
      <c r="C21" s="195"/>
      <c r="D21" s="195"/>
      <c r="E21" s="196">
        <f t="shared" ca="1" si="0"/>
        <v>43311</v>
      </c>
      <c r="F21" s="264" t="str">
        <f t="shared" si="1"/>
        <v/>
      </c>
      <c r="H21" s="188">
        <f ca="1"/>
        <v>43311</v>
      </c>
      <c r="I21" s="189">
        <v>18</v>
      </c>
      <c r="J21" s="256">
        <v>20</v>
      </c>
      <c r="K21" s="262">
        <v>0</v>
      </c>
      <c r="L21" s="190"/>
      <c r="M21" s="190"/>
      <c r="N21" s="259">
        <v>20</v>
      </c>
      <c r="P21" s="172"/>
      <c r="Q21" s="172">
        <v>1</v>
      </c>
      <c r="R21" s="172">
        <v>1</v>
      </c>
      <c r="S21" s="172">
        <v>0</v>
      </c>
      <c r="T21" s="172">
        <v>18</v>
      </c>
      <c r="U21" s="172"/>
      <c r="V21" s="172"/>
      <c r="W21" s="172"/>
    </row>
    <row r="22" spans="1:23" x14ac:dyDescent="0.25">
      <c r="A22" s="200"/>
      <c r="B22" s="194"/>
      <c r="C22" s="195"/>
      <c r="D22" s="195"/>
      <c r="E22" s="196">
        <f t="shared" ca="1" si="0"/>
        <v>43311</v>
      </c>
      <c r="F22" s="264" t="str">
        <f t="shared" si="1"/>
        <v/>
      </c>
      <c r="H22" s="188">
        <f ca="1"/>
        <v>43311</v>
      </c>
      <c r="I22" s="189">
        <v>19</v>
      </c>
      <c r="J22" s="256">
        <v>20</v>
      </c>
      <c r="K22" s="262">
        <v>0</v>
      </c>
      <c r="L22" s="190"/>
      <c r="M22" s="190"/>
      <c r="N22" s="259">
        <v>20</v>
      </c>
      <c r="P22" s="172"/>
      <c r="Q22" s="172">
        <v>1</v>
      </c>
      <c r="R22" s="172">
        <v>1</v>
      </c>
      <c r="S22" s="172">
        <v>0</v>
      </c>
      <c r="T22" s="172">
        <v>19</v>
      </c>
      <c r="U22" s="172"/>
      <c r="V22" s="172"/>
      <c r="W22" s="172"/>
    </row>
    <row r="23" spans="1:23" x14ac:dyDescent="0.25">
      <c r="A23" s="200"/>
      <c r="B23" s="194"/>
      <c r="C23" s="195"/>
      <c r="D23" s="195"/>
      <c r="E23" s="196">
        <f t="shared" ca="1" si="0"/>
        <v>43311</v>
      </c>
      <c r="F23" s="264" t="str">
        <f t="shared" si="1"/>
        <v/>
      </c>
      <c r="H23" s="197">
        <f ca="1"/>
        <v>43311</v>
      </c>
      <c r="I23" s="198">
        <v>20</v>
      </c>
      <c r="J23" s="257">
        <v>20</v>
      </c>
      <c r="K23" s="263">
        <v>0</v>
      </c>
      <c r="L23" s="199"/>
      <c r="M23" s="199"/>
      <c r="N23" s="260">
        <v>20</v>
      </c>
      <c r="P23" s="172"/>
      <c r="Q23" s="172">
        <v>1</v>
      </c>
      <c r="R23" s="172">
        <v>1</v>
      </c>
      <c r="S23" s="172">
        <v>0</v>
      </c>
      <c r="T23" s="172">
        <v>20</v>
      </c>
      <c r="U23" s="172"/>
      <c r="V23" s="172"/>
      <c r="W23" s="172"/>
    </row>
    <row r="24" spans="1:23" x14ac:dyDescent="0.25">
      <c r="A24" s="200"/>
      <c r="B24" s="194"/>
      <c r="C24" s="195"/>
      <c r="D24" s="195"/>
      <c r="E24" s="196">
        <f t="shared" ca="1" si="0"/>
        <v>43311</v>
      </c>
      <c r="F24" s="264" t="str">
        <f t="shared" si="1"/>
        <v/>
      </c>
      <c r="H24" s="183">
        <f ca="1"/>
        <v>43311</v>
      </c>
      <c r="I24" s="184">
        <v>21</v>
      </c>
      <c r="J24" s="255">
        <v>20</v>
      </c>
      <c r="K24" s="261">
        <v>0</v>
      </c>
      <c r="L24" s="185"/>
      <c r="M24" s="185"/>
      <c r="N24" s="258">
        <v>20</v>
      </c>
      <c r="P24" s="172"/>
      <c r="Q24" s="172">
        <v>1</v>
      </c>
      <c r="R24" s="172">
        <v>0</v>
      </c>
      <c r="S24" s="172">
        <v>1</v>
      </c>
      <c r="T24" s="172">
        <v>21</v>
      </c>
      <c r="U24" s="172"/>
      <c r="V24" s="172"/>
      <c r="W24" s="172"/>
    </row>
    <row r="25" spans="1:23" x14ac:dyDescent="0.25">
      <c r="A25" s="200"/>
      <c r="B25" s="194"/>
      <c r="C25" s="195"/>
      <c r="D25" s="195"/>
      <c r="E25" s="196">
        <f t="shared" ca="1" si="0"/>
        <v>43311</v>
      </c>
      <c r="F25" s="264" t="str">
        <f t="shared" si="1"/>
        <v/>
      </c>
      <c r="H25" s="188">
        <f ca="1"/>
        <v>43311</v>
      </c>
      <c r="I25" s="189">
        <v>22</v>
      </c>
      <c r="J25" s="256">
        <v>20</v>
      </c>
      <c r="K25" s="262">
        <v>0</v>
      </c>
      <c r="L25" s="190"/>
      <c r="M25" s="190"/>
      <c r="N25" s="259">
        <v>20</v>
      </c>
      <c r="P25" s="172"/>
      <c r="Q25" s="172">
        <v>1</v>
      </c>
      <c r="R25" s="172">
        <v>0</v>
      </c>
      <c r="S25" s="172">
        <v>1</v>
      </c>
      <c r="T25" s="172">
        <v>22</v>
      </c>
      <c r="U25" s="172"/>
      <c r="V25" s="172"/>
      <c r="W25" s="172"/>
    </row>
    <row r="26" spans="1:23" x14ac:dyDescent="0.25">
      <c r="A26" s="200"/>
      <c r="B26" s="194"/>
      <c r="C26" s="195"/>
      <c r="D26" s="195"/>
      <c r="E26" s="196">
        <f t="shared" ca="1" si="0"/>
        <v>43311</v>
      </c>
      <c r="F26" s="264" t="str">
        <f t="shared" si="1"/>
        <v/>
      </c>
      <c r="H26" s="188">
        <f ca="1"/>
        <v>43311</v>
      </c>
      <c r="I26" s="189">
        <v>23</v>
      </c>
      <c r="J26" s="256">
        <v>20</v>
      </c>
      <c r="K26" s="262">
        <v>0</v>
      </c>
      <c r="L26" s="190"/>
      <c r="M26" s="190"/>
      <c r="N26" s="259">
        <v>20</v>
      </c>
      <c r="P26" s="172"/>
      <c r="Q26" s="172">
        <v>1</v>
      </c>
      <c r="R26" s="172">
        <v>0</v>
      </c>
      <c r="S26" s="172">
        <v>1</v>
      </c>
      <c r="T26" s="172">
        <v>23</v>
      </c>
      <c r="U26" s="172"/>
      <c r="V26" s="172"/>
      <c r="W26" s="172"/>
    </row>
    <row r="27" spans="1:23" x14ac:dyDescent="0.25">
      <c r="A27" s="200"/>
      <c r="B27" s="194"/>
      <c r="C27" s="195"/>
      <c r="D27" s="195"/>
      <c r="E27" s="196">
        <f t="shared" ca="1" si="0"/>
        <v>43311</v>
      </c>
      <c r="F27" s="264" t="str">
        <f t="shared" si="1"/>
        <v/>
      </c>
      <c r="H27" s="197">
        <f ca="1"/>
        <v>43311</v>
      </c>
      <c r="I27" s="198">
        <v>24</v>
      </c>
      <c r="J27" s="257">
        <v>20</v>
      </c>
      <c r="K27" s="263">
        <v>0</v>
      </c>
      <c r="L27" s="199"/>
      <c r="M27" s="199"/>
      <c r="N27" s="260">
        <v>20</v>
      </c>
      <c r="P27" s="172"/>
      <c r="Q27" s="172">
        <v>1</v>
      </c>
      <c r="R27" s="172">
        <v>0</v>
      </c>
      <c r="S27" s="172">
        <v>1</v>
      </c>
      <c r="T27" s="172">
        <v>24</v>
      </c>
      <c r="U27" s="172"/>
      <c r="V27" s="172"/>
      <c r="W27" s="172"/>
    </row>
    <row r="28" spans="1:23" x14ac:dyDescent="0.25">
      <c r="E28" s="201"/>
      <c r="H28" s="171"/>
      <c r="I28" s="171"/>
      <c r="J28" s="254">
        <f>ROUND(SUM(J4:J27),1)</f>
        <v>480</v>
      </c>
      <c r="K28" s="254">
        <f t="shared" ref="K28:N28" si="2">ROUND(SUM(K4:K27),1)</f>
        <v>0</v>
      </c>
      <c r="L28" s="254">
        <f t="shared" si="2"/>
        <v>0</v>
      </c>
      <c r="M28" s="254">
        <f t="shared" si="2"/>
        <v>0</v>
      </c>
      <c r="N28" s="254">
        <f t="shared" si="2"/>
        <v>480</v>
      </c>
      <c r="P28" s="172"/>
      <c r="Q28" s="172"/>
      <c r="R28" s="172"/>
      <c r="S28" s="172"/>
      <c r="T28" s="172"/>
      <c r="U28" s="172"/>
      <c r="V28" s="172"/>
      <c r="W28" s="172"/>
    </row>
    <row r="29" spans="1:23" x14ac:dyDescent="0.25">
      <c r="E29" s="201"/>
      <c r="H29" s="171"/>
      <c r="I29" s="171"/>
      <c r="J29" s="171"/>
      <c r="K29" s="171"/>
      <c r="L29" s="171"/>
    </row>
    <row r="30" spans="1:23" x14ac:dyDescent="0.25">
      <c r="E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</row>
    <row r="31" spans="1:23" x14ac:dyDescent="0.25">
      <c r="E31" s="201"/>
      <c r="G31" s="201"/>
      <c r="H31" s="201"/>
      <c r="I31" s="201"/>
      <c r="J31" s="231"/>
      <c r="K31" s="201"/>
      <c r="L31" s="201"/>
      <c r="M31" s="201"/>
      <c r="N31" s="201"/>
      <c r="O31" s="201"/>
      <c r="P31" s="201"/>
    </row>
    <row r="32" spans="1:23" x14ac:dyDescent="0.25">
      <c r="E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</row>
    <row r="33" spans="5:16" x14ac:dyDescent="0.25">
      <c r="E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</row>
    <row r="34" spans="5:16" x14ac:dyDescent="0.25">
      <c r="E34" s="201"/>
    </row>
    <row r="35" spans="5:16" x14ac:dyDescent="0.25">
      <c r="E35" s="201"/>
    </row>
    <row r="36" spans="5:16" x14ac:dyDescent="0.25">
      <c r="E36" s="201"/>
    </row>
    <row r="37" spans="5:16" x14ac:dyDescent="0.25">
      <c r="E37" s="201"/>
    </row>
    <row r="38" spans="5:16" x14ac:dyDescent="0.25">
      <c r="E38" s="201"/>
    </row>
    <row r="39" spans="5:16" x14ac:dyDescent="0.25">
      <c r="E39" s="201"/>
    </row>
    <row r="40" spans="5:16" x14ac:dyDescent="0.25">
      <c r="E40" s="201"/>
    </row>
    <row r="41" spans="5:16" x14ac:dyDescent="0.25">
      <c r="E41" s="201"/>
    </row>
    <row r="42" spans="5:16" x14ac:dyDescent="0.25">
      <c r="E42" s="201"/>
    </row>
    <row r="43" spans="5:16" x14ac:dyDescent="0.25">
      <c r="E43" s="201"/>
    </row>
    <row r="44" spans="5:16" x14ac:dyDescent="0.25">
      <c r="E44" s="201"/>
    </row>
    <row r="45" spans="5:16" x14ac:dyDescent="0.25">
      <c r="E45" s="201"/>
    </row>
    <row r="46" spans="5:16" x14ac:dyDescent="0.25">
      <c r="E46" s="201"/>
    </row>
    <row r="47" spans="5:16" x14ac:dyDescent="0.25">
      <c r="E47" s="201"/>
    </row>
    <row r="48" spans="5:16" x14ac:dyDescent="0.25">
      <c r="E48" s="201"/>
    </row>
    <row r="49" spans="5:5" x14ac:dyDescent="0.25">
      <c r="E49" s="201"/>
    </row>
    <row r="50" spans="5:5" x14ac:dyDescent="0.25">
      <c r="E50" s="201"/>
    </row>
    <row r="51" spans="5:5" x14ac:dyDescent="0.25">
      <c r="E51" s="201"/>
    </row>
    <row r="52" spans="5:5" x14ac:dyDescent="0.25">
      <c r="E52" s="201"/>
    </row>
    <row r="53" spans="5:5" x14ac:dyDescent="0.25">
      <c r="E53" s="201"/>
    </row>
    <row r="54" spans="5:5" x14ac:dyDescent="0.25">
      <c r="E54" s="201"/>
    </row>
    <row r="55" spans="5:5" x14ac:dyDescent="0.25">
      <c r="E55" s="201"/>
    </row>
    <row r="56" spans="5:5" x14ac:dyDescent="0.25">
      <c r="E56" s="201"/>
    </row>
    <row r="57" spans="5:5" x14ac:dyDescent="0.25">
      <c r="E57" s="201"/>
    </row>
    <row r="58" spans="5:5" x14ac:dyDescent="0.25">
      <c r="E58" s="201"/>
    </row>
    <row r="59" spans="5:5" x14ac:dyDescent="0.25">
      <c r="E59" s="201"/>
    </row>
    <row r="60" spans="5:5" x14ac:dyDescent="0.25">
      <c r="E60" s="201"/>
    </row>
    <row r="61" spans="5:5" x14ac:dyDescent="0.25">
      <c r="E61" s="201"/>
    </row>
    <row r="62" spans="5:5" x14ac:dyDescent="0.25">
      <c r="E62" s="201"/>
    </row>
    <row r="63" spans="5:5" x14ac:dyDescent="0.25">
      <c r="E63" s="201"/>
    </row>
    <row r="64" spans="5:5" x14ac:dyDescent="0.25">
      <c r="E64" s="201"/>
    </row>
    <row r="65" spans="5:5" x14ac:dyDescent="0.25">
      <c r="E65" s="201"/>
    </row>
    <row r="66" spans="5:5" x14ac:dyDescent="0.25">
      <c r="E66" s="201"/>
    </row>
    <row r="67" spans="5:5" x14ac:dyDescent="0.25">
      <c r="E67" s="201"/>
    </row>
    <row r="68" spans="5:5" x14ac:dyDescent="0.25">
      <c r="E68" s="201"/>
    </row>
    <row r="69" spans="5:5" x14ac:dyDescent="0.25">
      <c r="E69" s="201"/>
    </row>
    <row r="70" spans="5:5" x14ac:dyDescent="0.25">
      <c r="E70" s="201"/>
    </row>
    <row r="71" spans="5:5" x14ac:dyDescent="0.25">
      <c r="E71" s="201"/>
    </row>
    <row r="72" spans="5:5" x14ac:dyDescent="0.25">
      <c r="E72" s="201"/>
    </row>
    <row r="73" spans="5:5" x14ac:dyDescent="0.25">
      <c r="E73" s="201"/>
    </row>
    <row r="74" spans="5:5" x14ac:dyDescent="0.25">
      <c r="E74" s="201"/>
    </row>
    <row r="75" spans="5:5" x14ac:dyDescent="0.25">
      <c r="E75" s="201"/>
    </row>
    <row r="76" spans="5:5" x14ac:dyDescent="0.25">
      <c r="E76" s="201"/>
    </row>
    <row r="77" spans="5:5" x14ac:dyDescent="0.25">
      <c r="E77" s="201"/>
    </row>
    <row r="78" spans="5:5" x14ac:dyDescent="0.25">
      <c r="E78" s="201"/>
    </row>
    <row r="79" spans="5:5" x14ac:dyDescent="0.25">
      <c r="E79" s="201"/>
    </row>
    <row r="80" spans="5:5" x14ac:dyDescent="0.25">
      <c r="E80" s="201"/>
    </row>
    <row r="81" spans="5:5" x14ac:dyDescent="0.25">
      <c r="E81" s="201"/>
    </row>
    <row r="82" spans="5:5" x14ac:dyDescent="0.25">
      <c r="E82" s="201"/>
    </row>
    <row r="83" spans="5:5" x14ac:dyDescent="0.25">
      <c r="E83" s="201"/>
    </row>
    <row r="84" spans="5:5" x14ac:dyDescent="0.25">
      <c r="E84" s="201"/>
    </row>
    <row r="85" spans="5:5" x14ac:dyDescent="0.25">
      <c r="E85" s="201"/>
    </row>
    <row r="86" spans="5:5" x14ac:dyDescent="0.25">
      <c r="E86" s="201"/>
    </row>
    <row r="87" spans="5:5" x14ac:dyDescent="0.25">
      <c r="E87" s="201"/>
    </row>
    <row r="88" spans="5:5" x14ac:dyDescent="0.25">
      <c r="E88" s="201"/>
    </row>
    <row r="89" spans="5:5" x14ac:dyDescent="0.25">
      <c r="E89" s="201"/>
    </row>
    <row r="90" spans="5:5" x14ac:dyDescent="0.25">
      <c r="E90" s="201"/>
    </row>
    <row r="91" spans="5:5" x14ac:dyDescent="0.25">
      <c r="E91" s="201"/>
    </row>
    <row r="92" spans="5:5" x14ac:dyDescent="0.25">
      <c r="E92" s="201"/>
    </row>
    <row r="93" spans="5:5" x14ac:dyDescent="0.25">
      <c r="E93" s="201"/>
    </row>
    <row r="94" spans="5:5" x14ac:dyDescent="0.25">
      <c r="E94" s="201"/>
    </row>
    <row r="95" spans="5:5" x14ac:dyDescent="0.25">
      <c r="E95" s="201"/>
    </row>
    <row r="96" spans="5:5" x14ac:dyDescent="0.25">
      <c r="E96" s="201"/>
    </row>
    <row r="97" spans="1:5" x14ac:dyDescent="0.25">
      <c r="E97" s="201"/>
    </row>
    <row r="98" spans="1:5" x14ac:dyDescent="0.25">
      <c r="E98" s="201"/>
    </row>
    <row r="99" spans="1:5" x14ac:dyDescent="0.25">
      <c r="E99" s="201"/>
    </row>
    <row r="100" spans="1:5" x14ac:dyDescent="0.25">
      <c r="A100" s="202" t="s">
        <v>113</v>
      </c>
      <c r="E100" s="201"/>
    </row>
    <row r="101" spans="1:5" x14ac:dyDescent="0.25">
      <c r="A101" s="202" t="s">
        <v>114</v>
      </c>
      <c r="E101" s="201"/>
    </row>
    <row r="102" spans="1:5" x14ac:dyDescent="0.25">
      <c r="A102" s="202" t="s">
        <v>115</v>
      </c>
      <c r="E102" s="201"/>
    </row>
    <row r="103" spans="1:5" x14ac:dyDescent="0.25">
      <c r="E103" s="201"/>
    </row>
    <row r="104" spans="1:5" x14ac:dyDescent="0.25">
      <c r="E104" s="201"/>
    </row>
    <row r="105" spans="1:5" x14ac:dyDescent="0.25">
      <c r="E105" s="201"/>
    </row>
    <row r="106" spans="1:5" x14ac:dyDescent="0.25">
      <c r="E106" s="201"/>
    </row>
    <row r="107" spans="1:5" x14ac:dyDescent="0.25">
      <c r="E107" s="201"/>
    </row>
    <row r="108" spans="1:5" x14ac:dyDescent="0.25">
      <c r="E108" s="201"/>
    </row>
    <row r="109" spans="1:5" x14ac:dyDescent="0.25">
      <c r="E109" s="201"/>
    </row>
    <row r="110" spans="1:5" x14ac:dyDescent="0.25">
      <c r="E110" s="201"/>
    </row>
    <row r="111" spans="1:5" x14ac:dyDescent="0.25">
      <c r="E111" s="201"/>
    </row>
    <row r="112" spans="1:5" x14ac:dyDescent="0.25">
      <c r="E112" s="201"/>
    </row>
    <row r="113" spans="5:5" x14ac:dyDescent="0.25">
      <c r="E113" s="201"/>
    </row>
    <row r="114" spans="5:5" x14ac:dyDescent="0.25">
      <c r="E114" s="201"/>
    </row>
    <row r="115" spans="5:5" x14ac:dyDescent="0.25">
      <c r="E115" s="201"/>
    </row>
    <row r="116" spans="5:5" x14ac:dyDescent="0.25">
      <c r="E116" s="201"/>
    </row>
    <row r="117" spans="5:5" x14ac:dyDescent="0.25">
      <c r="E117" s="201"/>
    </row>
    <row r="118" spans="5:5" x14ac:dyDescent="0.25">
      <c r="E118" s="201"/>
    </row>
    <row r="119" spans="5:5" x14ac:dyDescent="0.25">
      <c r="E119" s="201"/>
    </row>
    <row r="120" spans="5:5" x14ac:dyDescent="0.25">
      <c r="E120" s="201"/>
    </row>
    <row r="121" spans="5:5" x14ac:dyDescent="0.25">
      <c r="E121" s="201"/>
    </row>
    <row r="122" spans="5:5" x14ac:dyDescent="0.25">
      <c r="E122" s="201"/>
    </row>
    <row r="123" spans="5:5" x14ac:dyDescent="0.25">
      <c r="E123" s="201"/>
    </row>
    <row r="124" spans="5:5" x14ac:dyDescent="0.25">
      <c r="E124" s="201"/>
    </row>
    <row r="125" spans="5:5" x14ac:dyDescent="0.25">
      <c r="E125" s="201"/>
    </row>
    <row r="126" spans="5:5" x14ac:dyDescent="0.25">
      <c r="E126" s="201"/>
    </row>
    <row r="127" spans="5:5" x14ac:dyDescent="0.25">
      <c r="E127" s="201"/>
    </row>
    <row r="128" spans="5:5" x14ac:dyDescent="0.25">
      <c r="E128" s="201"/>
    </row>
    <row r="129" spans="5:5" x14ac:dyDescent="0.25">
      <c r="E129" s="201"/>
    </row>
    <row r="130" spans="5:5" x14ac:dyDescent="0.25">
      <c r="E130" s="201"/>
    </row>
    <row r="131" spans="5:5" x14ac:dyDescent="0.25">
      <c r="E131" s="201"/>
    </row>
    <row r="132" spans="5:5" x14ac:dyDescent="0.25">
      <c r="E132" s="201"/>
    </row>
    <row r="133" spans="5:5" x14ac:dyDescent="0.25">
      <c r="E133" s="201"/>
    </row>
    <row r="134" spans="5:5" x14ac:dyDescent="0.25">
      <c r="E134" s="201"/>
    </row>
    <row r="135" spans="5:5" x14ac:dyDescent="0.25">
      <c r="E135" s="201"/>
    </row>
    <row r="136" spans="5:5" x14ac:dyDescent="0.25">
      <c r="E136" s="201"/>
    </row>
    <row r="137" spans="5:5" x14ac:dyDescent="0.25">
      <c r="E137" s="201"/>
    </row>
    <row r="138" spans="5:5" x14ac:dyDescent="0.25">
      <c r="E138" s="201"/>
    </row>
    <row r="139" spans="5:5" x14ac:dyDescent="0.25">
      <c r="E139" s="201"/>
    </row>
    <row r="140" spans="5:5" x14ac:dyDescent="0.25">
      <c r="E140" s="201"/>
    </row>
    <row r="141" spans="5:5" x14ac:dyDescent="0.25">
      <c r="E141" s="201"/>
    </row>
    <row r="142" spans="5:5" x14ac:dyDescent="0.25">
      <c r="E142" s="201"/>
    </row>
    <row r="143" spans="5:5" x14ac:dyDescent="0.25">
      <c r="E143" s="201"/>
    </row>
    <row r="144" spans="5:5" x14ac:dyDescent="0.25">
      <c r="E144" s="201"/>
    </row>
    <row r="145" spans="5:5" x14ac:dyDescent="0.25">
      <c r="E145" s="201"/>
    </row>
    <row r="146" spans="5:5" x14ac:dyDescent="0.25">
      <c r="E146" s="201"/>
    </row>
    <row r="147" spans="5:5" x14ac:dyDescent="0.25">
      <c r="E147" s="201"/>
    </row>
    <row r="148" spans="5:5" x14ac:dyDescent="0.25">
      <c r="E148" s="201"/>
    </row>
    <row r="149" spans="5:5" x14ac:dyDescent="0.25">
      <c r="E149" s="201"/>
    </row>
    <row r="150" spans="5:5" x14ac:dyDescent="0.25">
      <c r="E150" s="201"/>
    </row>
    <row r="151" spans="5:5" x14ac:dyDescent="0.25">
      <c r="E151" s="201"/>
    </row>
    <row r="152" spans="5:5" x14ac:dyDescent="0.25">
      <c r="E152" s="201"/>
    </row>
    <row r="153" spans="5:5" x14ac:dyDescent="0.25">
      <c r="E153" s="201"/>
    </row>
    <row r="154" spans="5:5" x14ac:dyDescent="0.25">
      <c r="E154" s="201"/>
    </row>
    <row r="155" spans="5:5" x14ac:dyDescent="0.25">
      <c r="E155" s="201"/>
    </row>
    <row r="156" spans="5:5" x14ac:dyDescent="0.25">
      <c r="E156" s="201"/>
    </row>
    <row r="157" spans="5:5" x14ac:dyDescent="0.25">
      <c r="E157" s="201"/>
    </row>
    <row r="158" spans="5:5" x14ac:dyDescent="0.25">
      <c r="E158" s="201"/>
    </row>
    <row r="159" spans="5:5" x14ac:dyDescent="0.25">
      <c r="E159" s="201"/>
    </row>
    <row r="160" spans="5:5" x14ac:dyDescent="0.25">
      <c r="E160" s="201"/>
    </row>
    <row r="161" spans="5:5" x14ac:dyDescent="0.25">
      <c r="E161" s="201"/>
    </row>
    <row r="162" spans="5:5" x14ac:dyDescent="0.25">
      <c r="E162" s="201"/>
    </row>
    <row r="163" spans="5:5" x14ac:dyDescent="0.25">
      <c r="E163" s="201"/>
    </row>
    <row r="164" spans="5:5" x14ac:dyDescent="0.25">
      <c r="E164" s="201"/>
    </row>
    <row r="165" spans="5:5" x14ac:dyDescent="0.25">
      <c r="E165" s="201"/>
    </row>
    <row r="166" spans="5:5" x14ac:dyDescent="0.25">
      <c r="E166" s="201"/>
    </row>
    <row r="167" spans="5:5" x14ac:dyDescent="0.25">
      <c r="E167" s="201"/>
    </row>
    <row r="168" spans="5:5" x14ac:dyDescent="0.25">
      <c r="E168" s="201"/>
    </row>
    <row r="169" spans="5:5" x14ac:dyDescent="0.25">
      <c r="E169" s="201"/>
    </row>
    <row r="170" spans="5:5" x14ac:dyDescent="0.25">
      <c r="E170" s="201"/>
    </row>
    <row r="171" spans="5:5" x14ac:dyDescent="0.25">
      <c r="E171" s="201"/>
    </row>
    <row r="172" spans="5:5" x14ac:dyDescent="0.25">
      <c r="E172" s="201"/>
    </row>
    <row r="173" spans="5:5" x14ac:dyDescent="0.25">
      <c r="E173" s="201"/>
    </row>
    <row r="174" spans="5:5" x14ac:dyDescent="0.25">
      <c r="E174" s="201"/>
    </row>
    <row r="175" spans="5:5" x14ac:dyDescent="0.25">
      <c r="E175" s="201"/>
    </row>
    <row r="176" spans="5:5" x14ac:dyDescent="0.25">
      <c r="E176" s="201"/>
    </row>
    <row r="177" spans="5:5" x14ac:dyDescent="0.25">
      <c r="E177" s="201"/>
    </row>
    <row r="178" spans="5:5" x14ac:dyDescent="0.25">
      <c r="E178" s="201"/>
    </row>
    <row r="179" spans="5:5" x14ac:dyDescent="0.25">
      <c r="E179" s="201"/>
    </row>
    <row r="180" spans="5:5" x14ac:dyDescent="0.25">
      <c r="E180" s="201"/>
    </row>
    <row r="181" spans="5:5" x14ac:dyDescent="0.25">
      <c r="E181" s="201"/>
    </row>
    <row r="182" spans="5:5" x14ac:dyDescent="0.25">
      <c r="E182" s="201"/>
    </row>
    <row r="183" spans="5:5" x14ac:dyDescent="0.25">
      <c r="E183" s="201"/>
    </row>
    <row r="184" spans="5:5" x14ac:dyDescent="0.25">
      <c r="E184" s="201"/>
    </row>
    <row r="185" spans="5:5" x14ac:dyDescent="0.25">
      <c r="E185" s="201"/>
    </row>
    <row r="186" spans="5:5" x14ac:dyDescent="0.25">
      <c r="E186" s="201"/>
    </row>
    <row r="187" spans="5:5" x14ac:dyDescent="0.25">
      <c r="E187" s="201"/>
    </row>
    <row r="188" spans="5:5" x14ac:dyDescent="0.25">
      <c r="E188" s="201"/>
    </row>
    <row r="189" spans="5:5" x14ac:dyDescent="0.25">
      <c r="E189" s="201"/>
    </row>
    <row r="190" spans="5:5" x14ac:dyDescent="0.25">
      <c r="E190" s="201"/>
    </row>
    <row r="191" spans="5:5" x14ac:dyDescent="0.25">
      <c r="E191" s="201"/>
    </row>
    <row r="192" spans="5:5" x14ac:dyDescent="0.25">
      <c r="E192" s="201"/>
    </row>
    <row r="193" spans="5:5" x14ac:dyDescent="0.25">
      <c r="E193" s="201"/>
    </row>
    <row r="194" spans="5:5" x14ac:dyDescent="0.25">
      <c r="E194" s="201"/>
    </row>
    <row r="195" spans="5:5" x14ac:dyDescent="0.25">
      <c r="E195" s="201"/>
    </row>
    <row r="196" spans="5:5" x14ac:dyDescent="0.25">
      <c r="E196" s="201"/>
    </row>
    <row r="197" spans="5:5" x14ac:dyDescent="0.25">
      <c r="E197" s="201"/>
    </row>
    <row r="198" spans="5:5" x14ac:dyDescent="0.25">
      <c r="E198" s="201"/>
    </row>
    <row r="199" spans="5:5" x14ac:dyDescent="0.25">
      <c r="E199" s="201"/>
    </row>
    <row r="200" spans="5:5" x14ac:dyDescent="0.25">
      <c r="E200" s="201"/>
    </row>
    <row r="201" spans="5:5" x14ac:dyDescent="0.25">
      <c r="E201" s="201"/>
    </row>
    <row r="202" spans="5:5" x14ac:dyDescent="0.25">
      <c r="E202" s="201"/>
    </row>
    <row r="203" spans="5:5" x14ac:dyDescent="0.25">
      <c r="E203" s="201"/>
    </row>
    <row r="204" spans="5:5" x14ac:dyDescent="0.25">
      <c r="E204" s="201"/>
    </row>
    <row r="205" spans="5:5" x14ac:dyDescent="0.25">
      <c r="E205" s="201"/>
    </row>
    <row r="206" spans="5:5" x14ac:dyDescent="0.25">
      <c r="E206" s="201"/>
    </row>
    <row r="207" spans="5:5" x14ac:dyDescent="0.25">
      <c r="E207" s="201"/>
    </row>
    <row r="208" spans="5:5" x14ac:dyDescent="0.25">
      <c r="E208" s="201"/>
    </row>
    <row r="209" spans="5:5" x14ac:dyDescent="0.25">
      <c r="E209" s="201"/>
    </row>
    <row r="210" spans="5:5" x14ac:dyDescent="0.25">
      <c r="E210" s="201"/>
    </row>
    <row r="211" spans="5:5" x14ac:dyDescent="0.25">
      <c r="E211" s="201"/>
    </row>
    <row r="212" spans="5:5" x14ac:dyDescent="0.25">
      <c r="E212" s="201"/>
    </row>
    <row r="213" spans="5:5" x14ac:dyDescent="0.25">
      <c r="E213" s="201"/>
    </row>
    <row r="214" spans="5:5" x14ac:dyDescent="0.25">
      <c r="E214" s="201"/>
    </row>
    <row r="215" spans="5:5" x14ac:dyDescent="0.25">
      <c r="E215" s="201"/>
    </row>
    <row r="216" spans="5:5" x14ac:dyDescent="0.25">
      <c r="E216" s="201"/>
    </row>
    <row r="217" spans="5:5" x14ac:dyDescent="0.25">
      <c r="E217" s="201"/>
    </row>
    <row r="218" spans="5:5" x14ac:dyDescent="0.25">
      <c r="E218" s="201"/>
    </row>
    <row r="219" spans="5:5" x14ac:dyDescent="0.25">
      <c r="E219" s="201"/>
    </row>
    <row r="220" spans="5:5" x14ac:dyDescent="0.25">
      <c r="E220" s="201"/>
    </row>
    <row r="221" spans="5:5" x14ac:dyDescent="0.25">
      <c r="E221" s="201"/>
    </row>
    <row r="222" spans="5:5" x14ac:dyDescent="0.25">
      <c r="E222" s="201"/>
    </row>
    <row r="223" spans="5:5" x14ac:dyDescent="0.25">
      <c r="E223" s="201"/>
    </row>
    <row r="224" spans="5:5" x14ac:dyDescent="0.25">
      <c r="E224" s="201"/>
    </row>
    <row r="225" spans="5:5" x14ac:dyDescent="0.25">
      <c r="E225" s="201"/>
    </row>
    <row r="226" spans="5:5" x14ac:dyDescent="0.25">
      <c r="E226" s="201"/>
    </row>
    <row r="227" spans="5:5" x14ac:dyDescent="0.25">
      <c r="E227" s="201"/>
    </row>
    <row r="228" spans="5:5" x14ac:dyDescent="0.25">
      <c r="E228" s="201"/>
    </row>
    <row r="229" spans="5:5" x14ac:dyDescent="0.25">
      <c r="E229" s="201"/>
    </row>
    <row r="230" spans="5:5" x14ac:dyDescent="0.25">
      <c r="E230" s="201"/>
    </row>
    <row r="231" spans="5:5" x14ac:dyDescent="0.25">
      <c r="E231" s="201"/>
    </row>
    <row r="232" spans="5:5" x14ac:dyDescent="0.25">
      <c r="E232" s="201"/>
    </row>
    <row r="233" spans="5:5" x14ac:dyDescent="0.25">
      <c r="E233" s="201"/>
    </row>
    <row r="234" spans="5:5" x14ac:dyDescent="0.25">
      <c r="E234" s="201"/>
    </row>
    <row r="235" spans="5:5" x14ac:dyDescent="0.25">
      <c r="E235" s="201"/>
    </row>
    <row r="236" spans="5:5" x14ac:dyDescent="0.25">
      <c r="E236" s="201"/>
    </row>
    <row r="237" spans="5:5" x14ac:dyDescent="0.25">
      <c r="E237" s="201"/>
    </row>
    <row r="238" spans="5:5" x14ac:dyDescent="0.25">
      <c r="E238" s="201"/>
    </row>
    <row r="239" spans="5:5" x14ac:dyDescent="0.25">
      <c r="E239" s="201"/>
    </row>
    <row r="240" spans="5:5" x14ac:dyDescent="0.25">
      <c r="E240" s="201"/>
    </row>
    <row r="241" spans="5:5" x14ac:dyDescent="0.25">
      <c r="E241" s="201"/>
    </row>
    <row r="242" spans="5:5" x14ac:dyDescent="0.25">
      <c r="E242" s="201"/>
    </row>
    <row r="243" spans="5:5" x14ac:dyDescent="0.25">
      <c r="E243" s="201"/>
    </row>
    <row r="244" spans="5:5" x14ac:dyDescent="0.25">
      <c r="E244" s="201"/>
    </row>
    <row r="245" spans="5:5" x14ac:dyDescent="0.25">
      <c r="E245" s="201"/>
    </row>
    <row r="246" spans="5:5" x14ac:dyDescent="0.25">
      <c r="E246" s="201"/>
    </row>
    <row r="247" spans="5:5" x14ac:dyDescent="0.25">
      <c r="E247" s="201"/>
    </row>
    <row r="248" spans="5:5" x14ac:dyDescent="0.25">
      <c r="E248" s="201"/>
    </row>
    <row r="249" spans="5:5" x14ac:dyDescent="0.25">
      <c r="E249" s="201"/>
    </row>
    <row r="250" spans="5:5" x14ac:dyDescent="0.25">
      <c r="E250" s="201"/>
    </row>
    <row r="251" spans="5:5" x14ac:dyDescent="0.25">
      <c r="E251" s="201"/>
    </row>
    <row r="252" spans="5:5" x14ac:dyDescent="0.25">
      <c r="E252" s="201"/>
    </row>
    <row r="253" spans="5:5" x14ac:dyDescent="0.25">
      <c r="E253" s="201"/>
    </row>
    <row r="254" spans="5:5" x14ac:dyDescent="0.25">
      <c r="E254" s="201"/>
    </row>
    <row r="255" spans="5:5" x14ac:dyDescent="0.25">
      <c r="E255" s="201"/>
    </row>
    <row r="256" spans="5:5" x14ac:dyDescent="0.25">
      <c r="E256" s="201"/>
    </row>
    <row r="257" spans="5:5" x14ac:dyDescent="0.25">
      <c r="E257" s="201"/>
    </row>
    <row r="258" spans="5:5" x14ac:dyDescent="0.25">
      <c r="E258" s="201"/>
    </row>
    <row r="259" spans="5:5" x14ac:dyDescent="0.25">
      <c r="E259" s="201"/>
    </row>
    <row r="260" spans="5:5" x14ac:dyDescent="0.25">
      <c r="E260" s="201"/>
    </row>
    <row r="261" spans="5:5" x14ac:dyDescent="0.25">
      <c r="E261" s="201"/>
    </row>
    <row r="262" spans="5:5" x14ac:dyDescent="0.25">
      <c r="E262" s="201"/>
    </row>
    <row r="263" spans="5:5" x14ac:dyDescent="0.25">
      <c r="E263" s="201"/>
    </row>
    <row r="264" spans="5:5" x14ac:dyDescent="0.25">
      <c r="E264" s="201"/>
    </row>
    <row r="265" spans="5:5" x14ac:dyDescent="0.25">
      <c r="E265" s="201"/>
    </row>
    <row r="266" spans="5:5" x14ac:dyDescent="0.25">
      <c r="E266" s="201"/>
    </row>
    <row r="267" spans="5:5" x14ac:dyDescent="0.25">
      <c r="E267" s="201"/>
    </row>
    <row r="268" spans="5:5" x14ac:dyDescent="0.25">
      <c r="E268" s="201"/>
    </row>
    <row r="269" spans="5:5" x14ac:dyDescent="0.25">
      <c r="E269" s="201"/>
    </row>
    <row r="270" spans="5:5" x14ac:dyDescent="0.25">
      <c r="E270" s="201"/>
    </row>
    <row r="271" spans="5:5" x14ac:dyDescent="0.25">
      <c r="E271" s="201"/>
    </row>
    <row r="272" spans="5:5" x14ac:dyDescent="0.25">
      <c r="E272" s="201"/>
    </row>
    <row r="273" spans="5:5" x14ac:dyDescent="0.25">
      <c r="E273" s="201"/>
    </row>
    <row r="274" spans="5:5" x14ac:dyDescent="0.25">
      <c r="E274" s="201"/>
    </row>
    <row r="275" spans="5:5" x14ac:dyDescent="0.25">
      <c r="E275" s="201"/>
    </row>
    <row r="276" spans="5:5" x14ac:dyDescent="0.25">
      <c r="E276" s="201"/>
    </row>
    <row r="277" spans="5:5" x14ac:dyDescent="0.25">
      <c r="E277" s="201"/>
    </row>
    <row r="278" spans="5:5" x14ac:dyDescent="0.25">
      <c r="E278" s="201"/>
    </row>
    <row r="279" spans="5:5" x14ac:dyDescent="0.25">
      <c r="E279" s="201"/>
    </row>
    <row r="280" spans="5:5" x14ac:dyDescent="0.25">
      <c r="E280" s="201"/>
    </row>
    <row r="281" spans="5:5" x14ac:dyDescent="0.25">
      <c r="E281" s="201"/>
    </row>
    <row r="282" spans="5:5" x14ac:dyDescent="0.25">
      <c r="E282" s="201"/>
    </row>
    <row r="283" spans="5:5" x14ac:dyDescent="0.25">
      <c r="E283" s="201"/>
    </row>
    <row r="284" spans="5:5" x14ac:dyDescent="0.25">
      <c r="E284" s="201"/>
    </row>
    <row r="285" spans="5:5" x14ac:dyDescent="0.25">
      <c r="E285" s="201"/>
    </row>
    <row r="286" spans="5:5" x14ac:dyDescent="0.25">
      <c r="E286" s="201"/>
    </row>
    <row r="287" spans="5:5" x14ac:dyDescent="0.25">
      <c r="E287" s="201"/>
    </row>
    <row r="288" spans="5:5" x14ac:dyDescent="0.25">
      <c r="E288" s="201"/>
    </row>
    <row r="289" spans="5:5" x14ac:dyDescent="0.25">
      <c r="E289" s="201"/>
    </row>
    <row r="290" spans="5:5" x14ac:dyDescent="0.25">
      <c r="E290" s="201"/>
    </row>
    <row r="291" spans="5:5" x14ac:dyDescent="0.25">
      <c r="E291" s="201"/>
    </row>
    <row r="292" spans="5:5" x14ac:dyDescent="0.25">
      <c r="E292" s="201"/>
    </row>
    <row r="293" spans="5:5" x14ac:dyDescent="0.25">
      <c r="E293" s="201"/>
    </row>
    <row r="294" spans="5:5" x14ac:dyDescent="0.25">
      <c r="E294" s="201"/>
    </row>
    <row r="295" spans="5:5" x14ac:dyDescent="0.25">
      <c r="E295" s="201"/>
    </row>
    <row r="296" spans="5:5" x14ac:dyDescent="0.25">
      <c r="E296" s="201"/>
    </row>
    <row r="297" spans="5:5" x14ac:dyDescent="0.25">
      <c r="E297" s="201"/>
    </row>
    <row r="298" spans="5:5" x14ac:dyDescent="0.25">
      <c r="E298" s="201"/>
    </row>
    <row r="299" spans="5:5" x14ac:dyDescent="0.25">
      <c r="E299" s="201"/>
    </row>
    <row r="300" spans="5:5" x14ac:dyDescent="0.25">
      <c r="E300" s="201"/>
    </row>
    <row r="301" spans="5:5" x14ac:dyDescent="0.25">
      <c r="E301" s="201"/>
    </row>
    <row r="302" spans="5:5" x14ac:dyDescent="0.25">
      <c r="E302" s="201"/>
    </row>
    <row r="303" spans="5:5" x14ac:dyDescent="0.25">
      <c r="E303" s="201"/>
    </row>
    <row r="304" spans="5:5" x14ac:dyDescent="0.25">
      <c r="E304" s="201"/>
    </row>
    <row r="305" spans="5:5" x14ac:dyDescent="0.25">
      <c r="E305" s="201"/>
    </row>
    <row r="306" spans="5:5" x14ac:dyDescent="0.25">
      <c r="E306" s="201"/>
    </row>
    <row r="307" spans="5:5" x14ac:dyDescent="0.25">
      <c r="E307" s="201"/>
    </row>
    <row r="308" spans="5:5" x14ac:dyDescent="0.25">
      <c r="E308" s="201"/>
    </row>
    <row r="309" spans="5:5" x14ac:dyDescent="0.25">
      <c r="E309" s="201"/>
    </row>
    <row r="310" spans="5:5" x14ac:dyDescent="0.25">
      <c r="E310" s="201"/>
    </row>
    <row r="311" spans="5:5" x14ac:dyDescent="0.25">
      <c r="E311" s="201"/>
    </row>
    <row r="312" spans="5:5" x14ac:dyDescent="0.25">
      <c r="E312" s="201"/>
    </row>
    <row r="313" spans="5:5" x14ac:dyDescent="0.25">
      <c r="E313" s="201"/>
    </row>
    <row r="314" spans="5:5" x14ac:dyDescent="0.25">
      <c r="E314" s="201"/>
    </row>
    <row r="315" spans="5:5" x14ac:dyDescent="0.25">
      <c r="E315" s="201"/>
    </row>
    <row r="316" spans="5:5" x14ac:dyDescent="0.25">
      <c r="E316" s="201"/>
    </row>
    <row r="317" spans="5:5" x14ac:dyDescent="0.25">
      <c r="E317" s="201"/>
    </row>
    <row r="318" spans="5:5" x14ac:dyDescent="0.25">
      <c r="E318" s="201"/>
    </row>
    <row r="319" spans="5:5" x14ac:dyDescent="0.25">
      <c r="E319" s="201"/>
    </row>
    <row r="320" spans="5:5" x14ac:dyDescent="0.25">
      <c r="E320" s="201"/>
    </row>
    <row r="321" spans="5:5" x14ac:dyDescent="0.25">
      <c r="E321" s="201"/>
    </row>
    <row r="322" spans="5:5" x14ac:dyDescent="0.25">
      <c r="E322" s="201"/>
    </row>
    <row r="323" spans="5:5" x14ac:dyDescent="0.25">
      <c r="E323" s="201"/>
    </row>
    <row r="324" spans="5:5" x14ac:dyDescent="0.25">
      <c r="E324" s="201"/>
    </row>
    <row r="325" spans="5:5" x14ac:dyDescent="0.25">
      <c r="E325" s="201"/>
    </row>
    <row r="326" spans="5:5" x14ac:dyDescent="0.25">
      <c r="E326" s="201"/>
    </row>
    <row r="327" spans="5:5" x14ac:dyDescent="0.25">
      <c r="E327" s="201"/>
    </row>
    <row r="328" spans="5:5" x14ac:dyDescent="0.25">
      <c r="E328" s="201"/>
    </row>
    <row r="329" spans="5:5" x14ac:dyDescent="0.25">
      <c r="E329" s="201"/>
    </row>
    <row r="330" spans="5:5" x14ac:dyDescent="0.25">
      <c r="E330" s="201"/>
    </row>
    <row r="331" spans="5:5" x14ac:dyDescent="0.25">
      <c r="E331" s="201"/>
    </row>
    <row r="332" spans="5:5" x14ac:dyDescent="0.25">
      <c r="E332" s="201"/>
    </row>
    <row r="333" spans="5:5" x14ac:dyDescent="0.25">
      <c r="E333" s="201"/>
    </row>
    <row r="334" spans="5:5" x14ac:dyDescent="0.25">
      <c r="E334" s="201"/>
    </row>
    <row r="335" spans="5:5" x14ac:dyDescent="0.25">
      <c r="E335" s="201"/>
    </row>
    <row r="336" spans="5:5" x14ac:dyDescent="0.25">
      <c r="E336" s="201"/>
    </row>
    <row r="337" spans="5:5" x14ac:dyDescent="0.25">
      <c r="E337" s="201"/>
    </row>
  </sheetData>
  <dataValidations count="1">
    <dataValidation type="list" allowBlank="1" showInputMessage="1" showErrorMessage="1" sqref="B7:B27">
      <formula1>$A$99:$A$102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WL2035"/>
  <sheetViews>
    <sheetView tabSelected="1" workbookViewId="0">
      <selection activeCell="N7" sqref="N7"/>
    </sheetView>
  </sheetViews>
  <sheetFormatPr defaultColWidth="0" defaultRowHeight="15" zeroHeight="1" x14ac:dyDescent="0.25"/>
  <cols>
    <col min="1" max="1" width="13.28515625" customWidth="1"/>
    <col min="2" max="2" width="13.85546875" customWidth="1"/>
    <col min="3" max="3" width="9.28515625" bestFit="1" customWidth="1"/>
    <col min="4" max="4" width="10" customWidth="1"/>
    <col min="5" max="5" width="15.85546875" customWidth="1"/>
    <col min="6" max="6" width="14.7109375" hidden="1" customWidth="1"/>
    <col min="7" max="7" width="10.28515625" hidden="1" customWidth="1"/>
    <col min="8" max="8" width="14.42578125" hidden="1" customWidth="1"/>
    <col min="9" max="9" width="13.7109375" hidden="1" customWidth="1"/>
    <col min="10" max="10" width="13.140625" customWidth="1"/>
    <col min="11" max="11" width="10.28515625" bestFit="1" customWidth="1"/>
    <col min="12" max="12" width="10.28515625" customWidth="1"/>
    <col min="13" max="13" width="17.85546875" customWidth="1"/>
    <col min="14" max="14" width="15.140625" customWidth="1"/>
    <col min="15" max="16" width="11.7109375" bestFit="1" customWidth="1"/>
    <col min="17" max="17" width="12.28515625" customWidth="1"/>
    <col min="18" max="18" width="9.5703125" customWidth="1"/>
    <col min="19" max="19" width="9.140625" customWidth="1"/>
    <col min="20" max="20" width="7.140625" bestFit="1" customWidth="1"/>
    <col min="21" max="21" width="8.140625" customWidth="1"/>
    <col min="22" max="1962" width="9.140625" customWidth="1"/>
    <col min="1963" max="16384" width="9.140625" hidden="1"/>
  </cols>
  <sheetData>
    <row r="1" spans="1:1960" ht="38.25" x14ac:dyDescent="0.25">
      <c r="A1" s="1" t="s">
        <v>0</v>
      </c>
      <c r="B1" s="2"/>
      <c r="C1" s="3"/>
      <c r="D1" s="4"/>
      <c r="E1" s="274">
        <f>SUM(SchedulingBids)</f>
        <v>480</v>
      </c>
      <c r="G1" s="3">
        <f>1996-COUNTBLANK(MyFullBids)</f>
        <v>160</v>
      </c>
      <c r="H1" s="3">
        <f>COUNTA($A$5:$A$1000)</f>
        <v>78</v>
      </c>
      <c r="I1" s="3">
        <f ca="1">COUNT(IF(ISNA(MyDistinctBids),"",MyDistinctBids))</f>
        <v>70</v>
      </c>
      <c r="J1" s="11" t="s">
        <v>5</v>
      </c>
      <c r="K1" s="204">
        <f>SUMPRODUCT($B$6:$B$1000,$C$6:$C$1000)</f>
        <v>465067.5</v>
      </c>
      <c r="L1" s="5"/>
      <c r="M1" s="6" t="s">
        <v>168</v>
      </c>
      <c r="N1" s="7">
        <v>42942.66065972222</v>
      </c>
      <c r="P1" s="8" t="s">
        <v>1</v>
      </c>
    </row>
    <row r="2" spans="1:1960" x14ac:dyDescent="0.25">
      <c r="A2" s="9" t="s">
        <v>2</v>
      </c>
      <c r="B2" s="167" t="s">
        <v>3</v>
      </c>
      <c r="C2" s="10" t="s">
        <v>4</v>
      </c>
      <c r="D2" s="4"/>
      <c r="E2" s="12"/>
      <c r="F2" s="13"/>
      <c r="G2" s="13"/>
      <c r="H2" s="13"/>
      <c r="I2" s="13"/>
    </row>
    <row r="3" spans="1:1960" x14ac:dyDescent="0.25">
      <c r="A3" s="166" t="s">
        <v>6</v>
      </c>
      <c r="B3" s="14">
        <f ca="1">DDay</f>
        <v>43311</v>
      </c>
      <c r="C3" s="10" t="s">
        <v>4</v>
      </c>
      <c r="D3" s="4"/>
      <c r="E3" s="273" t="s">
        <v>183</v>
      </c>
      <c r="F3" s="13" t="s">
        <v>7</v>
      </c>
      <c r="G3" s="13" t="s">
        <v>8</v>
      </c>
      <c r="H3" s="13" t="s">
        <v>9</v>
      </c>
      <c r="I3" s="13" t="s">
        <v>10</v>
      </c>
      <c r="J3" s="11"/>
      <c r="K3" s="13"/>
      <c r="L3" s="8" t="s">
        <v>11</v>
      </c>
      <c r="M3" s="15" t="s">
        <v>12</v>
      </c>
      <c r="N3" s="16"/>
      <c r="P3" s="8" t="s">
        <v>13</v>
      </c>
      <c r="Q3" s="15" t="s">
        <v>160</v>
      </c>
      <c r="R3" s="17"/>
      <c r="S3" s="15"/>
      <c r="T3" s="15"/>
    </row>
    <row r="4" spans="1:1960" x14ac:dyDescent="0.25">
      <c r="A4" s="18"/>
      <c r="D4" s="19"/>
      <c r="K4" s="20"/>
      <c r="L4" s="21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1960" x14ac:dyDescent="0.25">
      <c r="A5" s="22" t="s">
        <v>14</v>
      </c>
      <c r="B5" s="23" t="s">
        <v>15</v>
      </c>
      <c r="C5" s="23" t="s">
        <v>16</v>
      </c>
      <c r="D5" s="268" t="s">
        <v>17</v>
      </c>
      <c r="E5" s="269" t="s">
        <v>18</v>
      </c>
      <c r="F5" s="25" t="s">
        <v>19</v>
      </c>
      <c r="G5" s="24" t="s">
        <v>20</v>
      </c>
      <c r="H5" t="s">
        <v>21</v>
      </c>
      <c r="I5" t="s">
        <v>22</v>
      </c>
      <c r="J5" s="24" t="s">
        <v>22</v>
      </c>
      <c r="K5" s="26">
        <v>-500</v>
      </c>
      <c r="L5" s="27">
        <v>-100.1</v>
      </c>
      <c r="M5" s="27">
        <v>-100</v>
      </c>
      <c r="N5" s="27">
        <v>42.699999999999996</v>
      </c>
      <c r="O5" s="27">
        <v>42.9</v>
      </c>
      <c r="P5" s="27">
        <v>43</v>
      </c>
      <c r="Q5" s="27">
        <v>43.4</v>
      </c>
      <c r="R5" s="27">
        <v>43.5</v>
      </c>
      <c r="S5" s="27">
        <v>43.9</v>
      </c>
      <c r="T5" s="27">
        <v>44</v>
      </c>
      <c r="U5" s="27">
        <v>44.4</v>
      </c>
      <c r="V5" s="27">
        <v>44.5</v>
      </c>
      <c r="W5" s="27">
        <v>44.9</v>
      </c>
      <c r="X5" s="27">
        <v>45</v>
      </c>
      <c r="Y5" s="27">
        <v>45.4</v>
      </c>
      <c r="Z5" s="27">
        <v>45.5</v>
      </c>
      <c r="AA5" s="27">
        <v>49.9</v>
      </c>
      <c r="AB5" s="27">
        <v>50</v>
      </c>
      <c r="AC5" s="27">
        <v>50.9</v>
      </c>
      <c r="AD5" s="27">
        <v>51</v>
      </c>
      <c r="AE5" s="27">
        <v>51.9</v>
      </c>
      <c r="AF5" s="27">
        <v>52</v>
      </c>
      <c r="AG5" s="27">
        <v>52.4</v>
      </c>
      <c r="AH5" s="27">
        <v>52.5</v>
      </c>
      <c r="AI5" s="27">
        <v>52.9</v>
      </c>
      <c r="AJ5" s="27">
        <v>53</v>
      </c>
      <c r="AK5" s="27">
        <v>53.9</v>
      </c>
      <c r="AL5" s="27">
        <v>54</v>
      </c>
      <c r="AM5" s="27">
        <v>54.9</v>
      </c>
      <c r="AN5" s="27">
        <v>55</v>
      </c>
      <c r="AO5" s="27">
        <v>55.4</v>
      </c>
      <c r="AP5" s="27">
        <v>55.5</v>
      </c>
      <c r="AQ5" s="27">
        <v>57.9</v>
      </c>
      <c r="AR5" s="27">
        <v>58</v>
      </c>
      <c r="AS5" s="27">
        <v>59.9</v>
      </c>
      <c r="AT5" s="27">
        <v>60</v>
      </c>
      <c r="AU5" s="27">
        <v>60.9</v>
      </c>
      <c r="AV5" s="27">
        <v>61</v>
      </c>
      <c r="AW5" s="27">
        <v>61.9</v>
      </c>
      <c r="AX5" s="27">
        <v>62</v>
      </c>
      <c r="AY5" s="27">
        <v>66.5</v>
      </c>
      <c r="AZ5" s="27">
        <v>66.599999999999994</v>
      </c>
      <c r="BA5" s="27">
        <v>67</v>
      </c>
      <c r="BB5" s="27">
        <v>67.099999999999994</v>
      </c>
      <c r="BC5" s="27">
        <v>67.5</v>
      </c>
      <c r="BD5" s="27">
        <v>67.599999999999994</v>
      </c>
      <c r="BE5" s="27">
        <v>68</v>
      </c>
      <c r="BF5" s="27">
        <v>68.099999999999994</v>
      </c>
      <c r="BG5" s="27">
        <v>68.5</v>
      </c>
      <c r="BH5" s="27">
        <v>68.599999999999994</v>
      </c>
      <c r="BI5" s="27">
        <v>69</v>
      </c>
      <c r="BJ5" s="27">
        <v>69.099999999999994</v>
      </c>
      <c r="BK5" s="27">
        <v>69.5</v>
      </c>
      <c r="BL5" s="27">
        <v>69.599999999999994</v>
      </c>
      <c r="BM5" s="27">
        <v>70</v>
      </c>
      <c r="BN5" s="27">
        <v>70.099999999999994</v>
      </c>
      <c r="BO5" s="27">
        <v>71</v>
      </c>
      <c r="BP5" s="27">
        <v>71.099999999999994</v>
      </c>
      <c r="BQ5" s="27">
        <v>77</v>
      </c>
      <c r="BR5" s="27">
        <v>77.099999999999994</v>
      </c>
      <c r="BS5" s="27">
        <v>78.5</v>
      </c>
      <c r="BT5" s="27">
        <v>78.599999999999994</v>
      </c>
      <c r="BU5" s="27">
        <v>80</v>
      </c>
      <c r="BV5" s="27">
        <v>80.099999999999994</v>
      </c>
      <c r="BW5" s="27">
        <v>82</v>
      </c>
      <c r="BX5" s="27">
        <v>82.1</v>
      </c>
      <c r="BY5" s="27">
        <v>82.199999999999989</v>
      </c>
      <c r="BZ5" s="27">
        <v>1000</v>
      </c>
      <c r="CA5" s="27">
        <v>1000.1</v>
      </c>
      <c r="CB5" s="27">
        <v>3000</v>
      </c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  <c r="IW5" s="27"/>
      <c r="IX5" s="27"/>
      <c r="IY5" s="27"/>
      <c r="IZ5" s="27"/>
      <c r="JA5" s="27"/>
      <c r="JB5" s="27"/>
      <c r="JC5" s="27"/>
      <c r="JD5" s="27"/>
      <c r="JE5" s="27"/>
      <c r="JF5" s="27"/>
      <c r="JG5" s="27"/>
      <c r="JH5" s="27"/>
      <c r="JI5" s="27"/>
      <c r="JJ5" s="27"/>
      <c r="JK5" s="27"/>
      <c r="JL5" s="27"/>
      <c r="JM5" s="27"/>
      <c r="JN5" s="27"/>
      <c r="JO5" s="27"/>
      <c r="JP5" s="27"/>
      <c r="JQ5" s="27"/>
      <c r="JR5" s="27"/>
      <c r="JS5" s="27"/>
      <c r="JT5" s="27"/>
      <c r="JU5" s="27"/>
      <c r="JV5" s="27"/>
      <c r="JW5" s="27"/>
      <c r="JX5" s="27"/>
      <c r="JY5" s="27"/>
      <c r="JZ5" s="27"/>
      <c r="KA5" s="27"/>
      <c r="KB5" s="27"/>
      <c r="KC5" s="27"/>
      <c r="KD5" s="27"/>
      <c r="KE5" s="27"/>
      <c r="KF5" s="27"/>
      <c r="KG5" s="27"/>
      <c r="KH5" s="27"/>
      <c r="KI5" s="27"/>
      <c r="KJ5" s="27"/>
      <c r="KK5" s="27"/>
      <c r="KL5" s="27"/>
      <c r="KM5" s="27"/>
      <c r="KN5" s="27"/>
      <c r="KO5" s="27"/>
      <c r="KP5" s="27"/>
      <c r="KQ5" s="27"/>
      <c r="KR5" s="27"/>
      <c r="KS5" s="27"/>
      <c r="KT5" s="27"/>
      <c r="KU5" s="27"/>
      <c r="KV5" s="27"/>
      <c r="KW5" s="27"/>
      <c r="KX5" s="27"/>
      <c r="KY5" s="27"/>
      <c r="KZ5" s="27"/>
      <c r="LA5" s="27"/>
      <c r="LB5" s="27"/>
      <c r="LC5" s="27"/>
      <c r="LD5" s="27"/>
      <c r="LE5" s="27"/>
      <c r="LF5" s="27"/>
      <c r="LG5" s="27"/>
      <c r="LH5" s="27"/>
      <c r="LI5" s="27"/>
      <c r="LJ5" s="27"/>
      <c r="LK5" s="27"/>
      <c r="LL5" s="27"/>
      <c r="LM5" s="27"/>
      <c r="LN5" s="27"/>
      <c r="LO5" s="27"/>
      <c r="LP5" s="27"/>
      <c r="LQ5" s="27"/>
      <c r="LR5" s="27"/>
      <c r="LS5" s="27"/>
      <c r="LT5" s="27"/>
      <c r="LU5" s="27"/>
      <c r="LV5" s="27"/>
      <c r="LW5" s="27"/>
      <c r="LX5" s="27"/>
      <c r="LY5" s="27"/>
      <c r="LZ5" s="27"/>
      <c r="MA5" s="27"/>
      <c r="MB5" s="27"/>
      <c r="MC5" s="27"/>
      <c r="MD5" s="27"/>
      <c r="ME5" s="27"/>
      <c r="MF5" s="27"/>
      <c r="MG5" s="27"/>
      <c r="MH5" s="27"/>
      <c r="MI5" s="27"/>
      <c r="MJ5" s="27"/>
      <c r="MK5" s="27"/>
      <c r="ML5" s="27"/>
      <c r="MM5" s="27"/>
      <c r="MN5" s="27"/>
      <c r="MO5" s="27"/>
      <c r="MP5" s="27"/>
      <c r="MQ5" s="27"/>
      <c r="MR5" s="27"/>
      <c r="MS5" s="27"/>
      <c r="MT5" s="27"/>
      <c r="MU5" s="27"/>
      <c r="MV5" s="27"/>
      <c r="MW5" s="27"/>
      <c r="MX5" s="27"/>
      <c r="MY5" s="27"/>
      <c r="MZ5" s="27"/>
      <c r="NA5" s="27"/>
      <c r="NB5" s="27"/>
      <c r="NC5" s="27"/>
      <c r="ND5" s="27"/>
      <c r="NE5" s="27"/>
      <c r="NF5" s="27"/>
      <c r="NG5" s="27"/>
      <c r="NH5" s="27"/>
      <c r="NI5" s="27"/>
      <c r="NJ5" s="27"/>
      <c r="NK5" s="27"/>
      <c r="NL5" s="27"/>
      <c r="NM5" s="27"/>
      <c r="NN5" s="27"/>
      <c r="NO5" s="27"/>
      <c r="NP5" s="27"/>
      <c r="NQ5" s="27"/>
      <c r="NR5" s="27"/>
      <c r="NS5" s="27"/>
      <c r="NT5" s="27"/>
      <c r="NU5" s="27"/>
      <c r="NV5" s="27"/>
      <c r="NW5" s="27"/>
      <c r="NX5" s="27"/>
      <c r="NY5" s="27"/>
      <c r="NZ5" s="27"/>
      <c r="OA5" s="27"/>
      <c r="OB5" s="27"/>
      <c r="OC5" s="27"/>
      <c r="OD5" s="27"/>
      <c r="OE5" s="27"/>
      <c r="OF5" s="27"/>
      <c r="OG5" s="27"/>
      <c r="OH5" s="27"/>
      <c r="OI5" s="27"/>
      <c r="OJ5" s="27"/>
      <c r="OK5" s="27"/>
      <c r="OL5" s="27"/>
      <c r="OM5" s="27"/>
      <c r="ON5" s="27"/>
      <c r="OO5" s="27"/>
      <c r="OP5" s="27"/>
      <c r="OQ5" s="27"/>
      <c r="OR5" s="27"/>
      <c r="OS5" s="27"/>
      <c r="OT5" s="27"/>
      <c r="OU5" s="27"/>
      <c r="OV5" s="27"/>
      <c r="OW5" s="27"/>
      <c r="OX5" s="27"/>
      <c r="OY5" s="27"/>
      <c r="OZ5" s="27"/>
      <c r="PA5" s="27"/>
      <c r="PB5" s="27"/>
      <c r="PC5" s="27"/>
      <c r="PD5" s="27"/>
      <c r="PE5" s="27"/>
      <c r="PF5" s="27"/>
      <c r="PG5" s="27"/>
      <c r="PH5" s="27"/>
      <c r="PI5" s="27"/>
      <c r="PJ5" s="27"/>
      <c r="PK5" s="27"/>
      <c r="PL5" s="27"/>
      <c r="PM5" s="27"/>
      <c r="PN5" s="27"/>
      <c r="PO5" s="27"/>
      <c r="PP5" s="27"/>
      <c r="PQ5" s="27"/>
      <c r="PR5" s="27"/>
      <c r="PS5" s="27"/>
      <c r="PT5" s="27"/>
      <c r="PU5" s="27"/>
      <c r="PV5" s="27"/>
      <c r="PW5" s="27"/>
      <c r="PX5" s="27"/>
      <c r="PY5" s="27"/>
      <c r="PZ5" s="27"/>
      <c r="QA5" s="27"/>
      <c r="QB5" s="27"/>
      <c r="QC5" s="27"/>
      <c r="QD5" s="27"/>
      <c r="QE5" s="27"/>
      <c r="QF5" s="27"/>
      <c r="QG5" s="27"/>
      <c r="QH5" s="27"/>
      <c r="QI5" s="27"/>
      <c r="QJ5" s="27"/>
      <c r="QK5" s="27"/>
      <c r="QL5" s="27"/>
      <c r="QM5" s="27"/>
      <c r="QN5" s="27"/>
      <c r="QO5" s="27"/>
      <c r="QP5" s="27"/>
      <c r="QQ5" s="27"/>
      <c r="QR5" s="27"/>
      <c r="QS5" s="27"/>
      <c r="QT5" s="27"/>
      <c r="QU5" s="27"/>
      <c r="QV5" s="27"/>
      <c r="QW5" s="27"/>
      <c r="QX5" s="27"/>
      <c r="QY5" s="27"/>
      <c r="QZ5" s="27"/>
      <c r="RA5" s="27"/>
      <c r="RB5" s="27"/>
      <c r="RC5" s="27"/>
      <c r="RD5" s="27"/>
      <c r="RE5" s="27"/>
      <c r="RF5" s="27"/>
      <c r="RG5" s="27"/>
      <c r="RH5" s="27"/>
      <c r="RI5" s="27"/>
      <c r="RJ5" s="27"/>
      <c r="RK5" s="27"/>
      <c r="RL5" s="27"/>
      <c r="RM5" s="27"/>
      <c r="RN5" s="27"/>
      <c r="RO5" s="27"/>
      <c r="RP5" s="27"/>
      <c r="RQ5" s="27"/>
      <c r="RR5" s="27"/>
      <c r="RS5" s="27"/>
      <c r="RT5" s="27"/>
      <c r="RU5" s="27"/>
      <c r="RV5" s="27"/>
      <c r="RW5" s="27"/>
      <c r="RX5" s="27"/>
      <c r="RY5" s="27"/>
      <c r="RZ5" s="27"/>
      <c r="SA5" s="27"/>
      <c r="SB5" s="27"/>
      <c r="SC5" s="27"/>
      <c r="SD5" s="27"/>
      <c r="SE5" s="27"/>
      <c r="SF5" s="27"/>
      <c r="SG5" s="27"/>
      <c r="SH5" s="27"/>
      <c r="SI5" s="27"/>
      <c r="SJ5" s="27"/>
      <c r="SK5" s="27"/>
      <c r="SL5" s="27"/>
      <c r="SM5" s="27"/>
      <c r="SN5" s="27"/>
      <c r="SO5" s="27"/>
      <c r="SP5" s="27"/>
      <c r="SQ5" s="27"/>
      <c r="SR5" s="27"/>
      <c r="SS5" s="27"/>
      <c r="ST5" s="27"/>
      <c r="SU5" s="27"/>
      <c r="SV5" s="27"/>
      <c r="SW5" s="27"/>
      <c r="SX5" s="27"/>
      <c r="SY5" s="27"/>
      <c r="SZ5" s="27"/>
      <c r="TA5" s="27"/>
      <c r="TB5" s="27"/>
      <c r="TC5" s="27"/>
      <c r="TD5" s="27"/>
      <c r="TE5" s="27"/>
      <c r="TF5" s="27"/>
      <c r="TG5" s="27"/>
      <c r="TH5" s="27"/>
      <c r="TI5" s="27"/>
      <c r="TJ5" s="27"/>
      <c r="TK5" s="27"/>
      <c r="TL5" s="27"/>
      <c r="TM5" s="27"/>
      <c r="TN5" s="27"/>
      <c r="TO5" s="27"/>
      <c r="TP5" s="27"/>
      <c r="TQ5" s="27"/>
      <c r="TR5" s="27"/>
      <c r="TS5" s="27"/>
      <c r="TT5" s="27"/>
      <c r="TU5" s="27"/>
      <c r="TV5" s="27"/>
      <c r="TW5" s="27"/>
      <c r="TX5" s="27"/>
      <c r="TY5" s="27"/>
      <c r="TZ5" s="27"/>
      <c r="UA5" s="27"/>
      <c r="UB5" s="27"/>
      <c r="UC5" s="27"/>
      <c r="UD5" s="27"/>
      <c r="UE5" s="27"/>
      <c r="UF5" s="27"/>
      <c r="UG5" s="27"/>
      <c r="UH5" s="27"/>
      <c r="UI5" s="27"/>
      <c r="UJ5" s="27"/>
      <c r="UK5" s="27"/>
      <c r="UL5" s="27"/>
      <c r="UM5" s="27"/>
      <c r="UN5" s="27"/>
      <c r="UO5" s="27"/>
      <c r="UP5" s="27"/>
      <c r="UQ5" s="27"/>
      <c r="UR5" s="27"/>
      <c r="US5" s="27"/>
      <c r="UT5" s="27"/>
      <c r="UU5" s="27"/>
      <c r="UV5" s="27"/>
      <c r="UW5" s="27"/>
      <c r="UX5" s="27"/>
      <c r="UY5" s="27"/>
      <c r="UZ5" s="27"/>
      <c r="VA5" s="27"/>
      <c r="VB5" s="27"/>
      <c r="VC5" s="27"/>
      <c r="VD5" s="27"/>
      <c r="VE5" s="27"/>
      <c r="VF5" s="27"/>
      <c r="VG5" s="27"/>
      <c r="VH5" s="27"/>
      <c r="VI5" s="27"/>
      <c r="VJ5" s="27"/>
      <c r="VK5" s="27"/>
      <c r="VL5" s="27"/>
      <c r="VM5" s="27"/>
      <c r="VN5" s="27"/>
      <c r="VO5" s="27"/>
      <c r="VP5" s="27"/>
      <c r="VQ5" s="27"/>
      <c r="VR5" s="27"/>
      <c r="VS5" s="27"/>
      <c r="VT5" s="27"/>
      <c r="VU5" s="27"/>
      <c r="VV5" s="27"/>
      <c r="VW5" s="27"/>
      <c r="VX5" s="27"/>
      <c r="VY5" s="27"/>
      <c r="VZ5" s="27"/>
      <c r="WA5" s="27"/>
      <c r="WB5" s="27"/>
      <c r="WC5" s="27"/>
      <c r="WD5" s="27"/>
      <c r="WE5" s="27"/>
      <c r="WF5" s="27"/>
      <c r="WG5" s="27"/>
      <c r="WH5" s="27"/>
      <c r="WI5" s="27"/>
      <c r="WJ5" s="27"/>
      <c r="WK5" s="27"/>
      <c r="WL5" s="27"/>
      <c r="WM5" s="27"/>
      <c r="WN5" s="27"/>
      <c r="WO5" s="27"/>
      <c r="WP5" s="27"/>
      <c r="WQ5" s="27"/>
      <c r="WR5" s="27"/>
      <c r="WS5" s="27"/>
      <c r="WT5" s="27"/>
      <c r="WU5" s="27"/>
      <c r="WV5" s="27"/>
      <c r="WW5" s="27"/>
      <c r="WX5" s="27"/>
      <c r="WY5" s="27"/>
      <c r="WZ5" s="27"/>
      <c r="XA5" s="27"/>
      <c r="XB5" s="27"/>
      <c r="XC5" s="27"/>
      <c r="XD5" s="27"/>
      <c r="XE5" s="27"/>
      <c r="XF5" s="27"/>
      <c r="XG5" s="27"/>
      <c r="XH5" s="27"/>
      <c r="XI5" s="27"/>
      <c r="XJ5" s="27"/>
      <c r="XK5" s="27"/>
      <c r="XL5" s="27"/>
      <c r="XM5" s="27"/>
      <c r="XN5" s="27"/>
      <c r="XO5" s="27"/>
      <c r="XP5" s="27"/>
      <c r="XQ5" s="27"/>
      <c r="XR5" s="27"/>
      <c r="XS5" s="27"/>
      <c r="XT5" s="27"/>
      <c r="XU5" s="27"/>
      <c r="XV5" s="27"/>
      <c r="XW5" s="27"/>
      <c r="XX5" s="27"/>
      <c r="XY5" s="27"/>
      <c r="XZ5" s="27"/>
      <c r="YA5" s="27"/>
      <c r="YB5" s="27"/>
      <c r="YC5" s="27"/>
      <c r="YD5" s="27"/>
      <c r="YE5" s="27"/>
      <c r="YF5" s="27"/>
      <c r="YG5" s="27"/>
      <c r="YH5" s="27"/>
      <c r="YI5" s="27"/>
      <c r="YJ5" s="27"/>
      <c r="YK5" s="27"/>
      <c r="YL5" s="27"/>
      <c r="YM5" s="27"/>
      <c r="YN5" s="27"/>
      <c r="YO5" s="27"/>
      <c r="YP5" s="27"/>
      <c r="YQ5" s="27"/>
      <c r="YR5" s="27"/>
      <c r="YS5" s="27"/>
      <c r="YT5" s="27"/>
      <c r="YU5" s="27"/>
      <c r="YV5" s="27"/>
      <c r="YW5" s="27"/>
      <c r="YX5" s="27"/>
      <c r="YY5" s="27"/>
      <c r="YZ5" s="27"/>
      <c r="ZA5" s="27"/>
      <c r="ZB5" s="27"/>
      <c r="ZC5" s="27"/>
      <c r="ZD5" s="27"/>
      <c r="ZE5" s="27"/>
      <c r="ZF5" s="27"/>
      <c r="ZG5" s="27"/>
      <c r="ZH5" s="27"/>
      <c r="ZI5" s="27"/>
      <c r="ZJ5" s="27"/>
      <c r="ZK5" s="27"/>
      <c r="ZL5" s="27"/>
      <c r="ZM5" s="27"/>
      <c r="ZN5" s="27"/>
      <c r="ZO5" s="27"/>
      <c r="ZP5" s="27"/>
      <c r="ZQ5" s="27"/>
      <c r="ZR5" s="27"/>
      <c r="ZS5" s="27"/>
      <c r="ZT5" s="27"/>
      <c r="ZU5" s="27"/>
      <c r="ZV5" s="27"/>
      <c r="ZW5" s="27"/>
      <c r="ZX5" s="27"/>
      <c r="ZY5" s="27"/>
      <c r="ZZ5" s="27"/>
      <c r="AAA5" s="27"/>
      <c r="AAB5" s="27"/>
      <c r="AAC5" s="27"/>
      <c r="AAD5" s="27"/>
      <c r="AAE5" s="27"/>
      <c r="AAF5" s="27"/>
      <c r="AAG5" s="27"/>
      <c r="AAH5" s="27"/>
      <c r="AAI5" s="27"/>
      <c r="AAJ5" s="27"/>
      <c r="AAK5" s="27"/>
      <c r="AAL5" s="27"/>
      <c r="AAM5" s="27"/>
      <c r="AAN5" s="27"/>
      <c r="AAO5" s="27"/>
      <c r="AAP5" s="27"/>
      <c r="AAQ5" s="27"/>
      <c r="AAR5" s="27"/>
      <c r="AAS5" s="27"/>
      <c r="AAT5" s="27"/>
      <c r="AAU5" s="27"/>
      <c r="AAV5" s="27"/>
      <c r="AAW5" s="27"/>
      <c r="AAX5" s="27"/>
      <c r="AAY5" s="27"/>
      <c r="AAZ5" s="27"/>
      <c r="ABA5" s="27"/>
      <c r="ABB5" s="27"/>
      <c r="ABC5" s="27"/>
      <c r="ABD5" s="27"/>
      <c r="ABE5" s="27"/>
      <c r="ABF5" s="27"/>
      <c r="ABG5" s="27"/>
      <c r="ABH5" s="27"/>
      <c r="ABI5" s="27"/>
      <c r="ABJ5" s="27"/>
      <c r="ABK5" s="27"/>
      <c r="ABL5" s="27"/>
      <c r="ABM5" s="27"/>
      <c r="ABN5" s="27"/>
      <c r="ABO5" s="27"/>
      <c r="ABP5" s="27"/>
      <c r="ABQ5" s="27"/>
      <c r="ABR5" s="27"/>
      <c r="ABS5" s="27"/>
      <c r="ABT5" s="27"/>
      <c r="ABU5" s="27"/>
      <c r="ABV5" s="27"/>
      <c r="ABW5" s="27"/>
      <c r="ABX5" s="27"/>
      <c r="ABY5" s="27"/>
      <c r="ABZ5" s="27"/>
      <c r="ACA5" s="27"/>
      <c r="ACB5" s="27"/>
      <c r="ACC5" s="27"/>
      <c r="ACD5" s="27"/>
      <c r="ACE5" s="27"/>
      <c r="ACF5" s="27"/>
      <c r="ACG5" s="27"/>
      <c r="ACH5" s="27"/>
      <c r="ACI5" s="27"/>
      <c r="ACJ5" s="27"/>
      <c r="ACK5" s="27"/>
      <c r="ACL5" s="27"/>
      <c r="ACM5" s="27"/>
      <c r="ACN5" s="27"/>
      <c r="ACO5" s="27"/>
      <c r="ACP5" s="27"/>
      <c r="ACQ5" s="27"/>
      <c r="ACR5" s="27"/>
      <c r="ACS5" s="27"/>
      <c r="ACT5" s="27"/>
      <c r="ACU5" s="27"/>
      <c r="ACV5" s="27"/>
      <c r="ACW5" s="27"/>
      <c r="ACX5" s="27"/>
      <c r="ACY5" s="27"/>
      <c r="ACZ5" s="27"/>
      <c r="ADA5" s="27"/>
      <c r="ADB5" s="27"/>
      <c r="ADC5" s="27"/>
      <c r="ADD5" s="27"/>
      <c r="ADE5" s="27"/>
      <c r="ADF5" s="27"/>
      <c r="ADG5" s="27"/>
      <c r="ADH5" s="27"/>
      <c r="ADI5" s="27"/>
      <c r="ADJ5" s="27"/>
      <c r="ADK5" s="27"/>
      <c r="ADL5" s="27"/>
      <c r="ADM5" s="27"/>
      <c r="ADN5" s="27"/>
      <c r="ADO5" s="27"/>
      <c r="ADP5" s="27"/>
      <c r="ADQ5" s="27"/>
      <c r="ADR5" s="27"/>
      <c r="ADS5" s="27"/>
      <c r="ADT5" s="27"/>
      <c r="ADU5" s="27"/>
      <c r="ADV5" s="27"/>
      <c r="ADW5" s="27"/>
      <c r="ADX5" s="27"/>
      <c r="ADY5" s="27"/>
      <c r="ADZ5" s="27"/>
      <c r="AEA5" s="27"/>
      <c r="AEB5" s="27"/>
      <c r="AEC5" s="27"/>
      <c r="AED5" s="27"/>
      <c r="AEE5" s="27"/>
      <c r="AEF5" s="27"/>
      <c r="AEG5" s="27"/>
      <c r="AEH5" s="27"/>
      <c r="AEI5" s="27"/>
      <c r="AEJ5" s="27"/>
      <c r="AEK5" s="27"/>
      <c r="AEL5" s="27"/>
      <c r="AEM5" s="27"/>
      <c r="AEN5" s="27"/>
      <c r="AEO5" s="27"/>
      <c r="AEP5" s="27"/>
      <c r="AEQ5" s="27"/>
      <c r="AER5" s="27"/>
      <c r="AES5" s="27"/>
      <c r="AET5" s="27"/>
      <c r="AEU5" s="27"/>
      <c r="AEV5" s="27"/>
      <c r="AEW5" s="27"/>
      <c r="AEX5" s="27"/>
      <c r="AEY5" s="27"/>
      <c r="AEZ5" s="27"/>
      <c r="AFA5" s="27"/>
      <c r="AFB5" s="27"/>
      <c r="AFC5" s="27"/>
      <c r="AFD5" s="27"/>
      <c r="AFE5" s="27"/>
      <c r="AFF5" s="27"/>
      <c r="AFG5" s="27"/>
      <c r="AFH5" s="27"/>
      <c r="AFI5" s="27"/>
      <c r="AFJ5" s="27"/>
      <c r="AFK5" s="27"/>
      <c r="AFL5" s="27"/>
      <c r="AFM5" s="27"/>
      <c r="AFN5" s="27"/>
      <c r="AFO5" s="27"/>
      <c r="AFP5" s="27"/>
      <c r="AFQ5" s="27"/>
      <c r="AFR5" s="27"/>
      <c r="AFS5" s="27"/>
      <c r="AFT5" s="27"/>
      <c r="AFU5" s="27"/>
      <c r="AFV5" s="27"/>
      <c r="AFW5" s="27"/>
      <c r="AFX5" s="27"/>
      <c r="AFY5" s="27"/>
      <c r="AFZ5" s="27"/>
      <c r="AGA5" s="27"/>
      <c r="AGB5" s="27"/>
      <c r="AGC5" s="27"/>
      <c r="AGD5" s="27"/>
      <c r="AGE5" s="27"/>
      <c r="AGF5" s="27"/>
      <c r="AGG5" s="27"/>
      <c r="AGH5" s="27"/>
      <c r="AGI5" s="27"/>
      <c r="AGJ5" s="27"/>
      <c r="AGK5" s="27"/>
      <c r="AGL5" s="27"/>
      <c r="AGM5" s="27"/>
      <c r="AGN5" s="27"/>
      <c r="AGO5" s="27"/>
      <c r="AGP5" s="27"/>
      <c r="AGQ5" s="27"/>
      <c r="AGR5" s="27"/>
      <c r="AGS5" s="27"/>
      <c r="AGT5" s="27"/>
      <c r="AGU5" s="27"/>
      <c r="AGV5" s="27"/>
      <c r="AGW5" s="27"/>
      <c r="AGX5" s="27"/>
      <c r="AGY5" s="27"/>
      <c r="AGZ5" s="27"/>
      <c r="AHA5" s="27"/>
      <c r="AHB5" s="27"/>
      <c r="AHC5" s="27"/>
      <c r="AHD5" s="27"/>
      <c r="AHE5" s="27"/>
      <c r="AHF5" s="27"/>
      <c r="AHG5" s="27"/>
      <c r="AHH5" s="27"/>
      <c r="AHI5" s="27"/>
      <c r="AHJ5" s="27"/>
      <c r="AHK5" s="27"/>
      <c r="AHL5" s="27"/>
      <c r="AHM5" s="27"/>
      <c r="AHN5" s="27"/>
      <c r="AHO5" s="27"/>
      <c r="AHP5" s="27"/>
      <c r="AHQ5" s="27"/>
      <c r="AHR5" s="27"/>
      <c r="AHS5" s="27"/>
      <c r="AHT5" s="27"/>
      <c r="AHU5" s="27"/>
      <c r="AHV5" s="27"/>
      <c r="AHW5" s="27"/>
      <c r="AHX5" s="27"/>
      <c r="AHY5" s="27"/>
      <c r="AHZ5" s="27"/>
      <c r="AIA5" s="27"/>
      <c r="AIB5" s="27"/>
      <c r="AIC5" s="27"/>
      <c r="AID5" s="27"/>
      <c r="AIE5" s="27"/>
      <c r="AIF5" s="27"/>
      <c r="AIG5" s="27"/>
      <c r="AIH5" s="27"/>
      <c r="AII5" s="27"/>
      <c r="AIJ5" s="27"/>
      <c r="AIK5" s="27"/>
      <c r="AIL5" s="27"/>
      <c r="AIM5" s="27"/>
      <c r="AIN5" s="27"/>
      <c r="AIO5" s="27"/>
      <c r="AIP5" s="27"/>
      <c r="AIQ5" s="27"/>
      <c r="AIR5" s="27"/>
      <c r="AIS5" s="27"/>
      <c r="AIT5" s="27"/>
      <c r="AIU5" s="27"/>
      <c r="AIV5" s="27"/>
      <c r="AIW5" s="27"/>
      <c r="AIX5" s="27"/>
      <c r="AIY5" s="27"/>
      <c r="AIZ5" s="27"/>
      <c r="AJA5" s="27"/>
      <c r="AJB5" s="27"/>
      <c r="AJC5" s="27"/>
      <c r="AJD5" s="27"/>
      <c r="AJE5" s="27"/>
      <c r="AJF5" s="27"/>
      <c r="AJG5" s="27"/>
      <c r="AJH5" s="27"/>
      <c r="AJI5" s="27"/>
      <c r="AJJ5" s="27"/>
      <c r="AJK5" s="27"/>
      <c r="AJL5" s="27"/>
      <c r="AJM5" s="27"/>
      <c r="AJN5" s="27"/>
      <c r="AJO5" s="27"/>
      <c r="AJP5" s="27"/>
      <c r="AJQ5" s="27"/>
      <c r="AJR5" s="27"/>
      <c r="AJS5" s="27"/>
      <c r="AJT5" s="27"/>
      <c r="AJU5" s="27"/>
      <c r="AJV5" s="27"/>
      <c r="AJW5" s="27"/>
      <c r="AJX5" s="27"/>
      <c r="AJY5" s="27"/>
      <c r="AJZ5" s="27"/>
      <c r="AKA5" s="27"/>
      <c r="AKB5" s="27"/>
      <c r="AKC5" s="27"/>
      <c r="AKD5" s="27"/>
      <c r="AKE5" s="27"/>
      <c r="AKF5" s="27"/>
      <c r="AKG5" s="27"/>
      <c r="AKH5" s="27"/>
      <c r="AKI5" s="27"/>
      <c r="AKJ5" s="27"/>
      <c r="AKK5" s="27"/>
      <c r="AKL5" s="27"/>
      <c r="AKM5" s="27"/>
      <c r="AKN5" s="27"/>
      <c r="AKO5" s="27"/>
      <c r="AKP5" s="27"/>
      <c r="AKQ5" s="27"/>
      <c r="AKR5" s="27"/>
      <c r="AKS5" s="27"/>
      <c r="AKT5" s="27"/>
      <c r="AKU5" s="27"/>
      <c r="AKV5" s="27"/>
      <c r="AKW5" s="27"/>
      <c r="AKX5" s="27"/>
      <c r="AKY5" s="27"/>
      <c r="AKZ5" s="27"/>
      <c r="ALA5" s="27"/>
      <c r="ALB5" s="27"/>
      <c r="ALC5" s="27"/>
      <c r="ALD5" s="27"/>
      <c r="ALE5" s="27"/>
      <c r="ALF5" s="27"/>
      <c r="ALG5" s="27"/>
      <c r="ALH5" s="27"/>
      <c r="ALI5" s="27"/>
      <c r="ALJ5" s="27"/>
      <c r="ALK5" s="27"/>
      <c r="ALL5" s="27"/>
      <c r="ALM5" s="27"/>
      <c r="ALN5" s="27"/>
      <c r="ALO5" s="27"/>
      <c r="ALP5" s="27"/>
      <c r="ALQ5" s="27"/>
      <c r="ALR5" s="27"/>
      <c r="ALS5" s="27"/>
      <c r="ALT5" s="27"/>
      <c r="ALU5" s="27"/>
      <c r="ALV5" s="27"/>
      <c r="ALW5" s="27"/>
      <c r="ALX5" s="27"/>
      <c r="ALY5" s="27"/>
      <c r="ALZ5" s="27"/>
      <c r="AMA5" s="27"/>
      <c r="AMB5" s="27"/>
      <c r="AMC5" s="27"/>
      <c r="AMD5" s="27"/>
      <c r="AME5" s="27"/>
      <c r="AMF5" s="27"/>
      <c r="AMG5" s="27"/>
      <c r="AMH5" s="27"/>
      <c r="AMI5" s="27"/>
      <c r="AMJ5" s="27"/>
      <c r="AMK5" s="27"/>
      <c r="AML5" s="27"/>
      <c r="AMM5" s="27"/>
      <c r="AMN5" s="27"/>
      <c r="AMO5" s="27"/>
      <c r="AMP5" s="27"/>
      <c r="AMQ5" s="27"/>
      <c r="AMR5" s="27"/>
      <c r="AMS5" s="27"/>
      <c r="AMT5" s="27"/>
      <c r="AMU5" s="27"/>
      <c r="AMV5" s="27"/>
      <c r="AMW5" s="27"/>
      <c r="AMX5" s="27"/>
      <c r="AMY5" s="27"/>
      <c r="AMZ5" s="27"/>
      <c r="ANA5" s="27"/>
      <c r="ANB5" s="27"/>
      <c r="ANC5" s="27"/>
      <c r="AND5" s="27"/>
      <c r="ANE5" s="27"/>
      <c r="ANF5" s="27"/>
      <c r="ANG5" s="27"/>
      <c r="ANH5" s="27"/>
      <c r="ANI5" s="27"/>
      <c r="ANJ5" s="27"/>
      <c r="ANK5" s="27"/>
      <c r="ANL5" s="27"/>
      <c r="ANM5" s="27"/>
      <c r="ANN5" s="27"/>
      <c r="ANO5" s="27"/>
      <c r="ANP5" s="27"/>
      <c r="ANQ5" s="27"/>
      <c r="ANR5" s="27"/>
      <c r="ANS5" s="27"/>
      <c r="ANT5" s="27"/>
      <c r="ANU5" s="27"/>
      <c r="ANV5" s="27"/>
      <c r="ANW5" s="27"/>
      <c r="ANX5" s="27"/>
      <c r="ANY5" s="27"/>
      <c r="ANZ5" s="27"/>
      <c r="AOA5" s="27"/>
      <c r="AOB5" s="27"/>
      <c r="AOC5" s="27"/>
      <c r="AOD5" s="27"/>
      <c r="AOE5" s="27"/>
      <c r="AOF5" s="27"/>
      <c r="AOG5" s="27"/>
      <c r="AOH5" s="27"/>
      <c r="AOI5" s="27"/>
      <c r="AOJ5" s="27"/>
      <c r="AOK5" s="27"/>
      <c r="AOL5" s="27"/>
      <c r="AOM5" s="27"/>
      <c r="AON5" s="27"/>
      <c r="AOO5" s="27"/>
      <c r="AOP5" s="27"/>
      <c r="AOQ5" s="27"/>
      <c r="AOR5" s="27"/>
      <c r="AOS5" s="27"/>
      <c r="AOT5" s="27"/>
      <c r="AOU5" s="27"/>
      <c r="AOV5" s="27"/>
      <c r="AOW5" s="27"/>
      <c r="AOX5" s="27"/>
      <c r="AOY5" s="27"/>
      <c r="AOZ5" s="27"/>
      <c r="APA5" s="27"/>
      <c r="APB5" s="27"/>
      <c r="APC5" s="27"/>
      <c r="APD5" s="27"/>
      <c r="APE5" s="27"/>
      <c r="APF5" s="27"/>
      <c r="APG5" s="27"/>
      <c r="APH5" s="27"/>
      <c r="API5" s="27"/>
      <c r="APJ5" s="27"/>
      <c r="APK5" s="27"/>
      <c r="APL5" s="27"/>
      <c r="APM5" s="27"/>
      <c r="APN5" s="27"/>
      <c r="APO5" s="27"/>
      <c r="APP5" s="27"/>
      <c r="APQ5" s="27"/>
      <c r="APR5" s="27"/>
      <c r="APS5" s="27"/>
      <c r="APT5" s="27"/>
      <c r="APU5" s="27"/>
      <c r="APV5" s="27"/>
      <c r="APW5" s="27"/>
      <c r="APX5" s="27"/>
      <c r="APY5" s="27"/>
      <c r="APZ5" s="27"/>
      <c r="AQA5" s="27"/>
      <c r="AQB5" s="27"/>
      <c r="AQC5" s="27"/>
      <c r="AQD5" s="27"/>
      <c r="AQE5" s="27"/>
      <c r="AQF5" s="27"/>
      <c r="AQG5" s="27"/>
      <c r="AQH5" s="27"/>
      <c r="AQI5" s="27"/>
      <c r="AQJ5" s="27"/>
      <c r="AQK5" s="27"/>
      <c r="AQL5" s="27"/>
      <c r="AQM5" s="27"/>
      <c r="AQN5" s="27"/>
      <c r="AQO5" s="27"/>
      <c r="AQP5" s="27"/>
      <c r="AQQ5" s="27"/>
      <c r="AQR5" s="27"/>
      <c r="AQS5" s="27"/>
      <c r="AQT5" s="27"/>
      <c r="AQU5" s="27"/>
      <c r="AQV5" s="27"/>
      <c r="AQW5" s="27"/>
      <c r="AQX5" s="27"/>
      <c r="AQY5" s="27"/>
      <c r="AQZ5" s="27"/>
      <c r="ARA5" s="27"/>
      <c r="ARB5" s="27"/>
      <c r="ARC5" s="27"/>
      <c r="ARD5" s="27"/>
      <c r="ARE5" s="27"/>
      <c r="ARF5" s="27"/>
      <c r="ARG5" s="27"/>
      <c r="ARH5" s="27"/>
      <c r="ARI5" s="27"/>
      <c r="ARJ5" s="27"/>
      <c r="ARK5" s="27"/>
      <c r="ARL5" s="27"/>
      <c r="ARM5" s="27"/>
      <c r="ARN5" s="27"/>
      <c r="ARO5" s="27"/>
      <c r="ARP5" s="27"/>
      <c r="ARQ5" s="27"/>
      <c r="ARR5" s="27"/>
      <c r="ARS5" s="27"/>
      <c r="ART5" s="27"/>
      <c r="ARU5" s="27"/>
      <c r="ARV5" s="27"/>
      <c r="ARW5" s="27"/>
      <c r="ARX5" s="27"/>
      <c r="ARY5" s="27"/>
      <c r="ARZ5" s="27"/>
      <c r="ASA5" s="27"/>
      <c r="ASB5" s="27"/>
      <c r="ASC5" s="27"/>
      <c r="ASD5" s="27"/>
      <c r="ASE5" s="27"/>
      <c r="ASF5" s="27"/>
      <c r="ASG5" s="27"/>
      <c r="ASH5" s="27"/>
      <c r="ASI5" s="27"/>
      <c r="ASJ5" s="27"/>
      <c r="ASK5" s="27"/>
      <c r="ASL5" s="27"/>
      <c r="ASM5" s="27"/>
      <c r="ASN5" s="27"/>
      <c r="ASO5" s="27"/>
      <c r="ASP5" s="27"/>
      <c r="ASQ5" s="27"/>
      <c r="ASR5" s="27"/>
      <c r="ASS5" s="27"/>
      <c r="AST5" s="27"/>
      <c r="ASU5" s="27"/>
      <c r="ASV5" s="27"/>
      <c r="ASW5" s="27"/>
      <c r="ASX5" s="27"/>
      <c r="ASY5" s="27"/>
      <c r="ASZ5" s="27"/>
      <c r="ATA5" s="27"/>
      <c r="ATB5" s="27"/>
      <c r="ATC5" s="27"/>
      <c r="ATD5" s="27"/>
      <c r="ATE5" s="27"/>
      <c r="ATF5" s="27"/>
      <c r="ATG5" s="27"/>
      <c r="ATH5" s="27"/>
      <c r="ATI5" s="27"/>
      <c r="ATJ5" s="27"/>
      <c r="ATK5" s="27"/>
      <c r="ATL5" s="27"/>
      <c r="ATM5" s="27"/>
      <c r="ATN5" s="27"/>
      <c r="ATO5" s="27"/>
      <c r="ATP5" s="27"/>
      <c r="ATQ5" s="27"/>
      <c r="ATR5" s="27"/>
      <c r="ATS5" s="27"/>
      <c r="ATT5" s="27"/>
      <c r="ATU5" s="27"/>
      <c r="ATV5" s="27"/>
      <c r="ATW5" s="27"/>
      <c r="ATX5" s="27"/>
      <c r="ATY5" s="27"/>
      <c r="ATZ5" s="27"/>
      <c r="AUA5" s="27"/>
      <c r="AUB5" s="27"/>
      <c r="AUC5" s="27"/>
      <c r="AUD5" s="27"/>
      <c r="AUE5" s="27"/>
      <c r="AUF5" s="27"/>
      <c r="AUG5" s="27"/>
      <c r="AUH5" s="27"/>
      <c r="AUI5" s="27"/>
      <c r="AUJ5" s="27"/>
      <c r="AUK5" s="27"/>
      <c r="AUL5" s="27"/>
      <c r="AUM5" s="27"/>
      <c r="AUN5" s="27"/>
      <c r="AUO5" s="27"/>
      <c r="AUP5" s="27"/>
      <c r="AUQ5" s="27"/>
      <c r="AUR5" s="27"/>
      <c r="AUS5" s="27"/>
      <c r="AUT5" s="27"/>
      <c r="AUU5" s="27"/>
      <c r="AUV5" s="27"/>
      <c r="AUW5" s="27"/>
      <c r="AUX5" s="27"/>
      <c r="AUY5" s="27"/>
      <c r="AUZ5" s="27"/>
      <c r="AVA5" s="27"/>
      <c r="AVB5" s="27"/>
      <c r="AVC5" s="27"/>
      <c r="AVD5" s="27"/>
      <c r="AVE5" s="27"/>
      <c r="AVF5" s="27"/>
      <c r="AVG5" s="27"/>
      <c r="AVH5" s="27"/>
      <c r="AVI5" s="27"/>
      <c r="AVJ5" s="27"/>
      <c r="AVK5" s="27"/>
      <c r="AVL5" s="27"/>
      <c r="AVM5" s="27"/>
      <c r="AVN5" s="27"/>
      <c r="AVO5" s="27"/>
      <c r="AVP5" s="27"/>
      <c r="AVQ5" s="27"/>
      <c r="AVR5" s="27"/>
      <c r="AVS5" s="27"/>
      <c r="AVT5" s="27"/>
      <c r="AVU5" s="27"/>
      <c r="AVV5" s="27"/>
      <c r="AVW5" s="27"/>
      <c r="AVX5" s="27"/>
      <c r="AVY5" s="27"/>
      <c r="AVZ5" s="27"/>
      <c r="AWA5" s="27"/>
      <c r="AWB5" s="27"/>
      <c r="AWC5" s="27"/>
      <c r="AWD5" s="27"/>
      <c r="AWE5" s="27"/>
      <c r="AWF5" s="27"/>
      <c r="AWG5" s="27"/>
      <c r="AWH5" s="27"/>
      <c r="AWI5" s="27"/>
      <c r="AWJ5" s="27"/>
      <c r="AWK5" s="27"/>
      <c r="AWL5" s="27"/>
      <c r="AWM5" s="27"/>
      <c r="AWN5" s="27"/>
      <c r="AWO5" s="27"/>
      <c r="AWP5" s="27"/>
      <c r="AWQ5" s="27"/>
      <c r="AWR5" s="27"/>
      <c r="AWS5" s="27"/>
      <c r="AWT5" s="27"/>
      <c r="AWU5" s="27"/>
      <c r="AWV5" s="27"/>
      <c r="AWW5" s="27"/>
      <c r="AWX5" s="27"/>
      <c r="AWY5" s="27"/>
      <c r="AWZ5" s="27"/>
      <c r="AXA5" s="27"/>
      <c r="AXB5" s="27"/>
      <c r="AXC5" s="27"/>
      <c r="AXD5" s="27"/>
      <c r="AXE5" s="27"/>
      <c r="AXF5" s="27"/>
      <c r="AXG5" s="27"/>
      <c r="AXH5" s="27"/>
      <c r="AXI5" s="27"/>
      <c r="AXJ5" s="27"/>
      <c r="AXK5" s="27"/>
      <c r="AXL5" s="27"/>
      <c r="AXM5" s="27"/>
      <c r="AXN5" s="27"/>
      <c r="AXO5" s="27"/>
      <c r="AXP5" s="27"/>
      <c r="AXQ5" s="27"/>
      <c r="AXR5" s="27"/>
      <c r="AXS5" s="27"/>
      <c r="AXT5" s="27"/>
      <c r="AXU5" s="27"/>
      <c r="AXV5" s="27"/>
      <c r="AXW5" s="27"/>
      <c r="AXX5" s="27"/>
      <c r="AXY5" s="27"/>
      <c r="AXZ5" s="27"/>
      <c r="AYA5" s="27"/>
      <c r="AYB5" s="27"/>
      <c r="AYC5" s="27"/>
      <c r="AYD5" s="27"/>
      <c r="AYE5" s="27"/>
      <c r="AYF5" s="27"/>
      <c r="AYG5" s="27"/>
      <c r="AYH5" s="27"/>
      <c r="AYI5" s="27"/>
      <c r="AYJ5" s="27"/>
      <c r="AYK5" s="27"/>
      <c r="AYL5" s="27"/>
      <c r="AYM5" s="27"/>
      <c r="AYN5" s="27"/>
      <c r="AYO5" s="27"/>
      <c r="AYP5" s="27"/>
      <c r="AYQ5" s="27"/>
      <c r="AYR5" s="27"/>
      <c r="AYS5" s="27"/>
      <c r="AYT5" s="27"/>
      <c r="AYU5" s="27"/>
      <c r="AYV5" s="27"/>
      <c r="AYW5" s="27"/>
      <c r="AYX5" s="27"/>
      <c r="AYY5" s="27"/>
      <c r="AYZ5" s="27"/>
      <c r="AZA5" s="27"/>
      <c r="AZB5" s="27"/>
      <c r="AZC5" s="27"/>
      <c r="AZD5" s="27"/>
      <c r="AZE5" s="27"/>
      <c r="AZF5" s="27"/>
      <c r="AZG5" s="27"/>
      <c r="AZH5" s="27"/>
      <c r="AZI5" s="27"/>
      <c r="AZJ5" s="27"/>
      <c r="AZK5" s="27"/>
      <c r="AZL5" s="27"/>
      <c r="AZM5" s="27"/>
      <c r="AZN5" s="27"/>
      <c r="AZO5" s="27"/>
      <c r="AZP5" s="27"/>
      <c r="AZQ5" s="27"/>
      <c r="AZR5" s="27"/>
      <c r="AZS5" s="27"/>
      <c r="AZT5" s="27"/>
      <c r="AZU5" s="27"/>
      <c r="AZV5" s="27"/>
      <c r="AZW5" s="27"/>
      <c r="AZX5" s="27"/>
      <c r="AZY5" s="27"/>
      <c r="AZZ5" s="27"/>
      <c r="BAA5" s="27"/>
      <c r="BAB5" s="27"/>
      <c r="BAC5" s="27"/>
      <c r="BAD5" s="27"/>
      <c r="BAE5" s="27"/>
      <c r="BAF5" s="27"/>
      <c r="BAG5" s="27"/>
      <c r="BAH5" s="27"/>
      <c r="BAI5" s="27"/>
      <c r="BAJ5" s="27"/>
      <c r="BAK5" s="27"/>
      <c r="BAL5" s="27"/>
      <c r="BAM5" s="27"/>
      <c r="BAN5" s="27"/>
      <c r="BAO5" s="27"/>
      <c r="BAP5" s="27"/>
      <c r="BAQ5" s="27"/>
      <c r="BAR5" s="27"/>
      <c r="BAS5" s="27"/>
      <c r="BAT5" s="27"/>
      <c r="BAU5" s="27"/>
      <c r="BAV5" s="27"/>
      <c r="BAW5" s="27"/>
      <c r="BAX5" s="27"/>
      <c r="BAY5" s="27"/>
      <c r="BAZ5" s="27"/>
      <c r="BBA5" s="27"/>
      <c r="BBB5" s="27"/>
      <c r="BBC5" s="27"/>
      <c r="BBD5" s="27"/>
      <c r="BBE5" s="27"/>
      <c r="BBF5" s="27"/>
      <c r="BBG5" s="27"/>
      <c r="BBH5" s="27"/>
      <c r="BBI5" s="27"/>
      <c r="BBJ5" s="27"/>
      <c r="BBK5" s="27"/>
      <c r="BBL5" s="27"/>
      <c r="BBM5" s="27"/>
      <c r="BBN5" s="27"/>
      <c r="BBO5" s="27"/>
      <c r="BBP5" s="27"/>
      <c r="BBQ5" s="27"/>
      <c r="BBR5" s="27"/>
      <c r="BBS5" s="27"/>
      <c r="BBT5" s="27"/>
      <c r="BBU5" s="27"/>
      <c r="BBV5" s="27"/>
      <c r="BBW5" s="27"/>
      <c r="BBX5" s="27"/>
      <c r="BBY5" s="27"/>
      <c r="BBZ5" s="27"/>
      <c r="BCA5" s="27"/>
      <c r="BCB5" s="27"/>
      <c r="BCC5" s="27"/>
      <c r="BCD5" s="27"/>
      <c r="BCE5" s="27"/>
      <c r="BCF5" s="27"/>
      <c r="BCG5" s="27"/>
      <c r="BCH5" s="27"/>
      <c r="BCI5" s="27"/>
      <c r="BCJ5" s="27"/>
      <c r="BCK5" s="27"/>
      <c r="BCL5" s="27"/>
      <c r="BCM5" s="27"/>
      <c r="BCN5" s="27"/>
      <c r="BCO5" s="27"/>
      <c r="BCP5" s="27"/>
      <c r="BCQ5" s="27"/>
      <c r="BCR5" s="27"/>
      <c r="BCS5" s="27"/>
      <c r="BCT5" s="27"/>
      <c r="BCU5" s="27"/>
      <c r="BCV5" s="27"/>
      <c r="BCW5" s="27"/>
      <c r="BCX5" s="27"/>
      <c r="BCY5" s="27"/>
      <c r="BCZ5" s="27"/>
      <c r="BDA5" s="27"/>
      <c r="BDB5" s="27"/>
      <c r="BDC5" s="27"/>
      <c r="BDD5" s="27"/>
      <c r="BDE5" s="27"/>
      <c r="BDF5" s="27"/>
      <c r="BDG5" s="27"/>
      <c r="BDH5" s="27"/>
      <c r="BDI5" s="27"/>
      <c r="BDJ5" s="27"/>
      <c r="BDK5" s="27"/>
      <c r="BDL5" s="27"/>
      <c r="BDM5" s="27"/>
      <c r="BDN5" s="27"/>
      <c r="BDO5" s="27"/>
      <c r="BDP5" s="27"/>
      <c r="BDQ5" s="27"/>
      <c r="BDR5" s="27"/>
      <c r="BDS5" s="27"/>
      <c r="BDT5" s="27"/>
      <c r="BDU5" s="27"/>
      <c r="BDV5" s="27"/>
      <c r="BDW5" s="27"/>
      <c r="BDX5" s="27"/>
      <c r="BDY5" s="27"/>
      <c r="BDZ5" s="27"/>
      <c r="BEA5" s="27"/>
      <c r="BEB5" s="27"/>
      <c r="BEC5" s="27"/>
      <c r="BED5" s="27"/>
      <c r="BEE5" s="27"/>
      <c r="BEF5" s="27"/>
      <c r="BEG5" s="27"/>
      <c r="BEH5" s="27"/>
      <c r="BEI5" s="27"/>
      <c r="BEJ5" s="27"/>
      <c r="BEK5" s="27"/>
      <c r="BEL5" s="27"/>
      <c r="BEM5" s="27"/>
      <c r="BEN5" s="27"/>
      <c r="BEO5" s="27"/>
      <c r="BEP5" s="27"/>
      <c r="BEQ5" s="27"/>
      <c r="BER5" s="27"/>
      <c r="BES5" s="27"/>
      <c r="BET5" s="27"/>
      <c r="BEU5" s="27"/>
      <c r="BEV5" s="27"/>
      <c r="BEW5" s="27"/>
      <c r="BEX5" s="27"/>
      <c r="BEY5" s="27"/>
      <c r="BEZ5" s="27"/>
      <c r="BFA5" s="27"/>
      <c r="BFB5" s="27"/>
      <c r="BFC5" s="27"/>
      <c r="BFD5" s="27"/>
      <c r="BFE5" s="27"/>
      <c r="BFF5" s="27"/>
      <c r="BFG5" s="27"/>
      <c r="BFH5" s="27"/>
      <c r="BFI5" s="27"/>
      <c r="BFJ5" s="27"/>
      <c r="BFK5" s="27"/>
      <c r="BFL5" s="27"/>
      <c r="BFM5" s="27"/>
      <c r="BFN5" s="27"/>
      <c r="BFO5" s="27"/>
      <c r="BFP5" s="27"/>
      <c r="BFQ5" s="27"/>
      <c r="BFR5" s="27"/>
      <c r="BFS5" s="27"/>
      <c r="BFT5" s="27"/>
      <c r="BFU5" s="27"/>
      <c r="BFV5" s="27"/>
      <c r="BFW5" s="27"/>
      <c r="BFX5" s="27"/>
      <c r="BFY5" s="27"/>
      <c r="BFZ5" s="27"/>
      <c r="BGA5" s="27"/>
      <c r="BGB5" s="27"/>
      <c r="BGC5" s="27"/>
      <c r="BGD5" s="27"/>
      <c r="BGE5" s="27"/>
      <c r="BGF5" s="27"/>
      <c r="BGG5" s="27"/>
      <c r="BGH5" s="27"/>
      <c r="BGI5" s="27"/>
      <c r="BGJ5" s="27"/>
      <c r="BGK5" s="27"/>
      <c r="BGL5" s="27"/>
      <c r="BGM5" s="27"/>
      <c r="BGN5" s="27"/>
      <c r="BGO5" s="27"/>
      <c r="BGP5" s="27"/>
      <c r="BGQ5" s="27"/>
      <c r="BGR5" s="27"/>
      <c r="BGS5" s="27"/>
      <c r="BGT5" s="27"/>
      <c r="BGU5" s="27"/>
      <c r="BGV5" s="27"/>
      <c r="BGW5" s="27"/>
      <c r="BGX5" s="27"/>
      <c r="BGY5" s="27"/>
      <c r="BGZ5" s="27"/>
      <c r="BHA5" s="27"/>
      <c r="BHB5" s="27"/>
      <c r="BHC5" s="27"/>
      <c r="BHD5" s="27"/>
      <c r="BHE5" s="27"/>
      <c r="BHF5" s="27"/>
      <c r="BHG5" s="27"/>
      <c r="BHH5" s="27"/>
      <c r="BHI5" s="27"/>
      <c r="BHJ5" s="27"/>
      <c r="BHK5" s="27"/>
      <c r="BHL5" s="27"/>
      <c r="BHM5" s="27"/>
      <c r="BHN5" s="27"/>
      <c r="BHO5" s="27"/>
      <c r="BHP5" s="27"/>
      <c r="BHQ5" s="27"/>
      <c r="BHR5" s="27"/>
      <c r="BHS5" s="27"/>
      <c r="BHT5" s="27"/>
      <c r="BHU5" s="27"/>
      <c r="BHV5" s="27"/>
      <c r="BHW5" s="27"/>
      <c r="BHX5" s="27"/>
      <c r="BHY5" s="27"/>
      <c r="BHZ5" s="27"/>
      <c r="BIA5" s="27"/>
      <c r="BIB5" s="27"/>
      <c r="BIC5" s="27"/>
      <c r="BID5" s="27"/>
      <c r="BIE5" s="27"/>
      <c r="BIF5" s="27"/>
      <c r="BIG5" s="27"/>
      <c r="BIH5" s="27"/>
      <c r="BII5" s="27"/>
      <c r="BIJ5" s="27"/>
      <c r="BIK5" s="27"/>
      <c r="BIL5" s="27"/>
      <c r="BIM5" s="27"/>
      <c r="BIN5" s="27"/>
      <c r="BIO5" s="27"/>
      <c r="BIP5" s="27"/>
      <c r="BIQ5" s="27"/>
      <c r="BIR5" s="27"/>
      <c r="BIS5" s="27"/>
      <c r="BIT5" s="27"/>
      <c r="BIU5" s="27"/>
      <c r="BIV5" s="27"/>
      <c r="BIW5" s="27"/>
      <c r="BIX5" s="27"/>
      <c r="BIY5" s="27"/>
      <c r="BIZ5" s="27"/>
      <c r="BJA5" s="27"/>
      <c r="BJB5" s="27"/>
      <c r="BJC5" s="27"/>
      <c r="BJD5" s="27"/>
      <c r="BJE5" s="27"/>
      <c r="BJF5" s="27"/>
      <c r="BJG5" s="27"/>
      <c r="BJH5" s="27"/>
      <c r="BJI5" s="27"/>
      <c r="BJJ5" s="27"/>
      <c r="BJK5" s="27"/>
      <c r="BJL5" s="27"/>
      <c r="BJM5" s="27"/>
      <c r="BJN5" s="27"/>
      <c r="BJO5" s="27"/>
      <c r="BJP5" s="27"/>
      <c r="BJQ5" s="27"/>
      <c r="BJR5" s="27"/>
      <c r="BJS5" s="27"/>
      <c r="BJT5" s="27"/>
      <c r="BJU5" s="27"/>
      <c r="BJV5" s="27"/>
      <c r="BJW5" s="27"/>
      <c r="BJX5" s="27"/>
      <c r="BJY5" s="27"/>
      <c r="BJZ5" s="27"/>
      <c r="BKA5" s="27"/>
      <c r="BKB5" s="27"/>
      <c r="BKC5" s="27"/>
      <c r="BKD5" s="27"/>
      <c r="BKE5" s="27"/>
      <c r="BKF5" s="27"/>
      <c r="BKG5" s="27"/>
      <c r="BKH5" s="27"/>
      <c r="BKI5" s="27"/>
      <c r="BKJ5" s="27"/>
      <c r="BKK5" s="27"/>
      <c r="BKL5" s="27"/>
      <c r="BKM5" s="27"/>
      <c r="BKN5" s="27"/>
      <c r="BKO5" s="27"/>
      <c r="BKP5" s="27"/>
      <c r="BKQ5" s="27"/>
      <c r="BKR5" s="27"/>
      <c r="BKS5" s="27"/>
      <c r="BKT5" s="27"/>
      <c r="BKU5" s="27"/>
      <c r="BKV5" s="27"/>
      <c r="BKW5" s="27"/>
      <c r="BKX5" s="27"/>
      <c r="BKY5" s="27"/>
      <c r="BKZ5" s="27"/>
      <c r="BLA5" s="27"/>
      <c r="BLB5" s="27"/>
      <c r="BLC5" s="27"/>
      <c r="BLD5" s="27"/>
      <c r="BLE5" s="27"/>
      <c r="BLF5" s="27"/>
      <c r="BLG5" s="27"/>
      <c r="BLH5" s="27"/>
      <c r="BLI5" s="27"/>
      <c r="BLJ5" s="27"/>
      <c r="BLK5" s="27"/>
      <c r="BLL5" s="27"/>
      <c r="BLM5" s="27"/>
      <c r="BLN5" s="27"/>
      <c r="BLO5" s="27"/>
      <c r="BLP5" s="27"/>
      <c r="BLQ5" s="27"/>
      <c r="BLR5" s="27"/>
      <c r="BLS5" s="27"/>
      <c r="BLT5" s="27"/>
      <c r="BLU5" s="27"/>
      <c r="BLV5" s="27"/>
      <c r="BLW5" s="27"/>
      <c r="BLX5" s="27"/>
      <c r="BLY5" s="27"/>
      <c r="BLZ5" s="27"/>
      <c r="BMA5" s="27"/>
      <c r="BMB5" s="27"/>
      <c r="BMC5" s="27"/>
      <c r="BMD5" s="27"/>
      <c r="BME5" s="27"/>
      <c r="BMF5" s="27"/>
      <c r="BMG5" s="27"/>
      <c r="BMH5" s="27"/>
      <c r="BMI5" s="27"/>
      <c r="BMJ5" s="27"/>
      <c r="BMK5" s="27"/>
      <c r="BML5" s="27"/>
      <c r="BMM5" s="27"/>
      <c r="BMN5" s="27"/>
      <c r="BMO5" s="27"/>
      <c r="BMP5" s="27"/>
      <c r="BMQ5" s="27"/>
      <c r="BMR5" s="27"/>
      <c r="BMS5" s="27"/>
      <c r="BMT5" s="27"/>
      <c r="BMU5" s="27"/>
      <c r="BMV5" s="27"/>
      <c r="BMW5" s="27"/>
      <c r="BMX5" s="27"/>
      <c r="BMY5" s="27"/>
      <c r="BMZ5" s="27"/>
      <c r="BNA5" s="27"/>
      <c r="BNB5" s="27"/>
      <c r="BNC5" s="27"/>
      <c r="BND5" s="27"/>
      <c r="BNE5" s="27"/>
      <c r="BNF5" s="27"/>
      <c r="BNG5" s="27"/>
      <c r="BNH5" s="27"/>
      <c r="BNI5" s="27"/>
      <c r="BNJ5" s="27"/>
      <c r="BNK5" s="27"/>
      <c r="BNL5" s="27"/>
      <c r="BNM5" s="27"/>
      <c r="BNN5" s="27"/>
      <c r="BNO5" s="27"/>
      <c r="BNP5" s="27"/>
      <c r="BNQ5" s="27"/>
      <c r="BNR5" s="27"/>
      <c r="BNS5" s="27"/>
      <c r="BNT5" s="27"/>
      <c r="BNU5" s="27"/>
      <c r="BNV5" s="27"/>
      <c r="BNW5" s="27"/>
      <c r="BNX5" s="27"/>
      <c r="BNY5" s="27"/>
      <c r="BNZ5" s="27"/>
      <c r="BOA5" s="27"/>
      <c r="BOB5" s="27"/>
      <c r="BOC5" s="27"/>
      <c r="BOD5" s="27"/>
      <c r="BOE5" s="27"/>
      <c r="BOF5" s="27"/>
      <c r="BOG5" s="27"/>
      <c r="BOH5" s="27"/>
      <c r="BOI5" s="27"/>
      <c r="BOJ5" s="27"/>
      <c r="BOK5" s="27"/>
      <c r="BOL5" s="27"/>
      <c r="BOM5" s="27"/>
      <c r="BON5" s="27"/>
      <c r="BOO5" s="27"/>
      <c r="BOP5" s="27"/>
      <c r="BOQ5" s="27"/>
      <c r="BOR5" s="27"/>
      <c r="BOS5" s="27"/>
      <c r="BOT5" s="27"/>
      <c r="BOU5" s="27"/>
      <c r="BOV5" s="27"/>
      <c r="BOW5" s="27"/>
      <c r="BOX5" s="27"/>
      <c r="BOY5" s="27"/>
      <c r="BOZ5" s="27"/>
      <c r="BPA5" s="27"/>
      <c r="BPB5" s="27"/>
      <c r="BPC5" s="27"/>
      <c r="BPD5" s="27"/>
      <c r="BPE5" s="27"/>
      <c r="BPF5" s="27"/>
      <c r="BPG5" s="27"/>
      <c r="BPH5" s="27"/>
      <c r="BPI5" s="27"/>
      <c r="BPJ5" s="27"/>
      <c r="BPK5" s="27"/>
      <c r="BPL5" s="27"/>
      <c r="BPM5" s="27"/>
      <c r="BPN5" s="27"/>
      <c r="BPO5" s="27"/>
      <c r="BPP5" s="27"/>
      <c r="BPQ5" s="27"/>
      <c r="BPR5" s="27"/>
      <c r="BPS5" s="27"/>
      <c r="BPT5" s="27"/>
      <c r="BPU5" s="27"/>
      <c r="BPV5" s="27"/>
      <c r="BPW5" s="27"/>
      <c r="BPX5" s="27"/>
      <c r="BPY5" s="27"/>
      <c r="BPZ5" s="27"/>
      <c r="BQA5" s="27"/>
      <c r="BQB5" s="27"/>
      <c r="BQC5" s="27"/>
      <c r="BQD5" s="27"/>
      <c r="BQE5" s="27"/>
      <c r="BQF5" s="27"/>
      <c r="BQG5" s="27"/>
      <c r="BQH5" s="27"/>
      <c r="BQI5" s="27"/>
      <c r="BQJ5" s="27"/>
      <c r="BQK5" s="27"/>
      <c r="BQL5" s="27"/>
      <c r="BQM5" s="27"/>
      <c r="BQN5" s="27"/>
      <c r="BQO5" s="27"/>
      <c r="BQP5" s="27"/>
      <c r="BQQ5" s="27"/>
      <c r="BQR5" s="27"/>
      <c r="BQS5" s="27"/>
      <c r="BQT5" s="27"/>
      <c r="BQU5" s="27"/>
      <c r="BQV5" s="27"/>
      <c r="BQW5" s="27"/>
      <c r="BQX5" s="27"/>
      <c r="BQY5" s="27"/>
      <c r="BQZ5" s="27"/>
      <c r="BRA5" s="27"/>
      <c r="BRB5" s="27"/>
      <c r="BRC5" s="27"/>
      <c r="BRD5" s="27"/>
      <c r="BRE5" s="27"/>
      <c r="BRF5" s="27"/>
      <c r="BRG5" s="27"/>
      <c r="BRH5" s="27"/>
      <c r="BRI5" s="27"/>
      <c r="BRJ5" s="27"/>
      <c r="BRK5" s="27"/>
      <c r="BRL5" s="27"/>
      <c r="BRM5" s="27"/>
      <c r="BRN5" s="27"/>
      <c r="BRO5" s="27"/>
      <c r="BRP5" s="27"/>
      <c r="BRQ5" s="27"/>
      <c r="BRR5" s="27"/>
      <c r="BRS5" s="27"/>
      <c r="BRT5" s="27"/>
      <c r="BRU5" s="27"/>
      <c r="BRV5" s="27"/>
      <c r="BRW5" s="27"/>
      <c r="BRX5" s="27"/>
      <c r="BRY5" s="27"/>
      <c r="BRZ5" s="27"/>
      <c r="BSA5" s="27"/>
      <c r="BSB5" s="27"/>
      <c r="BSC5" s="27"/>
      <c r="BSD5" s="27"/>
      <c r="BSE5" s="27"/>
      <c r="BSF5" s="27"/>
      <c r="BSG5" s="27"/>
      <c r="BSH5" s="27"/>
      <c r="BSI5" s="27"/>
      <c r="BSJ5" s="27"/>
      <c r="BSK5" s="27"/>
      <c r="BSL5" s="27"/>
      <c r="BSM5" s="27"/>
      <c r="BSN5" s="27"/>
      <c r="BSO5" s="27"/>
      <c r="BSP5" s="27"/>
      <c r="BSQ5" s="27"/>
      <c r="BSR5" s="27"/>
      <c r="BSS5" s="27"/>
      <c r="BST5" s="27"/>
      <c r="BSU5" s="27"/>
      <c r="BSV5" s="27"/>
      <c r="BSW5" s="27"/>
      <c r="BSX5" s="27"/>
      <c r="BSY5" s="27"/>
      <c r="BSZ5" s="27"/>
      <c r="BTA5" s="27"/>
      <c r="BTB5" s="27"/>
      <c r="BTC5" s="27"/>
      <c r="BTD5" s="27"/>
      <c r="BTE5" s="27"/>
      <c r="BTF5" s="27"/>
      <c r="BTG5" s="27"/>
      <c r="BTH5" s="27"/>
      <c r="BTI5" s="27"/>
      <c r="BTJ5" s="27"/>
      <c r="BTK5" s="27"/>
      <c r="BTL5" s="27"/>
      <c r="BTM5" s="27"/>
      <c r="BTN5" s="27"/>
      <c r="BTO5" s="27"/>
      <c r="BTP5" s="27"/>
      <c r="BTQ5" s="27"/>
      <c r="BTR5" s="27"/>
      <c r="BTS5" s="27"/>
      <c r="BTT5" s="27"/>
      <c r="BTU5" s="27"/>
      <c r="BTV5" s="27"/>
      <c r="BTW5" s="27"/>
      <c r="BTX5" s="27"/>
      <c r="BTY5" s="27"/>
      <c r="BTZ5" s="27"/>
      <c r="BUA5" s="27"/>
      <c r="BUB5" s="27"/>
      <c r="BUC5" s="27"/>
      <c r="BUD5" s="27"/>
      <c r="BUE5" s="27"/>
      <c r="BUF5" s="27"/>
      <c r="BUG5" s="27"/>
      <c r="BUH5" s="27"/>
      <c r="BUI5" s="27"/>
      <c r="BUJ5" s="27"/>
      <c r="BUK5" s="27"/>
      <c r="BUL5" s="27"/>
      <c r="BUM5" s="27"/>
      <c r="BUN5" s="27"/>
      <c r="BUO5" s="27"/>
      <c r="BUP5" s="27"/>
      <c r="BUQ5" s="27"/>
      <c r="BUR5" s="27"/>
      <c r="BUS5" s="27"/>
      <c r="BUT5" s="27"/>
      <c r="BUU5" s="27"/>
      <c r="BUV5" s="27"/>
      <c r="BUW5" s="27"/>
      <c r="BUX5" s="27"/>
      <c r="BUY5" s="27"/>
      <c r="BUZ5" s="27"/>
      <c r="BVA5" s="27"/>
      <c r="BVB5" s="27"/>
      <c r="BVC5" s="27"/>
      <c r="BVD5" s="27"/>
      <c r="BVE5" s="27"/>
      <c r="BVF5" s="27"/>
      <c r="BVG5" s="27"/>
      <c r="BVH5" s="27"/>
      <c r="BVI5" s="27"/>
      <c r="BVJ5" s="27"/>
      <c r="BVK5" s="27"/>
      <c r="BVL5" s="27"/>
      <c r="BVM5" s="27"/>
      <c r="BVN5" s="27"/>
      <c r="BVO5" s="27"/>
      <c r="BVP5" s="27"/>
      <c r="BVQ5" s="27"/>
      <c r="BVR5" s="27"/>
      <c r="BVS5" s="27"/>
      <c r="BVT5" s="27"/>
      <c r="BVU5" s="27"/>
      <c r="BVV5" s="27"/>
      <c r="BVW5" s="27"/>
      <c r="BVX5" s="27"/>
      <c r="BVY5" s="27"/>
      <c r="BVZ5" s="27"/>
      <c r="BWA5" s="27"/>
      <c r="BWB5" s="27"/>
      <c r="BWC5" s="27"/>
      <c r="BWD5" s="27"/>
      <c r="BWE5" s="27"/>
      <c r="BWF5" s="27"/>
      <c r="BWG5" s="27"/>
      <c r="BWH5" s="27"/>
      <c r="BWI5" s="27"/>
      <c r="BWJ5" s="27"/>
    </row>
    <row r="6" spans="1:1960" x14ac:dyDescent="0.25">
      <c r="A6" s="28">
        <v>1</v>
      </c>
      <c r="B6" s="29">
        <v>20</v>
      </c>
      <c r="C6" s="30">
        <f t="array" ref="C6:C29">IF(SchedulingBids&lt;0,$M$80:$M$103,IF($M$80:$M$103="",$M$106,1)*IF(SchedulingBids&gt;=0,$N$80:$N$103,IF($N$80:$N$103="",$N$106,1)))</f>
        <v>1000</v>
      </c>
      <c r="D6" s="31" t="s">
        <v>23</v>
      </c>
      <c r="E6" s="270">
        <f t="array" ref="E6:E1000" ca="1">IF(ISBLANK(MyBids),"",IF(ISNA((MATCH(MyBids,MyDistinctBids,0))),"",IF($B6:$B1000&gt;=0,MATCH(MyBids,MyDistinctBids,0)+1,IF($B6:$B1000&lt;0,MATCH(MyBids,MyDistinctBids,0)-1,MATCH(MyBids,MyDistinctBids,0)))))</f>
        <v>69</v>
      </c>
      <c r="F6" s="267">
        <f t="array" ref="F6:F1000">IF(ISBLANK(MyBids),"",IF(MyBids=MAX(MyTemplate!$N$80:$N$103),MIN(MyTemplate!$M$80:$M$103),IF(MyBids=MIN(MyTemplate!$M$80:$M$103),MAX(MyTemplate!$N$80:$N$103),IF($B$6:$B$1000&gt;=0,MyBids+MyLists!$F$2,MyBids-MyLists!$F$2))))</f>
        <v>-100</v>
      </c>
      <c r="G6" s="247">
        <f t="array" ref="G6:G2001">MergeRanges(MyBids,MyAPP)</f>
        <v>1000</v>
      </c>
      <c r="H6" s="32">
        <f t="array" aca="1" ref="H6:H2001" ca="1">MySort(MyFullBids)</f>
        <v>-500</v>
      </c>
      <c r="I6" s="34">
        <f t="array" aca="1" ref="I6:I1955" ca="1">DistinctValues(MySortedBids)</f>
        <v>-500</v>
      </c>
      <c r="J6" s="35">
        <v>1</v>
      </c>
      <c r="K6" s="36">
        <v>20</v>
      </c>
      <c r="L6" s="37">
        <v>20</v>
      </c>
      <c r="M6" s="37">
        <v>20</v>
      </c>
      <c r="N6" s="37">
        <v>20</v>
      </c>
      <c r="O6" s="37">
        <v>20</v>
      </c>
      <c r="P6" s="37">
        <v>20</v>
      </c>
      <c r="Q6" s="37">
        <v>20</v>
      </c>
      <c r="R6" s="37">
        <v>20</v>
      </c>
      <c r="S6" s="37">
        <v>20</v>
      </c>
      <c r="T6" s="37">
        <v>20</v>
      </c>
      <c r="U6" s="37">
        <v>20</v>
      </c>
      <c r="V6" s="37">
        <v>20</v>
      </c>
      <c r="W6" s="37">
        <v>20</v>
      </c>
      <c r="X6" s="37">
        <v>20</v>
      </c>
      <c r="Y6" s="37">
        <v>20</v>
      </c>
      <c r="Z6" s="37">
        <v>20</v>
      </c>
      <c r="AA6" s="37">
        <v>20</v>
      </c>
      <c r="AB6" s="37">
        <v>20</v>
      </c>
      <c r="AC6" s="37">
        <v>20</v>
      </c>
      <c r="AD6" s="37">
        <v>20</v>
      </c>
      <c r="AE6" s="37">
        <v>20</v>
      </c>
      <c r="AF6" s="37">
        <v>-5</v>
      </c>
      <c r="AG6" s="37">
        <v>-5</v>
      </c>
      <c r="AH6" s="37">
        <v>-5</v>
      </c>
      <c r="AI6" s="37">
        <v>-5</v>
      </c>
      <c r="AJ6" s="37">
        <v>-5</v>
      </c>
      <c r="AK6" s="37">
        <v>-5</v>
      </c>
      <c r="AL6" s="37">
        <v>-5</v>
      </c>
      <c r="AM6" s="37">
        <v>-5</v>
      </c>
      <c r="AN6" s="37">
        <v>-30</v>
      </c>
      <c r="AO6" s="37">
        <v>-30</v>
      </c>
      <c r="AP6" s="37">
        <v>-30</v>
      </c>
      <c r="AQ6" s="37">
        <v>-30</v>
      </c>
      <c r="AR6" s="37">
        <v>-55</v>
      </c>
      <c r="AS6" s="37">
        <v>-55</v>
      </c>
      <c r="AT6" s="37">
        <v>-80</v>
      </c>
      <c r="AU6" s="37">
        <v>-80</v>
      </c>
      <c r="AV6" s="37">
        <v>-105</v>
      </c>
      <c r="AW6" s="37">
        <v>-105</v>
      </c>
      <c r="AX6" s="37">
        <v>-130</v>
      </c>
      <c r="AY6" s="37">
        <v>-130</v>
      </c>
      <c r="AZ6" s="37">
        <v>-130</v>
      </c>
      <c r="BA6" s="37">
        <v>-130</v>
      </c>
      <c r="BB6" s="37">
        <v>-130</v>
      </c>
      <c r="BC6" s="37">
        <v>-130</v>
      </c>
      <c r="BD6" s="37">
        <v>-130</v>
      </c>
      <c r="BE6" s="37">
        <v>-130</v>
      </c>
      <c r="BF6" s="37">
        <v>-130</v>
      </c>
      <c r="BG6" s="37">
        <v>-130</v>
      </c>
      <c r="BH6" s="37">
        <v>-130</v>
      </c>
      <c r="BI6" s="37">
        <v>-130</v>
      </c>
      <c r="BJ6" s="37">
        <v>-130</v>
      </c>
      <c r="BK6" s="37">
        <v>-130</v>
      </c>
      <c r="BL6" s="37">
        <v>-130</v>
      </c>
      <c r="BM6" s="37">
        <v>-130</v>
      </c>
      <c r="BN6" s="37">
        <v>-130</v>
      </c>
      <c r="BO6" s="37">
        <v>-130</v>
      </c>
      <c r="BP6" s="37">
        <v>-130</v>
      </c>
      <c r="BQ6" s="37">
        <v>-130</v>
      </c>
      <c r="BR6" s="37">
        <v>-130</v>
      </c>
      <c r="BS6" s="37">
        <v>-130</v>
      </c>
      <c r="BT6" s="37">
        <v>-130</v>
      </c>
      <c r="BU6" s="37">
        <v>-130</v>
      </c>
      <c r="BV6" s="37">
        <v>-130</v>
      </c>
      <c r="BW6" s="37">
        <v>-130</v>
      </c>
      <c r="BX6" s="37">
        <v>-130</v>
      </c>
      <c r="BY6" s="37">
        <v>-130</v>
      </c>
      <c r="BZ6" s="37">
        <v>-130</v>
      </c>
      <c r="CA6" s="37">
        <v>-150</v>
      </c>
      <c r="CB6" s="37">
        <v>-150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  <c r="AMD6" s="37"/>
      <c r="AME6" s="37"/>
      <c r="AMF6" s="37"/>
      <c r="AMG6" s="37"/>
      <c r="AMH6" s="37"/>
      <c r="AMI6" s="37"/>
      <c r="AMJ6" s="37"/>
      <c r="AMK6" s="37"/>
      <c r="AML6" s="37"/>
      <c r="AMM6" s="37"/>
      <c r="AMN6" s="37"/>
      <c r="AMO6" s="37"/>
      <c r="AMP6" s="37"/>
      <c r="AMQ6" s="37"/>
      <c r="AMR6" s="37"/>
      <c r="AMS6" s="37"/>
      <c r="AMT6" s="37"/>
      <c r="AMU6" s="37"/>
      <c r="AMV6" s="37"/>
      <c r="AMW6" s="37"/>
      <c r="AMX6" s="37"/>
      <c r="AMY6" s="37"/>
      <c r="AMZ6" s="37"/>
      <c r="ANA6" s="37"/>
      <c r="ANB6" s="37"/>
      <c r="ANC6" s="37"/>
      <c r="AND6" s="37"/>
      <c r="ANE6" s="37"/>
      <c r="ANF6" s="37"/>
      <c r="ANG6" s="37"/>
      <c r="ANH6" s="37"/>
      <c r="ANI6" s="37"/>
      <c r="ANJ6" s="37"/>
      <c r="ANK6" s="37"/>
      <c r="ANL6" s="37"/>
      <c r="ANM6" s="37"/>
      <c r="ANN6" s="37"/>
      <c r="ANO6" s="37"/>
      <c r="ANP6" s="37"/>
      <c r="ANQ6" s="37"/>
      <c r="ANR6" s="37"/>
      <c r="ANS6" s="37"/>
      <c r="ANT6" s="37"/>
      <c r="ANU6" s="37"/>
      <c r="ANV6" s="37"/>
      <c r="ANW6" s="37"/>
      <c r="ANX6" s="37"/>
      <c r="ANY6" s="37"/>
      <c r="ANZ6" s="37"/>
      <c r="AOA6" s="37"/>
      <c r="AOB6" s="37"/>
      <c r="AOC6" s="37"/>
      <c r="AOD6" s="37"/>
      <c r="AOE6" s="37"/>
      <c r="AOF6" s="37"/>
      <c r="AOG6" s="37"/>
      <c r="AOH6" s="37"/>
      <c r="AOI6" s="37"/>
      <c r="AOJ6" s="37"/>
      <c r="AOK6" s="37"/>
      <c r="AOL6" s="37"/>
      <c r="AOM6" s="37"/>
      <c r="AON6" s="37"/>
      <c r="AOO6" s="37"/>
      <c r="AOP6" s="37"/>
      <c r="AOQ6" s="37"/>
      <c r="AOR6" s="37"/>
      <c r="AOS6" s="37"/>
      <c r="AOT6" s="37"/>
      <c r="AOU6" s="37"/>
      <c r="AOV6" s="37"/>
      <c r="AOW6" s="37"/>
      <c r="AOX6" s="37"/>
      <c r="AOY6" s="37"/>
      <c r="AOZ6" s="37"/>
      <c r="APA6" s="37"/>
      <c r="APB6" s="37"/>
      <c r="APC6" s="37"/>
      <c r="APD6" s="37"/>
      <c r="APE6" s="37"/>
      <c r="APF6" s="37"/>
      <c r="APG6" s="37"/>
      <c r="APH6" s="37"/>
      <c r="API6" s="37"/>
      <c r="APJ6" s="37"/>
      <c r="APK6" s="37"/>
      <c r="APL6" s="37"/>
      <c r="APM6" s="37"/>
      <c r="APN6" s="37"/>
      <c r="APO6" s="37"/>
      <c r="APP6" s="37"/>
      <c r="APQ6" s="37"/>
      <c r="APR6" s="37"/>
      <c r="APS6" s="37"/>
      <c r="APT6" s="37"/>
      <c r="APU6" s="37"/>
      <c r="APV6" s="37"/>
      <c r="APW6" s="37"/>
      <c r="APX6" s="37"/>
      <c r="APY6" s="37"/>
      <c r="APZ6" s="37"/>
      <c r="AQA6" s="37"/>
      <c r="AQB6" s="37"/>
      <c r="AQC6" s="37"/>
      <c r="AQD6" s="37"/>
      <c r="AQE6" s="37"/>
      <c r="AQF6" s="37"/>
      <c r="AQG6" s="37"/>
      <c r="AQH6" s="37"/>
      <c r="AQI6" s="37"/>
      <c r="AQJ6" s="37"/>
      <c r="AQK6" s="37"/>
      <c r="AQL6" s="37"/>
      <c r="AQM6" s="37"/>
      <c r="AQN6" s="37"/>
      <c r="AQO6" s="37"/>
      <c r="AQP6" s="37"/>
      <c r="AQQ6" s="37"/>
      <c r="AQR6" s="37"/>
      <c r="AQS6" s="37"/>
      <c r="AQT6" s="37"/>
      <c r="AQU6" s="37"/>
      <c r="AQV6" s="37"/>
      <c r="AQW6" s="37"/>
      <c r="AQX6" s="37"/>
      <c r="AQY6" s="37"/>
      <c r="AQZ6" s="37"/>
      <c r="ARA6" s="37"/>
      <c r="ARB6" s="37"/>
      <c r="ARC6" s="37"/>
      <c r="ARD6" s="37"/>
      <c r="ARE6" s="37"/>
      <c r="ARF6" s="37"/>
      <c r="ARG6" s="37"/>
      <c r="ARH6" s="37"/>
      <c r="ARI6" s="37"/>
      <c r="ARJ6" s="37"/>
      <c r="ARK6" s="37"/>
      <c r="ARL6" s="37"/>
      <c r="ARM6" s="37"/>
      <c r="ARN6" s="37"/>
      <c r="ARO6" s="37"/>
      <c r="ARP6" s="37"/>
      <c r="ARQ6" s="37"/>
      <c r="ARR6" s="37"/>
      <c r="ARS6" s="37"/>
      <c r="ART6" s="37"/>
      <c r="ARU6" s="37"/>
      <c r="ARV6" s="37"/>
      <c r="ARW6" s="37"/>
      <c r="ARX6" s="37"/>
      <c r="ARY6" s="37"/>
      <c r="ARZ6" s="37"/>
      <c r="ASA6" s="37"/>
      <c r="ASB6" s="37"/>
      <c r="ASC6" s="37"/>
      <c r="ASD6" s="37"/>
      <c r="ASE6" s="37"/>
      <c r="ASF6" s="37"/>
      <c r="ASG6" s="37"/>
      <c r="ASH6" s="37"/>
      <c r="ASI6" s="37"/>
      <c r="ASJ6" s="37"/>
      <c r="ASK6" s="37"/>
      <c r="ASL6" s="37"/>
      <c r="ASM6" s="37"/>
      <c r="ASN6" s="37"/>
      <c r="ASO6" s="37"/>
      <c r="ASP6" s="37"/>
      <c r="ASQ6" s="37"/>
      <c r="ASR6" s="37"/>
      <c r="ASS6" s="37"/>
      <c r="AST6" s="37"/>
      <c r="ASU6" s="37"/>
      <c r="ASV6" s="37"/>
      <c r="ASW6" s="37"/>
      <c r="ASX6" s="37"/>
      <c r="ASY6" s="37"/>
      <c r="ASZ6" s="37"/>
      <c r="ATA6" s="37"/>
      <c r="ATB6" s="37"/>
      <c r="ATC6" s="37"/>
      <c r="ATD6" s="37"/>
      <c r="ATE6" s="37"/>
      <c r="ATF6" s="37"/>
      <c r="ATG6" s="37"/>
      <c r="ATH6" s="37"/>
      <c r="ATI6" s="37"/>
      <c r="ATJ6" s="37"/>
      <c r="ATK6" s="37"/>
      <c r="ATL6" s="37"/>
      <c r="ATM6" s="37"/>
      <c r="ATN6" s="37"/>
      <c r="ATO6" s="37"/>
      <c r="ATP6" s="37"/>
      <c r="ATQ6" s="37"/>
      <c r="ATR6" s="37"/>
      <c r="ATS6" s="37"/>
      <c r="ATT6" s="37"/>
      <c r="ATU6" s="37"/>
      <c r="ATV6" s="37"/>
      <c r="ATW6" s="37"/>
      <c r="ATX6" s="37"/>
      <c r="ATY6" s="37"/>
      <c r="ATZ6" s="37"/>
      <c r="AUA6" s="37"/>
      <c r="AUB6" s="37"/>
      <c r="AUC6" s="37"/>
      <c r="AUD6" s="37"/>
      <c r="AUE6" s="37"/>
      <c r="AUF6" s="37"/>
      <c r="AUG6" s="37"/>
      <c r="AUH6" s="37"/>
      <c r="AUI6" s="37"/>
      <c r="AUJ6" s="37"/>
      <c r="AUK6" s="37"/>
      <c r="AUL6" s="37"/>
      <c r="AUM6" s="37"/>
      <c r="AUN6" s="37"/>
      <c r="AUO6" s="37"/>
      <c r="AUP6" s="37"/>
      <c r="AUQ6" s="37"/>
      <c r="AUR6" s="37"/>
      <c r="AUS6" s="37"/>
      <c r="AUT6" s="37"/>
      <c r="AUU6" s="37"/>
      <c r="AUV6" s="37"/>
      <c r="AUW6" s="37"/>
      <c r="AUX6" s="37"/>
      <c r="AUY6" s="37"/>
      <c r="AUZ6" s="37"/>
      <c r="AVA6" s="37"/>
      <c r="AVB6" s="37"/>
      <c r="AVC6" s="37"/>
      <c r="AVD6" s="37"/>
      <c r="AVE6" s="37"/>
      <c r="AVF6" s="37"/>
      <c r="AVG6" s="37"/>
      <c r="AVH6" s="37"/>
      <c r="AVI6" s="37"/>
      <c r="AVJ6" s="37"/>
      <c r="AVK6" s="37"/>
      <c r="AVL6" s="37"/>
      <c r="AVM6" s="37"/>
      <c r="AVN6" s="37"/>
      <c r="AVO6" s="37"/>
      <c r="AVP6" s="37"/>
      <c r="AVQ6" s="37"/>
      <c r="AVR6" s="37"/>
      <c r="AVS6" s="37"/>
      <c r="AVT6" s="37"/>
      <c r="AVU6" s="37"/>
      <c r="AVV6" s="37"/>
      <c r="AVW6" s="37"/>
      <c r="AVX6" s="37"/>
      <c r="AVY6" s="37"/>
      <c r="AVZ6" s="37"/>
      <c r="AWA6" s="37"/>
      <c r="AWB6" s="37"/>
      <c r="AWC6" s="37"/>
      <c r="AWD6" s="37"/>
      <c r="AWE6" s="37"/>
      <c r="AWF6" s="37"/>
      <c r="AWG6" s="37"/>
      <c r="AWH6" s="37"/>
      <c r="AWI6" s="37"/>
      <c r="AWJ6" s="37"/>
      <c r="AWK6" s="37"/>
      <c r="AWL6" s="37"/>
      <c r="AWM6" s="37"/>
      <c r="AWN6" s="37"/>
      <c r="AWO6" s="37"/>
      <c r="AWP6" s="37"/>
      <c r="AWQ6" s="37"/>
      <c r="AWR6" s="37"/>
      <c r="AWS6" s="37"/>
      <c r="AWT6" s="37"/>
      <c r="AWU6" s="37"/>
      <c r="AWV6" s="37"/>
      <c r="AWW6" s="37"/>
      <c r="AWX6" s="37"/>
      <c r="AWY6" s="37"/>
      <c r="AWZ6" s="37"/>
      <c r="AXA6" s="37"/>
      <c r="AXB6" s="37"/>
      <c r="AXC6" s="37"/>
      <c r="AXD6" s="37"/>
      <c r="AXE6" s="37"/>
      <c r="AXF6" s="37"/>
      <c r="AXG6" s="37"/>
      <c r="AXH6" s="37"/>
      <c r="AXI6" s="37"/>
      <c r="AXJ6" s="37"/>
      <c r="AXK6" s="37"/>
      <c r="AXL6" s="37"/>
      <c r="AXM6" s="37"/>
      <c r="AXN6" s="37"/>
      <c r="AXO6" s="37"/>
      <c r="AXP6" s="37"/>
      <c r="AXQ6" s="37"/>
      <c r="AXR6" s="37"/>
      <c r="AXS6" s="37"/>
      <c r="AXT6" s="37"/>
      <c r="AXU6" s="37"/>
      <c r="AXV6" s="37"/>
      <c r="AXW6" s="37"/>
      <c r="AXX6" s="37"/>
      <c r="AXY6" s="37"/>
      <c r="AXZ6" s="37"/>
      <c r="AYA6" s="37"/>
      <c r="AYB6" s="37"/>
      <c r="AYC6" s="37"/>
      <c r="AYD6" s="37"/>
      <c r="AYE6" s="37"/>
      <c r="AYF6" s="37"/>
      <c r="AYG6" s="37"/>
      <c r="AYH6" s="37"/>
      <c r="AYI6" s="37"/>
      <c r="AYJ6" s="37"/>
      <c r="AYK6" s="37"/>
      <c r="AYL6" s="37"/>
      <c r="AYM6" s="37"/>
      <c r="AYN6" s="37"/>
      <c r="AYO6" s="37"/>
      <c r="AYP6" s="37"/>
      <c r="AYQ6" s="37"/>
      <c r="AYR6" s="37"/>
      <c r="AYS6" s="37"/>
      <c r="AYT6" s="37"/>
      <c r="AYU6" s="37"/>
      <c r="AYV6" s="37"/>
      <c r="AYW6" s="37"/>
      <c r="AYX6" s="37"/>
      <c r="AYY6" s="37"/>
      <c r="AYZ6" s="37"/>
      <c r="AZA6" s="37"/>
      <c r="AZB6" s="37"/>
      <c r="AZC6" s="37"/>
      <c r="AZD6" s="37"/>
      <c r="AZE6" s="37"/>
      <c r="AZF6" s="37"/>
      <c r="AZG6" s="37"/>
      <c r="AZH6" s="37"/>
      <c r="AZI6" s="37"/>
      <c r="AZJ6" s="37"/>
      <c r="AZK6" s="37"/>
      <c r="AZL6" s="37"/>
      <c r="AZM6" s="37"/>
      <c r="AZN6" s="37"/>
      <c r="AZO6" s="37"/>
      <c r="AZP6" s="37"/>
      <c r="AZQ6" s="37"/>
      <c r="AZR6" s="37"/>
      <c r="AZS6" s="37"/>
      <c r="AZT6" s="37"/>
      <c r="AZU6" s="37"/>
      <c r="AZV6" s="37"/>
      <c r="AZW6" s="37"/>
      <c r="AZX6" s="37"/>
      <c r="AZY6" s="37"/>
      <c r="AZZ6" s="37"/>
      <c r="BAA6" s="37"/>
      <c r="BAB6" s="37"/>
      <c r="BAC6" s="37"/>
      <c r="BAD6" s="37"/>
      <c r="BAE6" s="37"/>
      <c r="BAF6" s="37"/>
      <c r="BAG6" s="37"/>
      <c r="BAH6" s="37"/>
      <c r="BAI6" s="37"/>
      <c r="BAJ6" s="37"/>
      <c r="BAK6" s="37"/>
      <c r="BAL6" s="37"/>
      <c r="BAM6" s="37"/>
      <c r="BAN6" s="37"/>
      <c r="BAO6" s="37"/>
      <c r="BAP6" s="37"/>
      <c r="BAQ6" s="37"/>
      <c r="BAR6" s="37"/>
      <c r="BAS6" s="37"/>
      <c r="BAT6" s="37"/>
      <c r="BAU6" s="37"/>
      <c r="BAV6" s="37"/>
      <c r="BAW6" s="37"/>
      <c r="BAX6" s="37"/>
      <c r="BAY6" s="37"/>
      <c r="BAZ6" s="37"/>
      <c r="BBA6" s="37"/>
      <c r="BBB6" s="37"/>
      <c r="BBC6" s="37"/>
      <c r="BBD6" s="37"/>
      <c r="BBE6" s="37"/>
      <c r="BBF6" s="37"/>
      <c r="BBG6" s="37"/>
      <c r="BBH6" s="37"/>
      <c r="BBI6" s="37"/>
      <c r="BBJ6" s="37"/>
      <c r="BBK6" s="37"/>
      <c r="BBL6" s="37"/>
      <c r="BBM6" s="37"/>
      <c r="BBN6" s="37"/>
      <c r="BBO6" s="37"/>
      <c r="BBP6" s="37"/>
      <c r="BBQ6" s="37"/>
      <c r="BBR6" s="37"/>
      <c r="BBS6" s="37"/>
      <c r="BBT6" s="37"/>
      <c r="BBU6" s="37"/>
      <c r="BBV6" s="37"/>
      <c r="BBW6" s="37"/>
      <c r="BBX6" s="37"/>
      <c r="BBY6" s="37"/>
      <c r="BBZ6" s="37"/>
      <c r="BCA6" s="37"/>
      <c r="BCB6" s="37"/>
      <c r="BCC6" s="37"/>
      <c r="BCD6" s="37"/>
      <c r="BCE6" s="37"/>
      <c r="BCF6" s="37"/>
      <c r="BCG6" s="37"/>
      <c r="BCH6" s="37"/>
      <c r="BCI6" s="37"/>
      <c r="BCJ6" s="37"/>
      <c r="BCK6" s="37"/>
      <c r="BCL6" s="37"/>
      <c r="BCM6" s="37"/>
      <c r="BCN6" s="37"/>
      <c r="BCO6" s="37"/>
      <c r="BCP6" s="37"/>
      <c r="BCQ6" s="37"/>
      <c r="BCR6" s="37"/>
      <c r="BCS6" s="37"/>
      <c r="BCT6" s="37"/>
      <c r="BCU6" s="37"/>
      <c r="BCV6" s="37"/>
      <c r="BCW6" s="37"/>
      <c r="BCX6" s="37"/>
      <c r="BCY6" s="37"/>
      <c r="BCZ6" s="37"/>
      <c r="BDA6" s="37"/>
      <c r="BDB6" s="37"/>
      <c r="BDC6" s="37"/>
      <c r="BDD6" s="37"/>
      <c r="BDE6" s="37"/>
      <c r="BDF6" s="37"/>
      <c r="BDG6" s="37"/>
      <c r="BDH6" s="37"/>
      <c r="BDI6" s="37"/>
      <c r="BDJ6" s="37"/>
      <c r="BDK6" s="37"/>
      <c r="BDL6" s="37"/>
      <c r="BDM6" s="37"/>
      <c r="BDN6" s="37"/>
      <c r="BDO6" s="37"/>
      <c r="BDP6" s="37"/>
      <c r="BDQ6" s="37"/>
      <c r="BDR6" s="37"/>
      <c r="BDS6" s="37"/>
      <c r="BDT6" s="37"/>
      <c r="BDU6" s="37"/>
      <c r="BDV6" s="37"/>
      <c r="BDW6" s="37"/>
      <c r="BDX6" s="37"/>
      <c r="BDY6" s="37"/>
      <c r="BDZ6" s="37"/>
      <c r="BEA6" s="37"/>
      <c r="BEB6" s="37"/>
      <c r="BEC6" s="37"/>
      <c r="BED6" s="37"/>
      <c r="BEE6" s="37"/>
      <c r="BEF6" s="37"/>
      <c r="BEG6" s="37"/>
      <c r="BEH6" s="37"/>
      <c r="BEI6" s="37"/>
      <c r="BEJ6" s="37"/>
      <c r="BEK6" s="37"/>
      <c r="BEL6" s="37"/>
      <c r="BEM6" s="37"/>
      <c r="BEN6" s="37"/>
      <c r="BEO6" s="37"/>
      <c r="BEP6" s="37"/>
      <c r="BEQ6" s="37"/>
      <c r="BER6" s="37"/>
      <c r="BES6" s="37"/>
      <c r="BET6" s="37"/>
      <c r="BEU6" s="37"/>
      <c r="BEV6" s="37"/>
      <c r="BEW6" s="37"/>
      <c r="BEX6" s="37"/>
      <c r="BEY6" s="37"/>
      <c r="BEZ6" s="37"/>
      <c r="BFA6" s="37"/>
      <c r="BFB6" s="37"/>
      <c r="BFC6" s="37"/>
      <c r="BFD6" s="37"/>
      <c r="BFE6" s="37"/>
      <c r="BFF6" s="37"/>
      <c r="BFG6" s="37"/>
      <c r="BFH6" s="37"/>
      <c r="BFI6" s="37"/>
      <c r="BFJ6" s="37"/>
      <c r="BFK6" s="37"/>
      <c r="BFL6" s="37"/>
      <c r="BFM6" s="37"/>
      <c r="BFN6" s="37"/>
      <c r="BFO6" s="37"/>
      <c r="BFP6" s="37"/>
      <c r="BFQ6" s="37"/>
      <c r="BFR6" s="37"/>
      <c r="BFS6" s="37"/>
      <c r="BFT6" s="37"/>
      <c r="BFU6" s="37"/>
      <c r="BFV6" s="37"/>
      <c r="BFW6" s="37"/>
      <c r="BFX6" s="37"/>
      <c r="BFY6" s="37"/>
      <c r="BFZ6" s="37"/>
      <c r="BGA6" s="37"/>
      <c r="BGB6" s="37"/>
      <c r="BGC6" s="37"/>
      <c r="BGD6" s="37"/>
      <c r="BGE6" s="37"/>
      <c r="BGF6" s="37"/>
      <c r="BGG6" s="37"/>
      <c r="BGH6" s="37"/>
      <c r="BGI6" s="37"/>
      <c r="BGJ6" s="37"/>
      <c r="BGK6" s="37"/>
      <c r="BGL6" s="37"/>
      <c r="BGM6" s="37"/>
      <c r="BGN6" s="37"/>
      <c r="BGO6" s="37"/>
      <c r="BGP6" s="37"/>
      <c r="BGQ6" s="37"/>
      <c r="BGR6" s="37"/>
      <c r="BGS6" s="37"/>
      <c r="BGT6" s="37"/>
      <c r="BGU6" s="37"/>
      <c r="BGV6" s="37"/>
      <c r="BGW6" s="37"/>
      <c r="BGX6" s="37"/>
      <c r="BGY6" s="37"/>
      <c r="BGZ6" s="37"/>
      <c r="BHA6" s="37"/>
      <c r="BHB6" s="37"/>
      <c r="BHC6" s="37"/>
      <c r="BHD6" s="37"/>
      <c r="BHE6" s="37"/>
      <c r="BHF6" s="37"/>
      <c r="BHG6" s="37"/>
      <c r="BHH6" s="37"/>
      <c r="BHI6" s="37"/>
      <c r="BHJ6" s="37"/>
      <c r="BHK6" s="37"/>
      <c r="BHL6" s="37"/>
      <c r="BHM6" s="37"/>
      <c r="BHN6" s="37"/>
      <c r="BHO6" s="37"/>
      <c r="BHP6" s="37"/>
      <c r="BHQ6" s="37"/>
      <c r="BHR6" s="37"/>
      <c r="BHS6" s="37"/>
      <c r="BHT6" s="37"/>
      <c r="BHU6" s="37"/>
      <c r="BHV6" s="37"/>
      <c r="BHW6" s="37"/>
      <c r="BHX6" s="37"/>
      <c r="BHY6" s="37"/>
      <c r="BHZ6" s="37"/>
      <c r="BIA6" s="37"/>
      <c r="BIB6" s="37"/>
      <c r="BIC6" s="37"/>
      <c r="BID6" s="37"/>
      <c r="BIE6" s="37"/>
      <c r="BIF6" s="37"/>
      <c r="BIG6" s="37"/>
      <c r="BIH6" s="37"/>
      <c r="BII6" s="37"/>
      <c r="BIJ6" s="37"/>
      <c r="BIK6" s="37"/>
      <c r="BIL6" s="37"/>
      <c r="BIM6" s="37"/>
      <c r="BIN6" s="37"/>
      <c r="BIO6" s="37"/>
      <c r="BIP6" s="37"/>
      <c r="BIQ6" s="37"/>
      <c r="BIR6" s="37"/>
      <c r="BIS6" s="37"/>
      <c r="BIT6" s="37"/>
      <c r="BIU6" s="37"/>
      <c r="BIV6" s="37"/>
      <c r="BIW6" s="37"/>
      <c r="BIX6" s="37"/>
      <c r="BIY6" s="37"/>
      <c r="BIZ6" s="37"/>
      <c r="BJA6" s="37"/>
      <c r="BJB6" s="37"/>
      <c r="BJC6" s="37"/>
      <c r="BJD6" s="37"/>
      <c r="BJE6" s="37"/>
      <c r="BJF6" s="37"/>
      <c r="BJG6" s="37"/>
      <c r="BJH6" s="37"/>
      <c r="BJI6" s="37"/>
      <c r="BJJ6" s="37"/>
      <c r="BJK6" s="37"/>
      <c r="BJL6" s="37"/>
      <c r="BJM6" s="37"/>
      <c r="BJN6" s="37"/>
      <c r="BJO6" s="37"/>
      <c r="BJP6" s="37"/>
      <c r="BJQ6" s="37"/>
      <c r="BJR6" s="37"/>
      <c r="BJS6" s="37"/>
      <c r="BJT6" s="37"/>
      <c r="BJU6" s="37"/>
      <c r="BJV6" s="37"/>
      <c r="BJW6" s="37"/>
      <c r="BJX6" s="37"/>
      <c r="BJY6" s="37"/>
      <c r="BJZ6" s="37"/>
      <c r="BKA6" s="37"/>
      <c r="BKB6" s="37"/>
      <c r="BKC6" s="37"/>
      <c r="BKD6" s="37"/>
      <c r="BKE6" s="37"/>
      <c r="BKF6" s="37"/>
      <c r="BKG6" s="37"/>
      <c r="BKH6" s="37"/>
      <c r="BKI6" s="37"/>
      <c r="BKJ6" s="37"/>
      <c r="BKK6" s="37"/>
      <c r="BKL6" s="37"/>
      <c r="BKM6" s="37"/>
      <c r="BKN6" s="37"/>
      <c r="BKO6" s="37"/>
      <c r="BKP6" s="37"/>
      <c r="BKQ6" s="37"/>
      <c r="BKR6" s="37"/>
      <c r="BKS6" s="37"/>
      <c r="BKT6" s="37"/>
      <c r="BKU6" s="37"/>
      <c r="BKV6" s="37"/>
      <c r="BKW6" s="37"/>
      <c r="BKX6" s="37"/>
      <c r="BKY6" s="37"/>
      <c r="BKZ6" s="37"/>
      <c r="BLA6" s="37"/>
      <c r="BLB6" s="37"/>
      <c r="BLC6" s="37"/>
      <c r="BLD6" s="37"/>
      <c r="BLE6" s="37"/>
      <c r="BLF6" s="37"/>
      <c r="BLG6" s="37"/>
      <c r="BLH6" s="37"/>
      <c r="BLI6" s="37"/>
      <c r="BLJ6" s="37"/>
      <c r="BLK6" s="37"/>
      <c r="BLL6" s="37"/>
      <c r="BLM6" s="37"/>
      <c r="BLN6" s="37"/>
      <c r="BLO6" s="37"/>
      <c r="BLP6" s="37"/>
      <c r="BLQ6" s="37"/>
      <c r="BLR6" s="37"/>
      <c r="BLS6" s="37"/>
      <c r="BLT6" s="37"/>
      <c r="BLU6" s="37"/>
      <c r="BLV6" s="37"/>
      <c r="BLW6" s="37"/>
      <c r="BLX6" s="37"/>
      <c r="BLY6" s="37"/>
      <c r="BLZ6" s="37"/>
      <c r="BMA6" s="37"/>
      <c r="BMB6" s="37"/>
      <c r="BMC6" s="37"/>
      <c r="BMD6" s="37"/>
      <c r="BME6" s="37"/>
      <c r="BMF6" s="37"/>
      <c r="BMG6" s="37"/>
      <c r="BMH6" s="37"/>
      <c r="BMI6" s="37"/>
      <c r="BMJ6" s="37"/>
      <c r="BMK6" s="37"/>
      <c r="BML6" s="37"/>
      <c r="BMM6" s="37"/>
      <c r="BMN6" s="37"/>
      <c r="BMO6" s="37"/>
      <c r="BMP6" s="37"/>
      <c r="BMQ6" s="37"/>
      <c r="BMR6" s="37"/>
      <c r="BMS6" s="37"/>
      <c r="BMT6" s="37"/>
      <c r="BMU6" s="37"/>
      <c r="BMV6" s="37"/>
      <c r="BMW6" s="37"/>
      <c r="BMX6" s="37"/>
      <c r="BMY6" s="37"/>
      <c r="BMZ6" s="37"/>
      <c r="BNA6" s="37"/>
      <c r="BNB6" s="37"/>
      <c r="BNC6" s="37"/>
      <c r="BND6" s="37"/>
      <c r="BNE6" s="37"/>
      <c r="BNF6" s="37"/>
      <c r="BNG6" s="37"/>
      <c r="BNH6" s="37"/>
      <c r="BNI6" s="37"/>
      <c r="BNJ6" s="37"/>
      <c r="BNK6" s="37"/>
      <c r="BNL6" s="37"/>
      <c r="BNM6" s="37"/>
      <c r="BNN6" s="37"/>
      <c r="BNO6" s="37"/>
      <c r="BNP6" s="37"/>
      <c r="BNQ6" s="37"/>
      <c r="BNR6" s="37"/>
      <c r="BNS6" s="37"/>
      <c r="BNT6" s="37"/>
      <c r="BNU6" s="37"/>
      <c r="BNV6" s="37"/>
      <c r="BNW6" s="37"/>
      <c r="BNX6" s="37"/>
      <c r="BNY6" s="37"/>
      <c r="BNZ6" s="37"/>
      <c r="BOA6" s="37"/>
      <c r="BOB6" s="37"/>
      <c r="BOC6" s="37"/>
      <c r="BOD6" s="37"/>
      <c r="BOE6" s="37"/>
      <c r="BOF6" s="37"/>
      <c r="BOG6" s="37"/>
      <c r="BOH6" s="37"/>
      <c r="BOI6" s="37"/>
      <c r="BOJ6" s="37"/>
      <c r="BOK6" s="37"/>
      <c r="BOL6" s="37"/>
      <c r="BOM6" s="37"/>
      <c r="BON6" s="37"/>
      <c r="BOO6" s="37"/>
      <c r="BOP6" s="37"/>
      <c r="BOQ6" s="37"/>
      <c r="BOR6" s="37"/>
      <c r="BOS6" s="37"/>
      <c r="BOT6" s="37"/>
      <c r="BOU6" s="37"/>
      <c r="BOV6" s="37"/>
      <c r="BOW6" s="37"/>
      <c r="BOX6" s="37"/>
      <c r="BOY6" s="37"/>
      <c r="BOZ6" s="37"/>
      <c r="BPA6" s="37"/>
      <c r="BPB6" s="37"/>
      <c r="BPC6" s="37"/>
      <c r="BPD6" s="37"/>
      <c r="BPE6" s="37"/>
      <c r="BPF6" s="37"/>
      <c r="BPG6" s="37"/>
      <c r="BPH6" s="37"/>
      <c r="BPI6" s="37"/>
      <c r="BPJ6" s="37"/>
      <c r="BPK6" s="37"/>
      <c r="BPL6" s="37"/>
      <c r="BPM6" s="37"/>
      <c r="BPN6" s="37"/>
      <c r="BPO6" s="37"/>
      <c r="BPP6" s="37"/>
      <c r="BPQ6" s="37"/>
      <c r="BPR6" s="37"/>
      <c r="BPS6" s="37"/>
      <c r="BPT6" s="37"/>
      <c r="BPU6" s="37"/>
      <c r="BPV6" s="37"/>
      <c r="BPW6" s="37"/>
      <c r="BPX6" s="37"/>
      <c r="BPY6" s="37"/>
      <c r="BPZ6" s="37"/>
      <c r="BQA6" s="37"/>
      <c r="BQB6" s="37"/>
      <c r="BQC6" s="37"/>
      <c r="BQD6" s="37"/>
      <c r="BQE6" s="37"/>
      <c r="BQF6" s="37"/>
      <c r="BQG6" s="37"/>
      <c r="BQH6" s="37"/>
      <c r="BQI6" s="37"/>
      <c r="BQJ6" s="37"/>
      <c r="BQK6" s="37"/>
      <c r="BQL6" s="37"/>
      <c r="BQM6" s="37"/>
      <c r="BQN6" s="37"/>
      <c r="BQO6" s="37"/>
      <c r="BQP6" s="37"/>
      <c r="BQQ6" s="37"/>
      <c r="BQR6" s="37"/>
      <c r="BQS6" s="37"/>
      <c r="BQT6" s="37"/>
      <c r="BQU6" s="37"/>
      <c r="BQV6" s="37"/>
      <c r="BQW6" s="37"/>
      <c r="BQX6" s="37"/>
      <c r="BQY6" s="37"/>
      <c r="BQZ6" s="37"/>
      <c r="BRA6" s="37"/>
      <c r="BRB6" s="37"/>
      <c r="BRC6" s="37"/>
      <c r="BRD6" s="37"/>
      <c r="BRE6" s="37"/>
      <c r="BRF6" s="37"/>
      <c r="BRG6" s="37"/>
      <c r="BRH6" s="37"/>
      <c r="BRI6" s="37"/>
      <c r="BRJ6" s="37"/>
      <c r="BRK6" s="37"/>
      <c r="BRL6" s="37"/>
      <c r="BRM6" s="37"/>
      <c r="BRN6" s="37"/>
      <c r="BRO6" s="37"/>
      <c r="BRP6" s="37"/>
      <c r="BRQ6" s="37"/>
      <c r="BRR6" s="37"/>
      <c r="BRS6" s="37"/>
      <c r="BRT6" s="37"/>
      <c r="BRU6" s="37"/>
      <c r="BRV6" s="37"/>
      <c r="BRW6" s="37"/>
      <c r="BRX6" s="37"/>
      <c r="BRY6" s="37"/>
      <c r="BRZ6" s="37"/>
      <c r="BSA6" s="37"/>
      <c r="BSB6" s="37"/>
      <c r="BSC6" s="37"/>
      <c r="BSD6" s="37"/>
      <c r="BSE6" s="37"/>
      <c r="BSF6" s="37"/>
      <c r="BSG6" s="37"/>
      <c r="BSH6" s="37"/>
      <c r="BSI6" s="37"/>
      <c r="BSJ6" s="37"/>
      <c r="BSK6" s="37"/>
      <c r="BSL6" s="37"/>
      <c r="BSM6" s="37"/>
      <c r="BSN6" s="37"/>
      <c r="BSO6" s="37"/>
      <c r="BSP6" s="37"/>
      <c r="BSQ6" s="37"/>
      <c r="BSR6" s="37"/>
      <c r="BSS6" s="37"/>
      <c r="BST6" s="37"/>
      <c r="BSU6" s="37"/>
      <c r="BSV6" s="37"/>
      <c r="BSW6" s="37"/>
      <c r="BSX6" s="37"/>
      <c r="BSY6" s="37"/>
      <c r="BSZ6" s="37"/>
      <c r="BTA6" s="37"/>
      <c r="BTB6" s="37"/>
      <c r="BTC6" s="37"/>
      <c r="BTD6" s="37"/>
      <c r="BTE6" s="37"/>
      <c r="BTF6" s="37"/>
      <c r="BTG6" s="37"/>
      <c r="BTH6" s="37"/>
      <c r="BTI6" s="37"/>
      <c r="BTJ6" s="37"/>
      <c r="BTK6" s="37"/>
      <c r="BTL6" s="37"/>
      <c r="BTM6" s="37"/>
      <c r="BTN6" s="37"/>
      <c r="BTO6" s="37"/>
      <c r="BTP6" s="37"/>
      <c r="BTQ6" s="37"/>
      <c r="BTR6" s="37"/>
      <c r="BTS6" s="37"/>
      <c r="BTT6" s="37"/>
      <c r="BTU6" s="37"/>
      <c r="BTV6" s="37"/>
      <c r="BTW6" s="37"/>
      <c r="BTX6" s="37"/>
      <c r="BTY6" s="37"/>
      <c r="BTZ6" s="37"/>
      <c r="BUA6" s="37"/>
      <c r="BUB6" s="37"/>
      <c r="BUC6" s="37"/>
      <c r="BUD6" s="37"/>
      <c r="BUE6" s="37"/>
      <c r="BUF6" s="37"/>
      <c r="BUG6" s="37"/>
      <c r="BUH6" s="37"/>
      <c r="BUI6" s="37"/>
      <c r="BUJ6" s="37"/>
      <c r="BUK6" s="37"/>
      <c r="BUL6" s="37"/>
      <c r="BUM6" s="37"/>
      <c r="BUN6" s="37"/>
      <c r="BUO6" s="37"/>
      <c r="BUP6" s="37"/>
      <c r="BUQ6" s="37"/>
      <c r="BUR6" s="37"/>
      <c r="BUS6" s="37"/>
      <c r="BUT6" s="37"/>
      <c r="BUU6" s="37"/>
      <c r="BUV6" s="37"/>
      <c r="BUW6" s="37"/>
      <c r="BUX6" s="37"/>
      <c r="BUY6" s="37"/>
      <c r="BUZ6" s="37"/>
      <c r="BVA6" s="37"/>
      <c r="BVB6" s="37"/>
      <c r="BVC6" s="37"/>
      <c r="BVD6" s="37"/>
      <c r="BVE6" s="37"/>
      <c r="BVF6" s="37"/>
      <c r="BVG6" s="37"/>
      <c r="BVH6" s="37"/>
      <c r="BVI6" s="37"/>
      <c r="BVJ6" s="37"/>
      <c r="BVK6" s="37"/>
      <c r="BVL6" s="37"/>
      <c r="BVM6" s="37"/>
      <c r="BVN6" s="37"/>
      <c r="BVO6" s="37"/>
      <c r="BVP6" s="37"/>
      <c r="BVQ6" s="37"/>
      <c r="BVR6" s="37"/>
      <c r="BVS6" s="37"/>
      <c r="BVT6" s="37"/>
      <c r="BVU6" s="37"/>
      <c r="BVV6" s="37"/>
      <c r="BVW6" s="37"/>
      <c r="BVX6" s="37"/>
      <c r="BVY6" s="37"/>
      <c r="BVZ6" s="37"/>
      <c r="BWA6" s="37"/>
      <c r="BWB6" s="37"/>
      <c r="BWC6" s="37"/>
      <c r="BWD6" s="37"/>
      <c r="BWE6" s="37"/>
      <c r="BWF6" s="37"/>
      <c r="BWG6" s="37"/>
      <c r="BWH6" s="37"/>
      <c r="BWI6" s="37"/>
      <c r="BWJ6" s="37"/>
    </row>
    <row r="7" spans="1:1960" x14ac:dyDescent="0.25">
      <c r="A7" s="38">
        <v>2</v>
      </c>
      <c r="B7" s="39">
        <v>20</v>
      </c>
      <c r="C7" s="40">
        <v>1000</v>
      </c>
      <c r="D7" s="41" t="s">
        <v>23</v>
      </c>
      <c r="E7" s="271">
        <f ca="1"/>
        <v>69</v>
      </c>
      <c r="F7" s="33">
        <v>-100</v>
      </c>
      <c r="G7" s="33">
        <v>1000</v>
      </c>
      <c r="H7" s="43">
        <f ca="1"/>
        <v>-100.1</v>
      </c>
      <c r="I7" s="33">
        <f ca="1"/>
        <v>-100.1</v>
      </c>
      <c r="J7" s="35">
        <v>2</v>
      </c>
      <c r="K7" s="36">
        <v>20</v>
      </c>
      <c r="L7" s="37">
        <v>20</v>
      </c>
      <c r="M7" s="37">
        <v>20</v>
      </c>
      <c r="N7" s="37">
        <v>20</v>
      </c>
      <c r="O7" s="37">
        <v>20</v>
      </c>
      <c r="P7" s="37">
        <v>20</v>
      </c>
      <c r="Q7" s="37">
        <v>20</v>
      </c>
      <c r="R7" s="37">
        <v>20</v>
      </c>
      <c r="S7" s="37">
        <v>20</v>
      </c>
      <c r="T7" s="37">
        <v>20</v>
      </c>
      <c r="U7" s="37">
        <v>20</v>
      </c>
      <c r="V7" s="37">
        <v>20</v>
      </c>
      <c r="W7" s="37">
        <v>20</v>
      </c>
      <c r="X7" s="37">
        <v>20</v>
      </c>
      <c r="Y7" s="37">
        <v>20</v>
      </c>
      <c r="Z7" s="37">
        <v>20</v>
      </c>
      <c r="AA7" s="37">
        <v>20</v>
      </c>
      <c r="AB7" s="37">
        <v>-5</v>
      </c>
      <c r="AC7" s="37">
        <v>-5</v>
      </c>
      <c r="AD7" s="37">
        <v>-30</v>
      </c>
      <c r="AE7" s="37">
        <v>-30</v>
      </c>
      <c r="AF7" s="37">
        <v>-55</v>
      </c>
      <c r="AG7" s="37">
        <v>-55</v>
      </c>
      <c r="AH7" s="37">
        <v>-55</v>
      </c>
      <c r="AI7" s="37">
        <v>-55</v>
      </c>
      <c r="AJ7" s="37">
        <v>-80</v>
      </c>
      <c r="AK7" s="37">
        <v>-80</v>
      </c>
      <c r="AL7" s="37">
        <v>-105</v>
      </c>
      <c r="AM7" s="37">
        <v>-105</v>
      </c>
      <c r="AN7" s="37">
        <v>-130</v>
      </c>
      <c r="AO7" s="37">
        <v>-130</v>
      </c>
      <c r="AP7" s="37">
        <v>-130</v>
      </c>
      <c r="AQ7" s="37">
        <v>-130</v>
      </c>
      <c r="AR7" s="37">
        <v>-130</v>
      </c>
      <c r="AS7" s="37">
        <v>-130</v>
      </c>
      <c r="AT7" s="37">
        <v>-130</v>
      </c>
      <c r="AU7" s="37">
        <v>-130</v>
      </c>
      <c r="AV7" s="37">
        <v>-130</v>
      </c>
      <c r="AW7" s="37">
        <v>-130</v>
      </c>
      <c r="AX7" s="37">
        <v>-130</v>
      </c>
      <c r="AY7" s="37">
        <v>-130</v>
      </c>
      <c r="AZ7" s="37">
        <v>-130</v>
      </c>
      <c r="BA7" s="37">
        <v>-130</v>
      </c>
      <c r="BB7" s="37">
        <v>-130</v>
      </c>
      <c r="BC7" s="37">
        <v>-130</v>
      </c>
      <c r="BD7" s="37">
        <v>-130</v>
      </c>
      <c r="BE7" s="37">
        <v>-130</v>
      </c>
      <c r="BF7" s="37">
        <v>-130</v>
      </c>
      <c r="BG7" s="37">
        <v>-130</v>
      </c>
      <c r="BH7" s="37">
        <v>-130</v>
      </c>
      <c r="BI7" s="37">
        <v>-130</v>
      </c>
      <c r="BJ7" s="37">
        <v>-130</v>
      </c>
      <c r="BK7" s="37">
        <v>-130</v>
      </c>
      <c r="BL7" s="37">
        <v>-130</v>
      </c>
      <c r="BM7" s="37">
        <v>-130</v>
      </c>
      <c r="BN7" s="37">
        <v>-130</v>
      </c>
      <c r="BO7" s="37">
        <v>-130</v>
      </c>
      <c r="BP7" s="37">
        <v>-130</v>
      </c>
      <c r="BQ7" s="37">
        <v>-130</v>
      </c>
      <c r="BR7" s="37">
        <v>-130</v>
      </c>
      <c r="BS7" s="37">
        <v>-130</v>
      </c>
      <c r="BT7" s="37">
        <v>-130</v>
      </c>
      <c r="BU7" s="37">
        <v>-130</v>
      </c>
      <c r="BV7" s="37">
        <v>-130</v>
      </c>
      <c r="BW7" s="37">
        <v>-130</v>
      </c>
      <c r="BX7" s="37">
        <v>-130</v>
      </c>
      <c r="BY7" s="37">
        <v>-130</v>
      </c>
      <c r="BZ7" s="37">
        <v>-130</v>
      </c>
      <c r="CA7" s="37">
        <v>-150</v>
      </c>
      <c r="CB7" s="37">
        <v>-150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  <c r="AMD7" s="37"/>
      <c r="AME7" s="37"/>
      <c r="AMF7" s="37"/>
      <c r="AMG7" s="37"/>
      <c r="AMH7" s="37"/>
      <c r="AMI7" s="37"/>
      <c r="AMJ7" s="37"/>
      <c r="AMK7" s="37"/>
      <c r="AML7" s="37"/>
      <c r="AMM7" s="37"/>
      <c r="AMN7" s="37"/>
      <c r="AMO7" s="37"/>
      <c r="AMP7" s="37"/>
      <c r="AMQ7" s="37"/>
      <c r="AMR7" s="37"/>
      <c r="AMS7" s="37"/>
      <c r="AMT7" s="37"/>
      <c r="AMU7" s="37"/>
      <c r="AMV7" s="37"/>
      <c r="AMW7" s="37"/>
      <c r="AMX7" s="37"/>
      <c r="AMY7" s="37"/>
      <c r="AMZ7" s="37"/>
      <c r="ANA7" s="37"/>
      <c r="ANB7" s="37"/>
      <c r="ANC7" s="37"/>
      <c r="AND7" s="37"/>
      <c r="ANE7" s="37"/>
      <c r="ANF7" s="37"/>
      <c r="ANG7" s="37"/>
      <c r="ANH7" s="37"/>
      <c r="ANI7" s="37"/>
      <c r="ANJ7" s="37"/>
      <c r="ANK7" s="37"/>
      <c r="ANL7" s="37"/>
      <c r="ANM7" s="37"/>
      <c r="ANN7" s="37"/>
      <c r="ANO7" s="37"/>
      <c r="ANP7" s="37"/>
      <c r="ANQ7" s="37"/>
      <c r="ANR7" s="37"/>
      <c r="ANS7" s="37"/>
      <c r="ANT7" s="37"/>
      <c r="ANU7" s="37"/>
      <c r="ANV7" s="37"/>
      <c r="ANW7" s="37"/>
      <c r="ANX7" s="37"/>
      <c r="ANY7" s="37"/>
      <c r="ANZ7" s="37"/>
      <c r="AOA7" s="37"/>
      <c r="AOB7" s="37"/>
      <c r="AOC7" s="37"/>
      <c r="AOD7" s="37"/>
      <c r="AOE7" s="37"/>
      <c r="AOF7" s="37"/>
      <c r="AOG7" s="37"/>
      <c r="AOH7" s="37"/>
      <c r="AOI7" s="37"/>
      <c r="AOJ7" s="37"/>
      <c r="AOK7" s="37"/>
      <c r="AOL7" s="37"/>
      <c r="AOM7" s="37"/>
      <c r="AON7" s="37"/>
      <c r="AOO7" s="37"/>
      <c r="AOP7" s="37"/>
      <c r="AOQ7" s="37"/>
      <c r="AOR7" s="37"/>
      <c r="AOS7" s="37"/>
      <c r="AOT7" s="37"/>
      <c r="AOU7" s="37"/>
      <c r="AOV7" s="37"/>
      <c r="AOW7" s="37"/>
      <c r="AOX7" s="37"/>
      <c r="AOY7" s="37"/>
      <c r="AOZ7" s="37"/>
      <c r="APA7" s="37"/>
      <c r="APB7" s="37"/>
      <c r="APC7" s="37"/>
      <c r="APD7" s="37"/>
      <c r="APE7" s="37"/>
      <c r="APF7" s="37"/>
      <c r="APG7" s="37"/>
      <c r="APH7" s="37"/>
      <c r="API7" s="37"/>
      <c r="APJ7" s="37"/>
      <c r="APK7" s="37"/>
      <c r="APL7" s="37"/>
      <c r="APM7" s="37"/>
      <c r="APN7" s="37"/>
      <c r="APO7" s="37"/>
      <c r="APP7" s="37"/>
      <c r="APQ7" s="37"/>
      <c r="APR7" s="37"/>
      <c r="APS7" s="37"/>
      <c r="APT7" s="37"/>
      <c r="APU7" s="37"/>
      <c r="APV7" s="37"/>
      <c r="APW7" s="37"/>
      <c r="APX7" s="37"/>
      <c r="APY7" s="37"/>
      <c r="APZ7" s="37"/>
      <c r="AQA7" s="37"/>
      <c r="AQB7" s="37"/>
      <c r="AQC7" s="37"/>
      <c r="AQD7" s="37"/>
      <c r="AQE7" s="37"/>
      <c r="AQF7" s="37"/>
      <c r="AQG7" s="37"/>
      <c r="AQH7" s="37"/>
      <c r="AQI7" s="37"/>
      <c r="AQJ7" s="37"/>
      <c r="AQK7" s="37"/>
      <c r="AQL7" s="37"/>
      <c r="AQM7" s="37"/>
      <c r="AQN7" s="37"/>
      <c r="AQO7" s="37"/>
      <c r="AQP7" s="37"/>
      <c r="AQQ7" s="37"/>
      <c r="AQR7" s="37"/>
      <c r="AQS7" s="37"/>
      <c r="AQT7" s="37"/>
      <c r="AQU7" s="37"/>
      <c r="AQV7" s="37"/>
      <c r="AQW7" s="37"/>
      <c r="AQX7" s="37"/>
      <c r="AQY7" s="37"/>
      <c r="AQZ7" s="37"/>
      <c r="ARA7" s="37"/>
      <c r="ARB7" s="37"/>
      <c r="ARC7" s="37"/>
      <c r="ARD7" s="37"/>
      <c r="ARE7" s="37"/>
      <c r="ARF7" s="37"/>
      <c r="ARG7" s="37"/>
      <c r="ARH7" s="37"/>
      <c r="ARI7" s="37"/>
      <c r="ARJ7" s="37"/>
      <c r="ARK7" s="37"/>
      <c r="ARL7" s="37"/>
      <c r="ARM7" s="37"/>
      <c r="ARN7" s="37"/>
      <c r="ARO7" s="37"/>
      <c r="ARP7" s="37"/>
      <c r="ARQ7" s="37"/>
      <c r="ARR7" s="37"/>
      <c r="ARS7" s="37"/>
      <c r="ART7" s="37"/>
      <c r="ARU7" s="37"/>
      <c r="ARV7" s="37"/>
      <c r="ARW7" s="37"/>
      <c r="ARX7" s="37"/>
      <c r="ARY7" s="37"/>
      <c r="ARZ7" s="37"/>
      <c r="ASA7" s="37"/>
      <c r="ASB7" s="37"/>
      <c r="ASC7" s="37"/>
      <c r="ASD7" s="37"/>
      <c r="ASE7" s="37"/>
      <c r="ASF7" s="37"/>
      <c r="ASG7" s="37"/>
      <c r="ASH7" s="37"/>
      <c r="ASI7" s="37"/>
      <c r="ASJ7" s="37"/>
      <c r="ASK7" s="37"/>
      <c r="ASL7" s="37"/>
      <c r="ASM7" s="37"/>
      <c r="ASN7" s="37"/>
      <c r="ASO7" s="37"/>
      <c r="ASP7" s="37"/>
      <c r="ASQ7" s="37"/>
      <c r="ASR7" s="37"/>
      <c r="ASS7" s="37"/>
      <c r="AST7" s="37"/>
      <c r="ASU7" s="37"/>
      <c r="ASV7" s="37"/>
      <c r="ASW7" s="37"/>
      <c r="ASX7" s="37"/>
      <c r="ASY7" s="37"/>
      <c r="ASZ7" s="37"/>
      <c r="ATA7" s="37"/>
      <c r="ATB7" s="37"/>
      <c r="ATC7" s="37"/>
      <c r="ATD7" s="37"/>
      <c r="ATE7" s="37"/>
      <c r="ATF7" s="37"/>
      <c r="ATG7" s="37"/>
      <c r="ATH7" s="37"/>
      <c r="ATI7" s="37"/>
      <c r="ATJ7" s="37"/>
      <c r="ATK7" s="37"/>
      <c r="ATL7" s="37"/>
      <c r="ATM7" s="37"/>
      <c r="ATN7" s="37"/>
      <c r="ATO7" s="37"/>
      <c r="ATP7" s="37"/>
      <c r="ATQ7" s="37"/>
      <c r="ATR7" s="37"/>
      <c r="ATS7" s="37"/>
      <c r="ATT7" s="37"/>
      <c r="ATU7" s="37"/>
      <c r="ATV7" s="37"/>
      <c r="ATW7" s="37"/>
      <c r="ATX7" s="37"/>
      <c r="ATY7" s="37"/>
      <c r="ATZ7" s="37"/>
      <c r="AUA7" s="37"/>
      <c r="AUB7" s="37"/>
      <c r="AUC7" s="37"/>
      <c r="AUD7" s="37"/>
      <c r="AUE7" s="37"/>
      <c r="AUF7" s="37"/>
      <c r="AUG7" s="37"/>
      <c r="AUH7" s="37"/>
      <c r="AUI7" s="37"/>
      <c r="AUJ7" s="37"/>
      <c r="AUK7" s="37"/>
      <c r="AUL7" s="37"/>
      <c r="AUM7" s="37"/>
      <c r="AUN7" s="37"/>
      <c r="AUO7" s="37"/>
      <c r="AUP7" s="37"/>
      <c r="AUQ7" s="37"/>
      <c r="AUR7" s="37"/>
      <c r="AUS7" s="37"/>
      <c r="AUT7" s="37"/>
      <c r="AUU7" s="37"/>
      <c r="AUV7" s="37"/>
      <c r="AUW7" s="37"/>
      <c r="AUX7" s="37"/>
      <c r="AUY7" s="37"/>
      <c r="AUZ7" s="37"/>
      <c r="AVA7" s="37"/>
      <c r="AVB7" s="37"/>
      <c r="AVC7" s="37"/>
      <c r="AVD7" s="37"/>
      <c r="AVE7" s="37"/>
      <c r="AVF7" s="37"/>
      <c r="AVG7" s="37"/>
      <c r="AVH7" s="37"/>
      <c r="AVI7" s="37"/>
      <c r="AVJ7" s="37"/>
      <c r="AVK7" s="37"/>
      <c r="AVL7" s="37"/>
      <c r="AVM7" s="37"/>
      <c r="AVN7" s="37"/>
      <c r="AVO7" s="37"/>
      <c r="AVP7" s="37"/>
      <c r="AVQ7" s="37"/>
      <c r="AVR7" s="37"/>
      <c r="AVS7" s="37"/>
      <c r="AVT7" s="37"/>
      <c r="AVU7" s="37"/>
      <c r="AVV7" s="37"/>
      <c r="AVW7" s="37"/>
      <c r="AVX7" s="37"/>
      <c r="AVY7" s="37"/>
      <c r="AVZ7" s="37"/>
      <c r="AWA7" s="37"/>
      <c r="AWB7" s="37"/>
      <c r="AWC7" s="37"/>
      <c r="AWD7" s="37"/>
      <c r="AWE7" s="37"/>
      <c r="AWF7" s="37"/>
      <c r="AWG7" s="37"/>
      <c r="AWH7" s="37"/>
      <c r="AWI7" s="37"/>
      <c r="AWJ7" s="37"/>
      <c r="AWK7" s="37"/>
      <c r="AWL7" s="37"/>
      <c r="AWM7" s="37"/>
      <c r="AWN7" s="37"/>
      <c r="AWO7" s="37"/>
      <c r="AWP7" s="37"/>
      <c r="AWQ7" s="37"/>
      <c r="AWR7" s="37"/>
      <c r="AWS7" s="37"/>
      <c r="AWT7" s="37"/>
      <c r="AWU7" s="37"/>
      <c r="AWV7" s="37"/>
      <c r="AWW7" s="37"/>
      <c r="AWX7" s="37"/>
      <c r="AWY7" s="37"/>
      <c r="AWZ7" s="37"/>
      <c r="AXA7" s="37"/>
      <c r="AXB7" s="37"/>
      <c r="AXC7" s="37"/>
      <c r="AXD7" s="37"/>
      <c r="AXE7" s="37"/>
      <c r="AXF7" s="37"/>
      <c r="AXG7" s="37"/>
      <c r="AXH7" s="37"/>
      <c r="AXI7" s="37"/>
      <c r="AXJ7" s="37"/>
      <c r="AXK7" s="37"/>
      <c r="AXL7" s="37"/>
      <c r="AXM7" s="37"/>
      <c r="AXN7" s="37"/>
      <c r="AXO7" s="37"/>
      <c r="AXP7" s="37"/>
      <c r="AXQ7" s="37"/>
      <c r="AXR7" s="37"/>
      <c r="AXS7" s="37"/>
      <c r="AXT7" s="37"/>
      <c r="AXU7" s="37"/>
      <c r="AXV7" s="37"/>
      <c r="AXW7" s="37"/>
      <c r="AXX7" s="37"/>
      <c r="AXY7" s="37"/>
      <c r="AXZ7" s="37"/>
      <c r="AYA7" s="37"/>
      <c r="AYB7" s="37"/>
      <c r="AYC7" s="37"/>
      <c r="AYD7" s="37"/>
      <c r="AYE7" s="37"/>
      <c r="AYF7" s="37"/>
      <c r="AYG7" s="37"/>
      <c r="AYH7" s="37"/>
      <c r="AYI7" s="37"/>
      <c r="AYJ7" s="37"/>
      <c r="AYK7" s="37"/>
      <c r="AYL7" s="37"/>
      <c r="AYM7" s="37"/>
      <c r="AYN7" s="37"/>
      <c r="AYO7" s="37"/>
      <c r="AYP7" s="37"/>
      <c r="AYQ7" s="37"/>
      <c r="AYR7" s="37"/>
      <c r="AYS7" s="37"/>
      <c r="AYT7" s="37"/>
      <c r="AYU7" s="37"/>
      <c r="AYV7" s="37"/>
      <c r="AYW7" s="37"/>
      <c r="AYX7" s="37"/>
      <c r="AYY7" s="37"/>
      <c r="AYZ7" s="37"/>
      <c r="AZA7" s="37"/>
      <c r="AZB7" s="37"/>
      <c r="AZC7" s="37"/>
      <c r="AZD7" s="37"/>
      <c r="AZE7" s="37"/>
      <c r="AZF7" s="37"/>
      <c r="AZG7" s="37"/>
      <c r="AZH7" s="37"/>
      <c r="AZI7" s="37"/>
      <c r="AZJ7" s="37"/>
      <c r="AZK7" s="37"/>
      <c r="AZL7" s="37"/>
      <c r="AZM7" s="37"/>
      <c r="AZN7" s="37"/>
      <c r="AZO7" s="37"/>
      <c r="AZP7" s="37"/>
      <c r="AZQ7" s="37"/>
      <c r="AZR7" s="37"/>
      <c r="AZS7" s="37"/>
      <c r="AZT7" s="37"/>
      <c r="AZU7" s="37"/>
      <c r="AZV7" s="37"/>
      <c r="AZW7" s="37"/>
      <c r="AZX7" s="37"/>
      <c r="AZY7" s="37"/>
      <c r="AZZ7" s="37"/>
      <c r="BAA7" s="37"/>
      <c r="BAB7" s="37"/>
      <c r="BAC7" s="37"/>
      <c r="BAD7" s="37"/>
      <c r="BAE7" s="37"/>
      <c r="BAF7" s="37"/>
      <c r="BAG7" s="37"/>
      <c r="BAH7" s="37"/>
      <c r="BAI7" s="37"/>
      <c r="BAJ7" s="37"/>
      <c r="BAK7" s="37"/>
      <c r="BAL7" s="37"/>
      <c r="BAM7" s="37"/>
      <c r="BAN7" s="37"/>
      <c r="BAO7" s="37"/>
      <c r="BAP7" s="37"/>
      <c r="BAQ7" s="37"/>
      <c r="BAR7" s="37"/>
      <c r="BAS7" s="37"/>
      <c r="BAT7" s="37"/>
      <c r="BAU7" s="37"/>
      <c r="BAV7" s="37"/>
      <c r="BAW7" s="37"/>
      <c r="BAX7" s="37"/>
      <c r="BAY7" s="37"/>
      <c r="BAZ7" s="37"/>
      <c r="BBA7" s="37"/>
      <c r="BBB7" s="37"/>
      <c r="BBC7" s="37"/>
      <c r="BBD7" s="37"/>
      <c r="BBE7" s="37"/>
      <c r="BBF7" s="37"/>
      <c r="BBG7" s="37"/>
      <c r="BBH7" s="37"/>
      <c r="BBI7" s="37"/>
      <c r="BBJ7" s="37"/>
      <c r="BBK7" s="37"/>
      <c r="BBL7" s="37"/>
      <c r="BBM7" s="37"/>
      <c r="BBN7" s="37"/>
      <c r="BBO7" s="37"/>
      <c r="BBP7" s="37"/>
      <c r="BBQ7" s="37"/>
      <c r="BBR7" s="37"/>
      <c r="BBS7" s="37"/>
      <c r="BBT7" s="37"/>
      <c r="BBU7" s="37"/>
      <c r="BBV7" s="37"/>
      <c r="BBW7" s="37"/>
      <c r="BBX7" s="37"/>
      <c r="BBY7" s="37"/>
      <c r="BBZ7" s="37"/>
      <c r="BCA7" s="37"/>
      <c r="BCB7" s="37"/>
      <c r="BCC7" s="37"/>
      <c r="BCD7" s="37"/>
      <c r="BCE7" s="37"/>
      <c r="BCF7" s="37"/>
      <c r="BCG7" s="37"/>
      <c r="BCH7" s="37"/>
      <c r="BCI7" s="37"/>
      <c r="BCJ7" s="37"/>
      <c r="BCK7" s="37"/>
      <c r="BCL7" s="37"/>
      <c r="BCM7" s="37"/>
      <c r="BCN7" s="37"/>
      <c r="BCO7" s="37"/>
      <c r="BCP7" s="37"/>
      <c r="BCQ7" s="37"/>
      <c r="BCR7" s="37"/>
      <c r="BCS7" s="37"/>
      <c r="BCT7" s="37"/>
      <c r="BCU7" s="37"/>
      <c r="BCV7" s="37"/>
      <c r="BCW7" s="37"/>
      <c r="BCX7" s="37"/>
      <c r="BCY7" s="37"/>
      <c r="BCZ7" s="37"/>
      <c r="BDA7" s="37"/>
      <c r="BDB7" s="37"/>
      <c r="BDC7" s="37"/>
      <c r="BDD7" s="37"/>
      <c r="BDE7" s="37"/>
      <c r="BDF7" s="37"/>
      <c r="BDG7" s="37"/>
      <c r="BDH7" s="37"/>
      <c r="BDI7" s="37"/>
      <c r="BDJ7" s="37"/>
      <c r="BDK7" s="37"/>
      <c r="BDL7" s="37"/>
      <c r="BDM7" s="37"/>
      <c r="BDN7" s="37"/>
      <c r="BDO7" s="37"/>
      <c r="BDP7" s="37"/>
      <c r="BDQ7" s="37"/>
      <c r="BDR7" s="37"/>
      <c r="BDS7" s="37"/>
      <c r="BDT7" s="37"/>
      <c r="BDU7" s="37"/>
      <c r="BDV7" s="37"/>
      <c r="BDW7" s="37"/>
      <c r="BDX7" s="37"/>
      <c r="BDY7" s="37"/>
      <c r="BDZ7" s="37"/>
      <c r="BEA7" s="37"/>
      <c r="BEB7" s="37"/>
      <c r="BEC7" s="37"/>
      <c r="BED7" s="37"/>
      <c r="BEE7" s="37"/>
      <c r="BEF7" s="37"/>
      <c r="BEG7" s="37"/>
      <c r="BEH7" s="37"/>
      <c r="BEI7" s="37"/>
      <c r="BEJ7" s="37"/>
      <c r="BEK7" s="37"/>
      <c r="BEL7" s="37"/>
      <c r="BEM7" s="37"/>
      <c r="BEN7" s="37"/>
      <c r="BEO7" s="37"/>
      <c r="BEP7" s="37"/>
      <c r="BEQ7" s="37"/>
      <c r="BER7" s="37"/>
      <c r="BES7" s="37"/>
      <c r="BET7" s="37"/>
      <c r="BEU7" s="37"/>
      <c r="BEV7" s="37"/>
      <c r="BEW7" s="37"/>
      <c r="BEX7" s="37"/>
      <c r="BEY7" s="37"/>
      <c r="BEZ7" s="37"/>
      <c r="BFA7" s="37"/>
      <c r="BFB7" s="37"/>
      <c r="BFC7" s="37"/>
      <c r="BFD7" s="37"/>
      <c r="BFE7" s="37"/>
      <c r="BFF7" s="37"/>
      <c r="BFG7" s="37"/>
      <c r="BFH7" s="37"/>
      <c r="BFI7" s="37"/>
      <c r="BFJ7" s="37"/>
      <c r="BFK7" s="37"/>
      <c r="BFL7" s="37"/>
      <c r="BFM7" s="37"/>
      <c r="BFN7" s="37"/>
      <c r="BFO7" s="37"/>
      <c r="BFP7" s="37"/>
      <c r="BFQ7" s="37"/>
      <c r="BFR7" s="37"/>
      <c r="BFS7" s="37"/>
      <c r="BFT7" s="37"/>
      <c r="BFU7" s="37"/>
      <c r="BFV7" s="37"/>
      <c r="BFW7" s="37"/>
      <c r="BFX7" s="37"/>
      <c r="BFY7" s="37"/>
      <c r="BFZ7" s="37"/>
      <c r="BGA7" s="37"/>
      <c r="BGB7" s="37"/>
      <c r="BGC7" s="37"/>
      <c r="BGD7" s="37"/>
      <c r="BGE7" s="37"/>
      <c r="BGF7" s="37"/>
      <c r="BGG7" s="37"/>
      <c r="BGH7" s="37"/>
      <c r="BGI7" s="37"/>
      <c r="BGJ7" s="37"/>
      <c r="BGK7" s="37"/>
      <c r="BGL7" s="37"/>
      <c r="BGM7" s="37"/>
      <c r="BGN7" s="37"/>
      <c r="BGO7" s="37"/>
      <c r="BGP7" s="37"/>
      <c r="BGQ7" s="37"/>
      <c r="BGR7" s="37"/>
      <c r="BGS7" s="37"/>
      <c r="BGT7" s="37"/>
      <c r="BGU7" s="37"/>
      <c r="BGV7" s="37"/>
      <c r="BGW7" s="37"/>
      <c r="BGX7" s="37"/>
      <c r="BGY7" s="37"/>
      <c r="BGZ7" s="37"/>
      <c r="BHA7" s="37"/>
      <c r="BHB7" s="37"/>
      <c r="BHC7" s="37"/>
      <c r="BHD7" s="37"/>
      <c r="BHE7" s="37"/>
      <c r="BHF7" s="37"/>
      <c r="BHG7" s="37"/>
      <c r="BHH7" s="37"/>
      <c r="BHI7" s="37"/>
      <c r="BHJ7" s="37"/>
      <c r="BHK7" s="37"/>
      <c r="BHL7" s="37"/>
      <c r="BHM7" s="37"/>
      <c r="BHN7" s="37"/>
      <c r="BHO7" s="37"/>
      <c r="BHP7" s="37"/>
      <c r="BHQ7" s="37"/>
      <c r="BHR7" s="37"/>
      <c r="BHS7" s="37"/>
      <c r="BHT7" s="37"/>
      <c r="BHU7" s="37"/>
      <c r="BHV7" s="37"/>
      <c r="BHW7" s="37"/>
      <c r="BHX7" s="37"/>
      <c r="BHY7" s="37"/>
      <c r="BHZ7" s="37"/>
      <c r="BIA7" s="37"/>
      <c r="BIB7" s="37"/>
      <c r="BIC7" s="37"/>
      <c r="BID7" s="37"/>
      <c r="BIE7" s="37"/>
      <c r="BIF7" s="37"/>
      <c r="BIG7" s="37"/>
      <c r="BIH7" s="37"/>
      <c r="BII7" s="37"/>
      <c r="BIJ7" s="37"/>
      <c r="BIK7" s="37"/>
      <c r="BIL7" s="37"/>
      <c r="BIM7" s="37"/>
      <c r="BIN7" s="37"/>
      <c r="BIO7" s="37"/>
      <c r="BIP7" s="37"/>
      <c r="BIQ7" s="37"/>
      <c r="BIR7" s="37"/>
      <c r="BIS7" s="37"/>
      <c r="BIT7" s="37"/>
      <c r="BIU7" s="37"/>
      <c r="BIV7" s="37"/>
      <c r="BIW7" s="37"/>
      <c r="BIX7" s="37"/>
      <c r="BIY7" s="37"/>
      <c r="BIZ7" s="37"/>
      <c r="BJA7" s="37"/>
      <c r="BJB7" s="37"/>
      <c r="BJC7" s="37"/>
      <c r="BJD7" s="37"/>
      <c r="BJE7" s="37"/>
      <c r="BJF7" s="37"/>
      <c r="BJG7" s="37"/>
      <c r="BJH7" s="37"/>
      <c r="BJI7" s="37"/>
      <c r="BJJ7" s="37"/>
      <c r="BJK7" s="37"/>
      <c r="BJL7" s="37"/>
      <c r="BJM7" s="37"/>
      <c r="BJN7" s="37"/>
      <c r="BJO7" s="37"/>
      <c r="BJP7" s="37"/>
      <c r="BJQ7" s="37"/>
      <c r="BJR7" s="37"/>
      <c r="BJS7" s="37"/>
      <c r="BJT7" s="37"/>
      <c r="BJU7" s="37"/>
      <c r="BJV7" s="37"/>
      <c r="BJW7" s="37"/>
      <c r="BJX7" s="37"/>
      <c r="BJY7" s="37"/>
      <c r="BJZ7" s="37"/>
      <c r="BKA7" s="37"/>
      <c r="BKB7" s="37"/>
      <c r="BKC7" s="37"/>
      <c r="BKD7" s="37"/>
      <c r="BKE7" s="37"/>
      <c r="BKF7" s="37"/>
      <c r="BKG7" s="37"/>
      <c r="BKH7" s="37"/>
      <c r="BKI7" s="37"/>
      <c r="BKJ7" s="37"/>
      <c r="BKK7" s="37"/>
      <c r="BKL7" s="37"/>
      <c r="BKM7" s="37"/>
      <c r="BKN7" s="37"/>
      <c r="BKO7" s="37"/>
      <c r="BKP7" s="37"/>
      <c r="BKQ7" s="37"/>
      <c r="BKR7" s="37"/>
      <c r="BKS7" s="37"/>
      <c r="BKT7" s="37"/>
      <c r="BKU7" s="37"/>
      <c r="BKV7" s="37"/>
      <c r="BKW7" s="37"/>
      <c r="BKX7" s="37"/>
      <c r="BKY7" s="37"/>
      <c r="BKZ7" s="37"/>
      <c r="BLA7" s="37"/>
      <c r="BLB7" s="37"/>
      <c r="BLC7" s="37"/>
      <c r="BLD7" s="37"/>
      <c r="BLE7" s="37"/>
      <c r="BLF7" s="37"/>
      <c r="BLG7" s="37"/>
      <c r="BLH7" s="37"/>
      <c r="BLI7" s="37"/>
      <c r="BLJ7" s="37"/>
      <c r="BLK7" s="37"/>
      <c r="BLL7" s="37"/>
      <c r="BLM7" s="37"/>
      <c r="BLN7" s="37"/>
      <c r="BLO7" s="37"/>
      <c r="BLP7" s="37"/>
      <c r="BLQ7" s="37"/>
      <c r="BLR7" s="37"/>
      <c r="BLS7" s="37"/>
      <c r="BLT7" s="37"/>
      <c r="BLU7" s="37"/>
      <c r="BLV7" s="37"/>
      <c r="BLW7" s="37"/>
      <c r="BLX7" s="37"/>
      <c r="BLY7" s="37"/>
      <c r="BLZ7" s="37"/>
      <c r="BMA7" s="37"/>
      <c r="BMB7" s="37"/>
      <c r="BMC7" s="37"/>
      <c r="BMD7" s="37"/>
      <c r="BME7" s="37"/>
      <c r="BMF7" s="37"/>
      <c r="BMG7" s="37"/>
      <c r="BMH7" s="37"/>
      <c r="BMI7" s="37"/>
      <c r="BMJ7" s="37"/>
      <c r="BMK7" s="37"/>
      <c r="BML7" s="37"/>
      <c r="BMM7" s="37"/>
      <c r="BMN7" s="37"/>
      <c r="BMO7" s="37"/>
      <c r="BMP7" s="37"/>
      <c r="BMQ7" s="37"/>
      <c r="BMR7" s="37"/>
      <c r="BMS7" s="37"/>
      <c r="BMT7" s="37"/>
      <c r="BMU7" s="37"/>
      <c r="BMV7" s="37"/>
      <c r="BMW7" s="37"/>
      <c r="BMX7" s="37"/>
      <c r="BMY7" s="37"/>
      <c r="BMZ7" s="37"/>
      <c r="BNA7" s="37"/>
      <c r="BNB7" s="37"/>
      <c r="BNC7" s="37"/>
      <c r="BND7" s="37"/>
      <c r="BNE7" s="37"/>
      <c r="BNF7" s="37"/>
      <c r="BNG7" s="37"/>
      <c r="BNH7" s="37"/>
      <c r="BNI7" s="37"/>
      <c r="BNJ7" s="37"/>
      <c r="BNK7" s="37"/>
      <c r="BNL7" s="37"/>
      <c r="BNM7" s="37"/>
      <c r="BNN7" s="37"/>
      <c r="BNO7" s="37"/>
      <c r="BNP7" s="37"/>
      <c r="BNQ7" s="37"/>
      <c r="BNR7" s="37"/>
      <c r="BNS7" s="37"/>
      <c r="BNT7" s="37"/>
      <c r="BNU7" s="37"/>
      <c r="BNV7" s="37"/>
      <c r="BNW7" s="37"/>
      <c r="BNX7" s="37"/>
      <c r="BNY7" s="37"/>
      <c r="BNZ7" s="37"/>
      <c r="BOA7" s="37"/>
      <c r="BOB7" s="37"/>
      <c r="BOC7" s="37"/>
      <c r="BOD7" s="37"/>
      <c r="BOE7" s="37"/>
      <c r="BOF7" s="37"/>
      <c r="BOG7" s="37"/>
      <c r="BOH7" s="37"/>
      <c r="BOI7" s="37"/>
      <c r="BOJ7" s="37"/>
      <c r="BOK7" s="37"/>
      <c r="BOL7" s="37"/>
      <c r="BOM7" s="37"/>
      <c r="BON7" s="37"/>
      <c r="BOO7" s="37"/>
      <c r="BOP7" s="37"/>
      <c r="BOQ7" s="37"/>
      <c r="BOR7" s="37"/>
      <c r="BOS7" s="37"/>
      <c r="BOT7" s="37"/>
      <c r="BOU7" s="37"/>
      <c r="BOV7" s="37"/>
      <c r="BOW7" s="37"/>
      <c r="BOX7" s="37"/>
      <c r="BOY7" s="37"/>
      <c r="BOZ7" s="37"/>
      <c r="BPA7" s="37"/>
      <c r="BPB7" s="37"/>
      <c r="BPC7" s="37"/>
      <c r="BPD7" s="37"/>
      <c r="BPE7" s="37"/>
      <c r="BPF7" s="37"/>
      <c r="BPG7" s="37"/>
      <c r="BPH7" s="37"/>
      <c r="BPI7" s="37"/>
      <c r="BPJ7" s="37"/>
      <c r="BPK7" s="37"/>
      <c r="BPL7" s="37"/>
      <c r="BPM7" s="37"/>
      <c r="BPN7" s="37"/>
      <c r="BPO7" s="37"/>
      <c r="BPP7" s="37"/>
      <c r="BPQ7" s="37"/>
      <c r="BPR7" s="37"/>
      <c r="BPS7" s="37"/>
      <c r="BPT7" s="37"/>
      <c r="BPU7" s="37"/>
      <c r="BPV7" s="37"/>
      <c r="BPW7" s="37"/>
      <c r="BPX7" s="37"/>
      <c r="BPY7" s="37"/>
      <c r="BPZ7" s="37"/>
      <c r="BQA7" s="37"/>
      <c r="BQB7" s="37"/>
      <c r="BQC7" s="37"/>
      <c r="BQD7" s="37"/>
      <c r="BQE7" s="37"/>
      <c r="BQF7" s="37"/>
      <c r="BQG7" s="37"/>
      <c r="BQH7" s="37"/>
      <c r="BQI7" s="37"/>
      <c r="BQJ7" s="37"/>
      <c r="BQK7" s="37"/>
      <c r="BQL7" s="37"/>
      <c r="BQM7" s="37"/>
      <c r="BQN7" s="37"/>
      <c r="BQO7" s="37"/>
      <c r="BQP7" s="37"/>
      <c r="BQQ7" s="37"/>
      <c r="BQR7" s="37"/>
      <c r="BQS7" s="37"/>
      <c r="BQT7" s="37"/>
      <c r="BQU7" s="37"/>
      <c r="BQV7" s="37"/>
      <c r="BQW7" s="37"/>
      <c r="BQX7" s="37"/>
      <c r="BQY7" s="37"/>
      <c r="BQZ7" s="37"/>
      <c r="BRA7" s="37"/>
      <c r="BRB7" s="37"/>
      <c r="BRC7" s="37"/>
      <c r="BRD7" s="37"/>
      <c r="BRE7" s="37"/>
      <c r="BRF7" s="37"/>
      <c r="BRG7" s="37"/>
      <c r="BRH7" s="37"/>
      <c r="BRI7" s="37"/>
      <c r="BRJ7" s="37"/>
      <c r="BRK7" s="37"/>
      <c r="BRL7" s="37"/>
      <c r="BRM7" s="37"/>
      <c r="BRN7" s="37"/>
      <c r="BRO7" s="37"/>
      <c r="BRP7" s="37"/>
      <c r="BRQ7" s="37"/>
      <c r="BRR7" s="37"/>
      <c r="BRS7" s="37"/>
      <c r="BRT7" s="37"/>
      <c r="BRU7" s="37"/>
      <c r="BRV7" s="37"/>
      <c r="BRW7" s="37"/>
      <c r="BRX7" s="37"/>
      <c r="BRY7" s="37"/>
      <c r="BRZ7" s="37"/>
      <c r="BSA7" s="37"/>
      <c r="BSB7" s="37"/>
      <c r="BSC7" s="37"/>
      <c r="BSD7" s="37"/>
      <c r="BSE7" s="37"/>
      <c r="BSF7" s="37"/>
      <c r="BSG7" s="37"/>
      <c r="BSH7" s="37"/>
      <c r="BSI7" s="37"/>
      <c r="BSJ7" s="37"/>
      <c r="BSK7" s="37"/>
      <c r="BSL7" s="37"/>
      <c r="BSM7" s="37"/>
      <c r="BSN7" s="37"/>
      <c r="BSO7" s="37"/>
      <c r="BSP7" s="37"/>
      <c r="BSQ7" s="37"/>
      <c r="BSR7" s="37"/>
      <c r="BSS7" s="37"/>
      <c r="BST7" s="37"/>
      <c r="BSU7" s="37"/>
      <c r="BSV7" s="37"/>
      <c r="BSW7" s="37"/>
      <c r="BSX7" s="37"/>
      <c r="BSY7" s="37"/>
      <c r="BSZ7" s="37"/>
      <c r="BTA7" s="37"/>
      <c r="BTB7" s="37"/>
      <c r="BTC7" s="37"/>
      <c r="BTD7" s="37"/>
      <c r="BTE7" s="37"/>
      <c r="BTF7" s="37"/>
      <c r="BTG7" s="37"/>
      <c r="BTH7" s="37"/>
      <c r="BTI7" s="37"/>
      <c r="BTJ7" s="37"/>
      <c r="BTK7" s="37"/>
      <c r="BTL7" s="37"/>
      <c r="BTM7" s="37"/>
      <c r="BTN7" s="37"/>
      <c r="BTO7" s="37"/>
      <c r="BTP7" s="37"/>
      <c r="BTQ7" s="37"/>
      <c r="BTR7" s="37"/>
      <c r="BTS7" s="37"/>
      <c r="BTT7" s="37"/>
      <c r="BTU7" s="37"/>
      <c r="BTV7" s="37"/>
      <c r="BTW7" s="37"/>
      <c r="BTX7" s="37"/>
      <c r="BTY7" s="37"/>
      <c r="BTZ7" s="37"/>
      <c r="BUA7" s="37"/>
      <c r="BUB7" s="37"/>
      <c r="BUC7" s="37"/>
      <c r="BUD7" s="37"/>
      <c r="BUE7" s="37"/>
      <c r="BUF7" s="37"/>
      <c r="BUG7" s="37"/>
      <c r="BUH7" s="37"/>
      <c r="BUI7" s="37"/>
      <c r="BUJ7" s="37"/>
      <c r="BUK7" s="37"/>
      <c r="BUL7" s="37"/>
      <c r="BUM7" s="37"/>
      <c r="BUN7" s="37"/>
      <c r="BUO7" s="37"/>
      <c r="BUP7" s="37"/>
      <c r="BUQ7" s="37"/>
      <c r="BUR7" s="37"/>
      <c r="BUS7" s="37"/>
      <c r="BUT7" s="37"/>
      <c r="BUU7" s="37"/>
      <c r="BUV7" s="37"/>
      <c r="BUW7" s="37"/>
      <c r="BUX7" s="37"/>
      <c r="BUY7" s="37"/>
      <c r="BUZ7" s="37"/>
      <c r="BVA7" s="37"/>
      <c r="BVB7" s="37"/>
      <c r="BVC7" s="37"/>
      <c r="BVD7" s="37"/>
      <c r="BVE7" s="37"/>
      <c r="BVF7" s="37"/>
      <c r="BVG7" s="37"/>
      <c r="BVH7" s="37"/>
      <c r="BVI7" s="37"/>
      <c r="BVJ7" s="37"/>
      <c r="BVK7" s="37"/>
      <c r="BVL7" s="37"/>
      <c r="BVM7" s="37"/>
      <c r="BVN7" s="37"/>
      <c r="BVO7" s="37"/>
      <c r="BVP7" s="37"/>
      <c r="BVQ7" s="37"/>
      <c r="BVR7" s="37"/>
      <c r="BVS7" s="37"/>
      <c r="BVT7" s="37"/>
      <c r="BVU7" s="37"/>
      <c r="BVV7" s="37"/>
      <c r="BVW7" s="37"/>
      <c r="BVX7" s="37"/>
      <c r="BVY7" s="37"/>
      <c r="BVZ7" s="37"/>
      <c r="BWA7" s="37"/>
      <c r="BWB7" s="37"/>
      <c r="BWC7" s="37"/>
      <c r="BWD7" s="37"/>
      <c r="BWE7" s="37"/>
      <c r="BWF7" s="37"/>
      <c r="BWG7" s="37"/>
      <c r="BWH7" s="37"/>
      <c r="BWI7" s="37"/>
      <c r="BWJ7" s="37"/>
    </row>
    <row r="8" spans="1:1960" x14ac:dyDescent="0.25">
      <c r="A8" s="38">
        <v>3</v>
      </c>
      <c r="B8" s="39">
        <v>20</v>
      </c>
      <c r="C8" s="40">
        <v>1000</v>
      </c>
      <c r="D8" s="41" t="s">
        <v>23</v>
      </c>
      <c r="E8" s="271">
        <f ca="1"/>
        <v>69</v>
      </c>
      <c r="F8" s="33">
        <v>-100</v>
      </c>
      <c r="G8" s="33">
        <v>1000</v>
      </c>
      <c r="H8" s="43">
        <f ca="1"/>
        <v>-100</v>
      </c>
      <c r="I8" s="33">
        <f ca="1"/>
        <v>-100</v>
      </c>
      <c r="J8" s="35">
        <v>3</v>
      </c>
      <c r="K8" s="36">
        <v>20</v>
      </c>
      <c r="L8" s="37">
        <v>20</v>
      </c>
      <c r="M8" s="37">
        <v>20</v>
      </c>
      <c r="N8" s="37">
        <v>20</v>
      </c>
      <c r="O8" s="37">
        <v>20</v>
      </c>
      <c r="P8" s="37">
        <v>-5</v>
      </c>
      <c r="Q8" s="37">
        <v>-5</v>
      </c>
      <c r="R8" s="37">
        <v>-30</v>
      </c>
      <c r="S8" s="37">
        <v>-30</v>
      </c>
      <c r="T8" s="37">
        <v>-55</v>
      </c>
      <c r="U8" s="37">
        <v>-55</v>
      </c>
      <c r="V8" s="37">
        <v>-80</v>
      </c>
      <c r="W8" s="37">
        <v>-80</v>
      </c>
      <c r="X8" s="37">
        <v>-105</v>
      </c>
      <c r="Y8" s="37">
        <v>-105</v>
      </c>
      <c r="Z8" s="37">
        <v>-130</v>
      </c>
      <c r="AA8" s="37">
        <v>-130</v>
      </c>
      <c r="AB8" s="37">
        <v>-130</v>
      </c>
      <c r="AC8" s="37">
        <v>-130</v>
      </c>
      <c r="AD8" s="37">
        <v>-130</v>
      </c>
      <c r="AE8" s="37">
        <v>-130</v>
      </c>
      <c r="AF8" s="37">
        <v>-130</v>
      </c>
      <c r="AG8" s="37">
        <v>-130</v>
      </c>
      <c r="AH8" s="37">
        <v>-130</v>
      </c>
      <c r="AI8" s="37">
        <v>-130</v>
      </c>
      <c r="AJ8" s="37">
        <v>-130</v>
      </c>
      <c r="AK8" s="37">
        <v>-130</v>
      </c>
      <c r="AL8" s="37">
        <v>-130</v>
      </c>
      <c r="AM8" s="37">
        <v>-130</v>
      </c>
      <c r="AN8" s="37">
        <v>-130</v>
      </c>
      <c r="AO8" s="37">
        <v>-130</v>
      </c>
      <c r="AP8" s="37">
        <v>-130</v>
      </c>
      <c r="AQ8" s="37">
        <v>-130</v>
      </c>
      <c r="AR8" s="37">
        <v>-130</v>
      </c>
      <c r="AS8" s="37">
        <v>-130</v>
      </c>
      <c r="AT8" s="37">
        <v>-130</v>
      </c>
      <c r="AU8" s="37">
        <v>-130</v>
      </c>
      <c r="AV8" s="37">
        <v>-130</v>
      </c>
      <c r="AW8" s="37">
        <v>-130</v>
      </c>
      <c r="AX8" s="37">
        <v>-130</v>
      </c>
      <c r="AY8" s="37">
        <v>-130</v>
      </c>
      <c r="AZ8" s="37">
        <v>-130</v>
      </c>
      <c r="BA8" s="37">
        <v>-130</v>
      </c>
      <c r="BB8" s="37">
        <v>-130</v>
      </c>
      <c r="BC8" s="37">
        <v>-130</v>
      </c>
      <c r="BD8" s="37">
        <v>-130</v>
      </c>
      <c r="BE8" s="37">
        <v>-130</v>
      </c>
      <c r="BF8" s="37">
        <v>-130</v>
      </c>
      <c r="BG8" s="37">
        <v>-130</v>
      </c>
      <c r="BH8" s="37">
        <v>-130</v>
      </c>
      <c r="BI8" s="37">
        <v>-130</v>
      </c>
      <c r="BJ8" s="37">
        <v>-130</v>
      </c>
      <c r="BK8" s="37">
        <v>-130</v>
      </c>
      <c r="BL8" s="37">
        <v>-130</v>
      </c>
      <c r="BM8" s="37">
        <v>-130</v>
      </c>
      <c r="BN8" s="37">
        <v>-130</v>
      </c>
      <c r="BO8" s="37">
        <v>-130</v>
      </c>
      <c r="BP8" s="37">
        <v>-130</v>
      </c>
      <c r="BQ8" s="37">
        <v>-130</v>
      </c>
      <c r="BR8" s="37">
        <v>-130</v>
      </c>
      <c r="BS8" s="37">
        <v>-130</v>
      </c>
      <c r="BT8" s="37">
        <v>-130</v>
      </c>
      <c r="BU8" s="37">
        <v>-130</v>
      </c>
      <c r="BV8" s="37">
        <v>-130</v>
      </c>
      <c r="BW8" s="37">
        <v>-130</v>
      </c>
      <c r="BX8" s="37">
        <v>-130</v>
      </c>
      <c r="BY8" s="37">
        <v>-130</v>
      </c>
      <c r="BZ8" s="37">
        <v>-130</v>
      </c>
      <c r="CA8" s="37">
        <v>-150</v>
      </c>
      <c r="CB8" s="37">
        <v>-150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  <c r="AMD8" s="37"/>
      <c r="AME8" s="37"/>
      <c r="AMF8" s="37"/>
      <c r="AMG8" s="37"/>
      <c r="AMH8" s="37"/>
      <c r="AMI8" s="37"/>
      <c r="AMJ8" s="37"/>
      <c r="AMK8" s="37"/>
      <c r="AML8" s="37"/>
      <c r="AMM8" s="37"/>
      <c r="AMN8" s="37"/>
      <c r="AMO8" s="37"/>
      <c r="AMP8" s="37"/>
      <c r="AMQ8" s="37"/>
      <c r="AMR8" s="37"/>
      <c r="AMS8" s="37"/>
      <c r="AMT8" s="37"/>
      <c r="AMU8" s="37"/>
      <c r="AMV8" s="37"/>
      <c r="AMW8" s="37"/>
      <c r="AMX8" s="37"/>
      <c r="AMY8" s="37"/>
      <c r="AMZ8" s="37"/>
      <c r="ANA8" s="37"/>
      <c r="ANB8" s="37"/>
      <c r="ANC8" s="37"/>
      <c r="AND8" s="37"/>
      <c r="ANE8" s="37"/>
      <c r="ANF8" s="37"/>
      <c r="ANG8" s="37"/>
      <c r="ANH8" s="37"/>
      <c r="ANI8" s="37"/>
      <c r="ANJ8" s="37"/>
      <c r="ANK8" s="37"/>
      <c r="ANL8" s="37"/>
      <c r="ANM8" s="37"/>
      <c r="ANN8" s="37"/>
      <c r="ANO8" s="37"/>
      <c r="ANP8" s="37"/>
      <c r="ANQ8" s="37"/>
      <c r="ANR8" s="37"/>
      <c r="ANS8" s="37"/>
      <c r="ANT8" s="37"/>
      <c r="ANU8" s="37"/>
      <c r="ANV8" s="37"/>
      <c r="ANW8" s="37"/>
      <c r="ANX8" s="37"/>
      <c r="ANY8" s="37"/>
      <c r="ANZ8" s="37"/>
      <c r="AOA8" s="37"/>
      <c r="AOB8" s="37"/>
      <c r="AOC8" s="37"/>
      <c r="AOD8" s="37"/>
      <c r="AOE8" s="37"/>
      <c r="AOF8" s="37"/>
      <c r="AOG8" s="37"/>
      <c r="AOH8" s="37"/>
      <c r="AOI8" s="37"/>
      <c r="AOJ8" s="37"/>
      <c r="AOK8" s="37"/>
      <c r="AOL8" s="37"/>
      <c r="AOM8" s="37"/>
      <c r="AON8" s="37"/>
      <c r="AOO8" s="37"/>
      <c r="AOP8" s="37"/>
      <c r="AOQ8" s="37"/>
      <c r="AOR8" s="37"/>
      <c r="AOS8" s="37"/>
      <c r="AOT8" s="37"/>
      <c r="AOU8" s="37"/>
      <c r="AOV8" s="37"/>
      <c r="AOW8" s="37"/>
      <c r="AOX8" s="37"/>
      <c r="AOY8" s="37"/>
      <c r="AOZ8" s="37"/>
      <c r="APA8" s="37"/>
      <c r="APB8" s="37"/>
      <c r="APC8" s="37"/>
      <c r="APD8" s="37"/>
      <c r="APE8" s="37"/>
      <c r="APF8" s="37"/>
      <c r="APG8" s="37"/>
      <c r="APH8" s="37"/>
      <c r="API8" s="37"/>
      <c r="APJ8" s="37"/>
      <c r="APK8" s="37"/>
      <c r="APL8" s="37"/>
      <c r="APM8" s="37"/>
      <c r="APN8" s="37"/>
      <c r="APO8" s="37"/>
      <c r="APP8" s="37"/>
      <c r="APQ8" s="37"/>
      <c r="APR8" s="37"/>
      <c r="APS8" s="37"/>
      <c r="APT8" s="37"/>
      <c r="APU8" s="37"/>
      <c r="APV8" s="37"/>
      <c r="APW8" s="37"/>
      <c r="APX8" s="37"/>
      <c r="APY8" s="37"/>
      <c r="APZ8" s="37"/>
      <c r="AQA8" s="37"/>
      <c r="AQB8" s="37"/>
      <c r="AQC8" s="37"/>
      <c r="AQD8" s="37"/>
      <c r="AQE8" s="37"/>
      <c r="AQF8" s="37"/>
      <c r="AQG8" s="37"/>
      <c r="AQH8" s="37"/>
      <c r="AQI8" s="37"/>
      <c r="AQJ8" s="37"/>
      <c r="AQK8" s="37"/>
      <c r="AQL8" s="37"/>
      <c r="AQM8" s="37"/>
      <c r="AQN8" s="37"/>
      <c r="AQO8" s="37"/>
      <c r="AQP8" s="37"/>
      <c r="AQQ8" s="37"/>
      <c r="AQR8" s="37"/>
      <c r="AQS8" s="37"/>
      <c r="AQT8" s="37"/>
      <c r="AQU8" s="37"/>
      <c r="AQV8" s="37"/>
      <c r="AQW8" s="37"/>
      <c r="AQX8" s="37"/>
      <c r="AQY8" s="37"/>
      <c r="AQZ8" s="37"/>
      <c r="ARA8" s="37"/>
      <c r="ARB8" s="37"/>
      <c r="ARC8" s="37"/>
      <c r="ARD8" s="37"/>
      <c r="ARE8" s="37"/>
      <c r="ARF8" s="37"/>
      <c r="ARG8" s="37"/>
      <c r="ARH8" s="37"/>
      <c r="ARI8" s="37"/>
      <c r="ARJ8" s="37"/>
      <c r="ARK8" s="37"/>
      <c r="ARL8" s="37"/>
      <c r="ARM8" s="37"/>
      <c r="ARN8" s="37"/>
      <c r="ARO8" s="37"/>
      <c r="ARP8" s="37"/>
      <c r="ARQ8" s="37"/>
      <c r="ARR8" s="37"/>
      <c r="ARS8" s="37"/>
      <c r="ART8" s="37"/>
      <c r="ARU8" s="37"/>
      <c r="ARV8" s="37"/>
      <c r="ARW8" s="37"/>
      <c r="ARX8" s="37"/>
      <c r="ARY8" s="37"/>
      <c r="ARZ8" s="37"/>
      <c r="ASA8" s="37"/>
      <c r="ASB8" s="37"/>
      <c r="ASC8" s="37"/>
      <c r="ASD8" s="37"/>
      <c r="ASE8" s="37"/>
      <c r="ASF8" s="37"/>
      <c r="ASG8" s="37"/>
      <c r="ASH8" s="37"/>
      <c r="ASI8" s="37"/>
      <c r="ASJ8" s="37"/>
      <c r="ASK8" s="37"/>
      <c r="ASL8" s="37"/>
      <c r="ASM8" s="37"/>
      <c r="ASN8" s="37"/>
      <c r="ASO8" s="37"/>
      <c r="ASP8" s="37"/>
      <c r="ASQ8" s="37"/>
      <c r="ASR8" s="37"/>
      <c r="ASS8" s="37"/>
      <c r="AST8" s="37"/>
      <c r="ASU8" s="37"/>
      <c r="ASV8" s="37"/>
      <c r="ASW8" s="37"/>
      <c r="ASX8" s="37"/>
      <c r="ASY8" s="37"/>
      <c r="ASZ8" s="37"/>
      <c r="ATA8" s="37"/>
      <c r="ATB8" s="37"/>
      <c r="ATC8" s="37"/>
      <c r="ATD8" s="37"/>
      <c r="ATE8" s="37"/>
      <c r="ATF8" s="37"/>
      <c r="ATG8" s="37"/>
      <c r="ATH8" s="37"/>
      <c r="ATI8" s="37"/>
      <c r="ATJ8" s="37"/>
      <c r="ATK8" s="37"/>
      <c r="ATL8" s="37"/>
      <c r="ATM8" s="37"/>
      <c r="ATN8" s="37"/>
      <c r="ATO8" s="37"/>
      <c r="ATP8" s="37"/>
      <c r="ATQ8" s="37"/>
      <c r="ATR8" s="37"/>
      <c r="ATS8" s="37"/>
      <c r="ATT8" s="37"/>
      <c r="ATU8" s="37"/>
      <c r="ATV8" s="37"/>
      <c r="ATW8" s="37"/>
      <c r="ATX8" s="37"/>
      <c r="ATY8" s="37"/>
      <c r="ATZ8" s="37"/>
      <c r="AUA8" s="37"/>
      <c r="AUB8" s="37"/>
      <c r="AUC8" s="37"/>
      <c r="AUD8" s="37"/>
      <c r="AUE8" s="37"/>
      <c r="AUF8" s="37"/>
      <c r="AUG8" s="37"/>
      <c r="AUH8" s="37"/>
      <c r="AUI8" s="37"/>
      <c r="AUJ8" s="37"/>
      <c r="AUK8" s="37"/>
      <c r="AUL8" s="37"/>
      <c r="AUM8" s="37"/>
      <c r="AUN8" s="37"/>
      <c r="AUO8" s="37"/>
      <c r="AUP8" s="37"/>
      <c r="AUQ8" s="37"/>
      <c r="AUR8" s="37"/>
      <c r="AUS8" s="37"/>
      <c r="AUT8" s="37"/>
      <c r="AUU8" s="37"/>
      <c r="AUV8" s="37"/>
      <c r="AUW8" s="37"/>
      <c r="AUX8" s="37"/>
      <c r="AUY8" s="37"/>
      <c r="AUZ8" s="37"/>
      <c r="AVA8" s="37"/>
      <c r="AVB8" s="37"/>
      <c r="AVC8" s="37"/>
      <c r="AVD8" s="37"/>
      <c r="AVE8" s="37"/>
      <c r="AVF8" s="37"/>
      <c r="AVG8" s="37"/>
      <c r="AVH8" s="37"/>
      <c r="AVI8" s="37"/>
      <c r="AVJ8" s="37"/>
      <c r="AVK8" s="37"/>
      <c r="AVL8" s="37"/>
      <c r="AVM8" s="37"/>
      <c r="AVN8" s="37"/>
      <c r="AVO8" s="37"/>
      <c r="AVP8" s="37"/>
      <c r="AVQ8" s="37"/>
      <c r="AVR8" s="37"/>
      <c r="AVS8" s="37"/>
      <c r="AVT8" s="37"/>
      <c r="AVU8" s="37"/>
      <c r="AVV8" s="37"/>
      <c r="AVW8" s="37"/>
      <c r="AVX8" s="37"/>
      <c r="AVY8" s="37"/>
      <c r="AVZ8" s="37"/>
      <c r="AWA8" s="37"/>
      <c r="AWB8" s="37"/>
      <c r="AWC8" s="37"/>
      <c r="AWD8" s="37"/>
      <c r="AWE8" s="37"/>
      <c r="AWF8" s="37"/>
      <c r="AWG8" s="37"/>
      <c r="AWH8" s="37"/>
      <c r="AWI8" s="37"/>
      <c r="AWJ8" s="37"/>
      <c r="AWK8" s="37"/>
      <c r="AWL8" s="37"/>
      <c r="AWM8" s="37"/>
      <c r="AWN8" s="37"/>
      <c r="AWO8" s="37"/>
      <c r="AWP8" s="37"/>
      <c r="AWQ8" s="37"/>
      <c r="AWR8" s="37"/>
      <c r="AWS8" s="37"/>
      <c r="AWT8" s="37"/>
      <c r="AWU8" s="37"/>
      <c r="AWV8" s="37"/>
      <c r="AWW8" s="37"/>
      <c r="AWX8" s="37"/>
      <c r="AWY8" s="37"/>
      <c r="AWZ8" s="37"/>
      <c r="AXA8" s="37"/>
      <c r="AXB8" s="37"/>
      <c r="AXC8" s="37"/>
      <c r="AXD8" s="37"/>
      <c r="AXE8" s="37"/>
      <c r="AXF8" s="37"/>
      <c r="AXG8" s="37"/>
      <c r="AXH8" s="37"/>
      <c r="AXI8" s="37"/>
      <c r="AXJ8" s="37"/>
      <c r="AXK8" s="37"/>
      <c r="AXL8" s="37"/>
      <c r="AXM8" s="37"/>
      <c r="AXN8" s="37"/>
      <c r="AXO8" s="37"/>
      <c r="AXP8" s="37"/>
      <c r="AXQ8" s="37"/>
      <c r="AXR8" s="37"/>
      <c r="AXS8" s="37"/>
      <c r="AXT8" s="37"/>
      <c r="AXU8" s="37"/>
      <c r="AXV8" s="37"/>
      <c r="AXW8" s="37"/>
      <c r="AXX8" s="37"/>
      <c r="AXY8" s="37"/>
      <c r="AXZ8" s="37"/>
      <c r="AYA8" s="37"/>
      <c r="AYB8" s="37"/>
      <c r="AYC8" s="37"/>
      <c r="AYD8" s="37"/>
      <c r="AYE8" s="37"/>
      <c r="AYF8" s="37"/>
      <c r="AYG8" s="37"/>
      <c r="AYH8" s="37"/>
      <c r="AYI8" s="37"/>
      <c r="AYJ8" s="37"/>
      <c r="AYK8" s="37"/>
      <c r="AYL8" s="37"/>
      <c r="AYM8" s="37"/>
      <c r="AYN8" s="37"/>
      <c r="AYO8" s="37"/>
      <c r="AYP8" s="37"/>
      <c r="AYQ8" s="37"/>
      <c r="AYR8" s="37"/>
      <c r="AYS8" s="37"/>
      <c r="AYT8" s="37"/>
      <c r="AYU8" s="37"/>
      <c r="AYV8" s="37"/>
      <c r="AYW8" s="37"/>
      <c r="AYX8" s="37"/>
      <c r="AYY8" s="37"/>
      <c r="AYZ8" s="37"/>
      <c r="AZA8" s="37"/>
      <c r="AZB8" s="37"/>
      <c r="AZC8" s="37"/>
      <c r="AZD8" s="37"/>
      <c r="AZE8" s="37"/>
      <c r="AZF8" s="37"/>
      <c r="AZG8" s="37"/>
      <c r="AZH8" s="37"/>
      <c r="AZI8" s="37"/>
      <c r="AZJ8" s="37"/>
      <c r="AZK8" s="37"/>
      <c r="AZL8" s="37"/>
      <c r="AZM8" s="37"/>
      <c r="AZN8" s="37"/>
      <c r="AZO8" s="37"/>
      <c r="AZP8" s="37"/>
      <c r="AZQ8" s="37"/>
      <c r="AZR8" s="37"/>
      <c r="AZS8" s="37"/>
      <c r="AZT8" s="37"/>
      <c r="AZU8" s="37"/>
      <c r="AZV8" s="37"/>
      <c r="AZW8" s="37"/>
      <c r="AZX8" s="37"/>
      <c r="AZY8" s="37"/>
      <c r="AZZ8" s="37"/>
      <c r="BAA8" s="37"/>
      <c r="BAB8" s="37"/>
      <c r="BAC8" s="37"/>
      <c r="BAD8" s="37"/>
      <c r="BAE8" s="37"/>
      <c r="BAF8" s="37"/>
      <c r="BAG8" s="37"/>
      <c r="BAH8" s="37"/>
      <c r="BAI8" s="37"/>
      <c r="BAJ8" s="37"/>
      <c r="BAK8" s="37"/>
      <c r="BAL8" s="37"/>
      <c r="BAM8" s="37"/>
      <c r="BAN8" s="37"/>
      <c r="BAO8" s="37"/>
      <c r="BAP8" s="37"/>
      <c r="BAQ8" s="37"/>
      <c r="BAR8" s="37"/>
      <c r="BAS8" s="37"/>
      <c r="BAT8" s="37"/>
      <c r="BAU8" s="37"/>
      <c r="BAV8" s="37"/>
      <c r="BAW8" s="37"/>
      <c r="BAX8" s="37"/>
      <c r="BAY8" s="37"/>
      <c r="BAZ8" s="37"/>
      <c r="BBA8" s="37"/>
      <c r="BBB8" s="37"/>
      <c r="BBC8" s="37"/>
      <c r="BBD8" s="37"/>
      <c r="BBE8" s="37"/>
      <c r="BBF8" s="37"/>
      <c r="BBG8" s="37"/>
      <c r="BBH8" s="37"/>
      <c r="BBI8" s="37"/>
      <c r="BBJ8" s="37"/>
      <c r="BBK8" s="37"/>
      <c r="BBL8" s="37"/>
      <c r="BBM8" s="37"/>
      <c r="BBN8" s="37"/>
      <c r="BBO8" s="37"/>
      <c r="BBP8" s="37"/>
      <c r="BBQ8" s="37"/>
      <c r="BBR8" s="37"/>
      <c r="BBS8" s="37"/>
      <c r="BBT8" s="37"/>
      <c r="BBU8" s="37"/>
      <c r="BBV8" s="37"/>
      <c r="BBW8" s="37"/>
      <c r="BBX8" s="37"/>
      <c r="BBY8" s="37"/>
      <c r="BBZ8" s="37"/>
      <c r="BCA8" s="37"/>
      <c r="BCB8" s="37"/>
      <c r="BCC8" s="37"/>
      <c r="BCD8" s="37"/>
      <c r="BCE8" s="37"/>
      <c r="BCF8" s="37"/>
      <c r="BCG8" s="37"/>
      <c r="BCH8" s="37"/>
      <c r="BCI8" s="37"/>
      <c r="BCJ8" s="37"/>
      <c r="BCK8" s="37"/>
      <c r="BCL8" s="37"/>
      <c r="BCM8" s="37"/>
      <c r="BCN8" s="37"/>
      <c r="BCO8" s="37"/>
      <c r="BCP8" s="37"/>
      <c r="BCQ8" s="37"/>
      <c r="BCR8" s="37"/>
      <c r="BCS8" s="37"/>
      <c r="BCT8" s="37"/>
      <c r="BCU8" s="37"/>
      <c r="BCV8" s="37"/>
      <c r="BCW8" s="37"/>
      <c r="BCX8" s="37"/>
      <c r="BCY8" s="37"/>
      <c r="BCZ8" s="37"/>
      <c r="BDA8" s="37"/>
      <c r="BDB8" s="37"/>
      <c r="BDC8" s="37"/>
      <c r="BDD8" s="37"/>
      <c r="BDE8" s="37"/>
      <c r="BDF8" s="37"/>
      <c r="BDG8" s="37"/>
      <c r="BDH8" s="37"/>
      <c r="BDI8" s="37"/>
      <c r="BDJ8" s="37"/>
      <c r="BDK8" s="37"/>
      <c r="BDL8" s="37"/>
      <c r="BDM8" s="37"/>
      <c r="BDN8" s="37"/>
      <c r="BDO8" s="37"/>
      <c r="BDP8" s="37"/>
      <c r="BDQ8" s="37"/>
      <c r="BDR8" s="37"/>
      <c r="BDS8" s="37"/>
      <c r="BDT8" s="37"/>
      <c r="BDU8" s="37"/>
      <c r="BDV8" s="37"/>
      <c r="BDW8" s="37"/>
      <c r="BDX8" s="37"/>
      <c r="BDY8" s="37"/>
      <c r="BDZ8" s="37"/>
      <c r="BEA8" s="37"/>
      <c r="BEB8" s="37"/>
      <c r="BEC8" s="37"/>
      <c r="BED8" s="37"/>
      <c r="BEE8" s="37"/>
      <c r="BEF8" s="37"/>
      <c r="BEG8" s="37"/>
      <c r="BEH8" s="37"/>
      <c r="BEI8" s="37"/>
      <c r="BEJ8" s="37"/>
      <c r="BEK8" s="37"/>
      <c r="BEL8" s="37"/>
      <c r="BEM8" s="37"/>
      <c r="BEN8" s="37"/>
      <c r="BEO8" s="37"/>
      <c r="BEP8" s="37"/>
      <c r="BEQ8" s="37"/>
      <c r="BER8" s="37"/>
      <c r="BES8" s="37"/>
      <c r="BET8" s="37"/>
      <c r="BEU8" s="37"/>
      <c r="BEV8" s="37"/>
      <c r="BEW8" s="37"/>
      <c r="BEX8" s="37"/>
      <c r="BEY8" s="37"/>
      <c r="BEZ8" s="37"/>
      <c r="BFA8" s="37"/>
      <c r="BFB8" s="37"/>
      <c r="BFC8" s="37"/>
      <c r="BFD8" s="37"/>
      <c r="BFE8" s="37"/>
      <c r="BFF8" s="37"/>
      <c r="BFG8" s="37"/>
      <c r="BFH8" s="37"/>
      <c r="BFI8" s="37"/>
      <c r="BFJ8" s="37"/>
      <c r="BFK8" s="37"/>
      <c r="BFL8" s="37"/>
      <c r="BFM8" s="37"/>
      <c r="BFN8" s="37"/>
      <c r="BFO8" s="37"/>
      <c r="BFP8" s="37"/>
      <c r="BFQ8" s="37"/>
      <c r="BFR8" s="37"/>
      <c r="BFS8" s="37"/>
      <c r="BFT8" s="37"/>
      <c r="BFU8" s="37"/>
      <c r="BFV8" s="37"/>
      <c r="BFW8" s="37"/>
      <c r="BFX8" s="37"/>
      <c r="BFY8" s="37"/>
      <c r="BFZ8" s="37"/>
      <c r="BGA8" s="37"/>
      <c r="BGB8" s="37"/>
      <c r="BGC8" s="37"/>
      <c r="BGD8" s="37"/>
      <c r="BGE8" s="37"/>
      <c r="BGF8" s="37"/>
      <c r="BGG8" s="37"/>
      <c r="BGH8" s="37"/>
      <c r="BGI8" s="37"/>
      <c r="BGJ8" s="37"/>
      <c r="BGK8" s="37"/>
      <c r="BGL8" s="37"/>
      <c r="BGM8" s="37"/>
      <c r="BGN8" s="37"/>
      <c r="BGO8" s="37"/>
      <c r="BGP8" s="37"/>
      <c r="BGQ8" s="37"/>
      <c r="BGR8" s="37"/>
      <c r="BGS8" s="37"/>
      <c r="BGT8" s="37"/>
      <c r="BGU8" s="37"/>
      <c r="BGV8" s="37"/>
      <c r="BGW8" s="37"/>
      <c r="BGX8" s="37"/>
      <c r="BGY8" s="37"/>
      <c r="BGZ8" s="37"/>
      <c r="BHA8" s="37"/>
      <c r="BHB8" s="37"/>
      <c r="BHC8" s="37"/>
      <c r="BHD8" s="37"/>
      <c r="BHE8" s="37"/>
      <c r="BHF8" s="37"/>
      <c r="BHG8" s="37"/>
      <c r="BHH8" s="37"/>
      <c r="BHI8" s="37"/>
      <c r="BHJ8" s="37"/>
      <c r="BHK8" s="37"/>
      <c r="BHL8" s="37"/>
      <c r="BHM8" s="37"/>
      <c r="BHN8" s="37"/>
      <c r="BHO8" s="37"/>
      <c r="BHP8" s="37"/>
      <c r="BHQ8" s="37"/>
      <c r="BHR8" s="37"/>
      <c r="BHS8" s="37"/>
      <c r="BHT8" s="37"/>
      <c r="BHU8" s="37"/>
      <c r="BHV8" s="37"/>
      <c r="BHW8" s="37"/>
      <c r="BHX8" s="37"/>
      <c r="BHY8" s="37"/>
      <c r="BHZ8" s="37"/>
      <c r="BIA8" s="37"/>
      <c r="BIB8" s="37"/>
      <c r="BIC8" s="37"/>
      <c r="BID8" s="37"/>
      <c r="BIE8" s="37"/>
      <c r="BIF8" s="37"/>
      <c r="BIG8" s="37"/>
      <c r="BIH8" s="37"/>
      <c r="BII8" s="37"/>
      <c r="BIJ8" s="37"/>
      <c r="BIK8" s="37"/>
      <c r="BIL8" s="37"/>
      <c r="BIM8" s="37"/>
      <c r="BIN8" s="37"/>
      <c r="BIO8" s="37"/>
      <c r="BIP8" s="37"/>
      <c r="BIQ8" s="37"/>
      <c r="BIR8" s="37"/>
      <c r="BIS8" s="37"/>
      <c r="BIT8" s="37"/>
      <c r="BIU8" s="37"/>
      <c r="BIV8" s="37"/>
      <c r="BIW8" s="37"/>
      <c r="BIX8" s="37"/>
      <c r="BIY8" s="37"/>
      <c r="BIZ8" s="37"/>
      <c r="BJA8" s="37"/>
      <c r="BJB8" s="37"/>
      <c r="BJC8" s="37"/>
      <c r="BJD8" s="37"/>
      <c r="BJE8" s="37"/>
      <c r="BJF8" s="37"/>
      <c r="BJG8" s="37"/>
      <c r="BJH8" s="37"/>
      <c r="BJI8" s="37"/>
      <c r="BJJ8" s="37"/>
      <c r="BJK8" s="37"/>
      <c r="BJL8" s="37"/>
      <c r="BJM8" s="37"/>
      <c r="BJN8" s="37"/>
      <c r="BJO8" s="37"/>
      <c r="BJP8" s="37"/>
      <c r="BJQ8" s="37"/>
      <c r="BJR8" s="37"/>
      <c r="BJS8" s="37"/>
      <c r="BJT8" s="37"/>
      <c r="BJU8" s="37"/>
      <c r="BJV8" s="37"/>
      <c r="BJW8" s="37"/>
      <c r="BJX8" s="37"/>
      <c r="BJY8" s="37"/>
      <c r="BJZ8" s="37"/>
      <c r="BKA8" s="37"/>
      <c r="BKB8" s="37"/>
      <c r="BKC8" s="37"/>
      <c r="BKD8" s="37"/>
      <c r="BKE8" s="37"/>
      <c r="BKF8" s="37"/>
      <c r="BKG8" s="37"/>
      <c r="BKH8" s="37"/>
      <c r="BKI8" s="37"/>
      <c r="BKJ8" s="37"/>
      <c r="BKK8" s="37"/>
      <c r="BKL8" s="37"/>
      <c r="BKM8" s="37"/>
      <c r="BKN8" s="37"/>
      <c r="BKO8" s="37"/>
      <c r="BKP8" s="37"/>
      <c r="BKQ8" s="37"/>
      <c r="BKR8" s="37"/>
      <c r="BKS8" s="37"/>
      <c r="BKT8" s="37"/>
      <c r="BKU8" s="37"/>
      <c r="BKV8" s="37"/>
      <c r="BKW8" s="37"/>
      <c r="BKX8" s="37"/>
      <c r="BKY8" s="37"/>
      <c r="BKZ8" s="37"/>
      <c r="BLA8" s="37"/>
      <c r="BLB8" s="37"/>
      <c r="BLC8" s="37"/>
      <c r="BLD8" s="37"/>
      <c r="BLE8" s="37"/>
      <c r="BLF8" s="37"/>
      <c r="BLG8" s="37"/>
      <c r="BLH8" s="37"/>
      <c r="BLI8" s="37"/>
      <c r="BLJ8" s="37"/>
      <c r="BLK8" s="37"/>
      <c r="BLL8" s="37"/>
      <c r="BLM8" s="37"/>
      <c r="BLN8" s="37"/>
      <c r="BLO8" s="37"/>
      <c r="BLP8" s="37"/>
      <c r="BLQ8" s="37"/>
      <c r="BLR8" s="37"/>
      <c r="BLS8" s="37"/>
      <c r="BLT8" s="37"/>
      <c r="BLU8" s="37"/>
      <c r="BLV8" s="37"/>
      <c r="BLW8" s="37"/>
      <c r="BLX8" s="37"/>
      <c r="BLY8" s="37"/>
      <c r="BLZ8" s="37"/>
      <c r="BMA8" s="37"/>
      <c r="BMB8" s="37"/>
      <c r="BMC8" s="37"/>
      <c r="BMD8" s="37"/>
      <c r="BME8" s="37"/>
      <c r="BMF8" s="37"/>
      <c r="BMG8" s="37"/>
      <c r="BMH8" s="37"/>
      <c r="BMI8" s="37"/>
      <c r="BMJ8" s="37"/>
      <c r="BMK8" s="37"/>
      <c r="BML8" s="37"/>
      <c r="BMM8" s="37"/>
      <c r="BMN8" s="37"/>
      <c r="BMO8" s="37"/>
      <c r="BMP8" s="37"/>
      <c r="BMQ8" s="37"/>
      <c r="BMR8" s="37"/>
      <c r="BMS8" s="37"/>
      <c r="BMT8" s="37"/>
      <c r="BMU8" s="37"/>
      <c r="BMV8" s="37"/>
      <c r="BMW8" s="37"/>
      <c r="BMX8" s="37"/>
      <c r="BMY8" s="37"/>
      <c r="BMZ8" s="37"/>
      <c r="BNA8" s="37"/>
      <c r="BNB8" s="37"/>
      <c r="BNC8" s="37"/>
      <c r="BND8" s="37"/>
      <c r="BNE8" s="37"/>
      <c r="BNF8" s="37"/>
      <c r="BNG8" s="37"/>
      <c r="BNH8" s="37"/>
      <c r="BNI8" s="37"/>
      <c r="BNJ8" s="37"/>
      <c r="BNK8" s="37"/>
      <c r="BNL8" s="37"/>
      <c r="BNM8" s="37"/>
      <c r="BNN8" s="37"/>
      <c r="BNO8" s="37"/>
      <c r="BNP8" s="37"/>
      <c r="BNQ8" s="37"/>
      <c r="BNR8" s="37"/>
      <c r="BNS8" s="37"/>
      <c r="BNT8" s="37"/>
      <c r="BNU8" s="37"/>
      <c r="BNV8" s="37"/>
      <c r="BNW8" s="37"/>
      <c r="BNX8" s="37"/>
      <c r="BNY8" s="37"/>
      <c r="BNZ8" s="37"/>
      <c r="BOA8" s="37"/>
      <c r="BOB8" s="37"/>
      <c r="BOC8" s="37"/>
      <c r="BOD8" s="37"/>
      <c r="BOE8" s="37"/>
      <c r="BOF8" s="37"/>
      <c r="BOG8" s="37"/>
      <c r="BOH8" s="37"/>
      <c r="BOI8" s="37"/>
      <c r="BOJ8" s="37"/>
      <c r="BOK8" s="37"/>
      <c r="BOL8" s="37"/>
      <c r="BOM8" s="37"/>
      <c r="BON8" s="37"/>
      <c r="BOO8" s="37"/>
      <c r="BOP8" s="37"/>
      <c r="BOQ8" s="37"/>
      <c r="BOR8" s="37"/>
      <c r="BOS8" s="37"/>
      <c r="BOT8" s="37"/>
      <c r="BOU8" s="37"/>
      <c r="BOV8" s="37"/>
      <c r="BOW8" s="37"/>
      <c r="BOX8" s="37"/>
      <c r="BOY8" s="37"/>
      <c r="BOZ8" s="37"/>
      <c r="BPA8" s="37"/>
      <c r="BPB8" s="37"/>
      <c r="BPC8" s="37"/>
      <c r="BPD8" s="37"/>
      <c r="BPE8" s="37"/>
      <c r="BPF8" s="37"/>
      <c r="BPG8" s="37"/>
      <c r="BPH8" s="37"/>
      <c r="BPI8" s="37"/>
      <c r="BPJ8" s="37"/>
      <c r="BPK8" s="37"/>
      <c r="BPL8" s="37"/>
      <c r="BPM8" s="37"/>
      <c r="BPN8" s="37"/>
      <c r="BPO8" s="37"/>
      <c r="BPP8" s="37"/>
      <c r="BPQ8" s="37"/>
      <c r="BPR8" s="37"/>
      <c r="BPS8" s="37"/>
      <c r="BPT8" s="37"/>
      <c r="BPU8" s="37"/>
      <c r="BPV8" s="37"/>
      <c r="BPW8" s="37"/>
      <c r="BPX8" s="37"/>
      <c r="BPY8" s="37"/>
      <c r="BPZ8" s="37"/>
      <c r="BQA8" s="37"/>
      <c r="BQB8" s="37"/>
      <c r="BQC8" s="37"/>
      <c r="BQD8" s="37"/>
      <c r="BQE8" s="37"/>
      <c r="BQF8" s="37"/>
      <c r="BQG8" s="37"/>
      <c r="BQH8" s="37"/>
      <c r="BQI8" s="37"/>
      <c r="BQJ8" s="37"/>
      <c r="BQK8" s="37"/>
      <c r="BQL8" s="37"/>
      <c r="BQM8" s="37"/>
      <c r="BQN8" s="37"/>
      <c r="BQO8" s="37"/>
      <c r="BQP8" s="37"/>
      <c r="BQQ8" s="37"/>
      <c r="BQR8" s="37"/>
      <c r="BQS8" s="37"/>
      <c r="BQT8" s="37"/>
      <c r="BQU8" s="37"/>
      <c r="BQV8" s="37"/>
      <c r="BQW8" s="37"/>
      <c r="BQX8" s="37"/>
      <c r="BQY8" s="37"/>
      <c r="BQZ8" s="37"/>
      <c r="BRA8" s="37"/>
      <c r="BRB8" s="37"/>
      <c r="BRC8" s="37"/>
      <c r="BRD8" s="37"/>
      <c r="BRE8" s="37"/>
      <c r="BRF8" s="37"/>
      <c r="BRG8" s="37"/>
      <c r="BRH8" s="37"/>
      <c r="BRI8" s="37"/>
      <c r="BRJ8" s="37"/>
      <c r="BRK8" s="37"/>
      <c r="BRL8" s="37"/>
      <c r="BRM8" s="37"/>
      <c r="BRN8" s="37"/>
      <c r="BRO8" s="37"/>
      <c r="BRP8" s="37"/>
      <c r="BRQ8" s="37"/>
      <c r="BRR8" s="37"/>
      <c r="BRS8" s="37"/>
      <c r="BRT8" s="37"/>
      <c r="BRU8" s="37"/>
      <c r="BRV8" s="37"/>
      <c r="BRW8" s="37"/>
      <c r="BRX8" s="37"/>
      <c r="BRY8" s="37"/>
      <c r="BRZ8" s="37"/>
      <c r="BSA8" s="37"/>
      <c r="BSB8" s="37"/>
      <c r="BSC8" s="37"/>
      <c r="BSD8" s="37"/>
      <c r="BSE8" s="37"/>
      <c r="BSF8" s="37"/>
      <c r="BSG8" s="37"/>
      <c r="BSH8" s="37"/>
      <c r="BSI8" s="37"/>
      <c r="BSJ8" s="37"/>
      <c r="BSK8" s="37"/>
      <c r="BSL8" s="37"/>
      <c r="BSM8" s="37"/>
      <c r="BSN8" s="37"/>
      <c r="BSO8" s="37"/>
      <c r="BSP8" s="37"/>
      <c r="BSQ8" s="37"/>
      <c r="BSR8" s="37"/>
      <c r="BSS8" s="37"/>
      <c r="BST8" s="37"/>
      <c r="BSU8" s="37"/>
      <c r="BSV8" s="37"/>
      <c r="BSW8" s="37"/>
      <c r="BSX8" s="37"/>
      <c r="BSY8" s="37"/>
      <c r="BSZ8" s="37"/>
      <c r="BTA8" s="37"/>
      <c r="BTB8" s="37"/>
      <c r="BTC8" s="37"/>
      <c r="BTD8" s="37"/>
      <c r="BTE8" s="37"/>
      <c r="BTF8" s="37"/>
      <c r="BTG8" s="37"/>
      <c r="BTH8" s="37"/>
      <c r="BTI8" s="37"/>
      <c r="BTJ8" s="37"/>
      <c r="BTK8" s="37"/>
      <c r="BTL8" s="37"/>
      <c r="BTM8" s="37"/>
      <c r="BTN8" s="37"/>
      <c r="BTO8" s="37"/>
      <c r="BTP8" s="37"/>
      <c r="BTQ8" s="37"/>
      <c r="BTR8" s="37"/>
      <c r="BTS8" s="37"/>
      <c r="BTT8" s="37"/>
      <c r="BTU8" s="37"/>
      <c r="BTV8" s="37"/>
      <c r="BTW8" s="37"/>
      <c r="BTX8" s="37"/>
      <c r="BTY8" s="37"/>
      <c r="BTZ8" s="37"/>
      <c r="BUA8" s="37"/>
      <c r="BUB8" s="37"/>
      <c r="BUC8" s="37"/>
      <c r="BUD8" s="37"/>
      <c r="BUE8" s="37"/>
      <c r="BUF8" s="37"/>
      <c r="BUG8" s="37"/>
      <c r="BUH8" s="37"/>
      <c r="BUI8" s="37"/>
      <c r="BUJ8" s="37"/>
      <c r="BUK8" s="37"/>
      <c r="BUL8" s="37"/>
      <c r="BUM8" s="37"/>
      <c r="BUN8" s="37"/>
      <c r="BUO8" s="37"/>
      <c r="BUP8" s="37"/>
      <c r="BUQ8" s="37"/>
      <c r="BUR8" s="37"/>
      <c r="BUS8" s="37"/>
      <c r="BUT8" s="37"/>
      <c r="BUU8" s="37"/>
      <c r="BUV8" s="37"/>
      <c r="BUW8" s="37"/>
      <c r="BUX8" s="37"/>
      <c r="BUY8" s="37"/>
      <c r="BUZ8" s="37"/>
      <c r="BVA8" s="37"/>
      <c r="BVB8" s="37"/>
      <c r="BVC8" s="37"/>
      <c r="BVD8" s="37"/>
      <c r="BVE8" s="37"/>
      <c r="BVF8" s="37"/>
      <c r="BVG8" s="37"/>
      <c r="BVH8" s="37"/>
      <c r="BVI8" s="37"/>
      <c r="BVJ8" s="37"/>
      <c r="BVK8" s="37"/>
      <c r="BVL8" s="37"/>
      <c r="BVM8" s="37"/>
      <c r="BVN8" s="37"/>
      <c r="BVO8" s="37"/>
      <c r="BVP8" s="37"/>
      <c r="BVQ8" s="37"/>
      <c r="BVR8" s="37"/>
      <c r="BVS8" s="37"/>
      <c r="BVT8" s="37"/>
      <c r="BVU8" s="37"/>
      <c r="BVV8" s="37"/>
      <c r="BVW8" s="37"/>
      <c r="BVX8" s="37"/>
      <c r="BVY8" s="37"/>
      <c r="BVZ8" s="37"/>
      <c r="BWA8" s="37"/>
      <c r="BWB8" s="37"/>
      <c r="BWC8" s="37"/>
      <c r="BWD8" s="37"/>
      <c r="BWE8" s="37"/>
      <c r="BWF8" s="37"/>
      <c r="BWG8" s="37"/>
      <c r="BWH8" s="37"/>
      <c r="BWI8" s="37"/>
      <c r="BWJ8" s="37"/>
    </row>
    <row r="9" spans="1:1960" x14ac:dyDescent="0.25">
      <c r="A9" s="38">
        <v>4</v>
      </c>
      <c r="B9" s="39">
        <v>20</v>
      </c>
      <c r="C9" s="40">
        <v>1000</v>
      </c>
      <c r="D9" s="41" t="s">
        <v>23</v>
      </c>
      <c r="E9" s="271">
        <f ca="1"/>
        <v>69</v>
      </c>
      <c r="F9" s="33">
        <v>-100</v>
      </c>
      <c r="G9" s="33">
        <v>1000</v>
      </c>
      <c r="H9" s="43">
        <f ca="1"/>
        <v>-100</v>
      </c>
      <c r="I9" s="33">
        <f ca="1"/>
        <v>42.699999999999996</v>
      </c>
      <c r="J9" s="35">
        <v>4</v>
      </c>
      <c r="K9" s="36">
        <v>20</v>
      </c>
      <c r="L9" s="37">
        <v>20</v>
      </c>
      <c r="M9" s="37">
        <v>20</v>
      </c>
      <c r="N9" s="37">
        <v>20</v>
      </c>
      <c r="O9" s="37">
        <v>20</v>
      </c>
      <c r="P9" s="37">
        <v>-5</v>
      </c>
      <c r="Q9" s="37">
        <v>-5</v>
      </c>
      <c r="R9" s="37">
        <v>-30</v>
      </c>
      <c r="S9" s="37">
        <v>-30</v>
      </c>
      <c r="T9" s="37">
        <v>-55</v>
      </c>
      <c r="U9" s="37">
        <v>-55</v>
      </c>
      <c r="V9" s="37">
        <v>-80</v>
      </c>
      <c r="W9" s="37">
        <v>-80</v>
      </c>
      <c r="X9" s="37">
        <v>-105</v>
      </c>
      <c r="Y9" s="37">
        <v>-105</v>
      </c>
      <c r="Z9" s="37">
        <v>-130</v>
      </c>
      <c r="AA9" s="37">
        <v>-130</v>
      </c>
      <c r="AB9" s="37">
        <v>-130</v>
      </c>
      <c r="AC9" s="37">
        <v>-130</v>
      </c>
      <c r="AD9" s="37">
        <v>-130</v>
      </c>
      <c r="AE9" s="37">
        <v>-130</v>
      </c>
      <c r="AF9" s="37">
        <v>-130</v>
      </c>
      <c r="AG9" s="37">
        <v>-130</v>
      </c>
      <c r="AH9" s="37">
        <v>-130</v>
      </c>
      <c r="AI9" s="37">
        <v>-130</v>
      </c>
      <c r="AJ9" s="37">
        <v>-130</v>
      </c>
      <c r="AK9" s="37">
        <v>-130</v>
      </c>
      <c r="AL9" s="37">
        <v>-130</v>
      </c>
      <c r="AM9" s="37">
        <v>-130</v>
      </c>
      <c r="AN9" s="37">
        <v>-130</v>
      </c>
      <c r="AO9" s="37">
        <v>-130</v>
      </c>
      <c r="AP9" s="37">
        <v>-130</v>
      </c>
      <c r="AQ9" s="37">
        <v>-130</v>
      </c>
      <c r="AR9" s="37">
        <v>-130</v>
      </c>
      <c r="AS9" s="37">
        <v>-130</v>
      </c>
      <c r="AT9" s="37">
        <v>-130</v>
      </c>
      <c r="AU9" s="37">
        <v>-130</v>
      </c>
      <c r="AV9" s="37">
        <v>-130</v>
      </c>
      <c r="AW9" s="37">
        <v>-130</v>
      </c>
      <c r="AX9" s="37">
        <v>-130</v>
      </c>
      <c r="AY9" s="37">
        <v>-130</v>
      </c>
      <c r="AZ9" s="37">
        <v>-130</v>
      </c>
      <c r="BA9" s="37">
        <v>-130</v>
      </c>
      <c r="BB9" s="37">
        <v>-130</v>
      </c>
      <c r="BC9" s="37">
        <v>-130</v>
      </c>
      <c r="BD9" s="37">
        <v>-130</v>
      </c>
      <c r="BE9" s="37">
        <v>-130</v>
      </c>
      <c r="BF9" s="37">
        <v>-130</v>
      </c>
      <c r="BG9" s="37">
        <v>-130</v>
      </c>
      <c r="BH9" s="37">
        <v>-130</v>
      </c>
      <c r="BI9" s="37">
        <v>-130</v>
      </c>
      <c r="BJ9" s="37">
        <v>-130</v>
      </c>
      <c r="BK9" s="37">
        <v>-130</v>
      </c>
      <c r="BL9" s="37">
        <v>-130</v>
      </c>
      <c r="BM9" s="37">
        <v>-130</v>
      </c>
      <c r="BN9" s="37">
        <v>-130</v>
      </c>
      <c r="BO9" s="37">
        <v>-130</v>
      </c>
      <c r="BP9" s="37">
        <v>-130</v>
      </c>
      <c r="BQ9" s="37">
        <v>-130</v>
      </c>
      <c r="BR9" s="37">
        <v>-130</v>
      </c>
      <c r="BS9" s="37">
        <v>-130</v>
      </c>
      <c r="BT9" s="37">
        <v>-130</v>
      </c>
      <c r="BU9" s="37">
        <v>-130</v>
      </c>
      <c r="BV9" s="37">
        <v>-130</v>
      </c>
      <c r="BW9" s="37">
        <v>-130</v>
      </c>
      <c r="BX9" s="37">
        <v>-130</v>
      </c>
      <c r="BY9" s="37">
        <v>-130</v>
      </c>
      <c r="BZ9" s="37">
        <v>-130</v>
      </c>
      <c r="CA9" s="37">
        <v>-150</v>
      </c>
      <c r="CB9" s="37">
        <v>-150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  <c r="AMD9" s="37"/>
      <c r="AME9" s="37"/>
      <c r="AMF9" s="37"/>
      <c r="AMG9" s="37"/>
      <c r="AMH9" s="37"/>
      <c r="AMI9" s="37"/>
      <c r="AMJ9" s="37"/>
      <c r="AMK9" s="37"/>
      <c r="AML9" s="37"/>
      <c r="AMM9" s="37"/>
      <c r="AMN9" s="37"/>
      <c r="AMO9" s="37"/>
      <c r="AMP9" s="37"/>
      <c r="AMQ9" s="37"/>
      <c r="AMR9" s="37"/>
      <c r="AMS9" s="37"/>
      <c r="AMT9" s="37"/>
      <c r="AMU9" s="37"/>
      <c r="AMV9" s="37"/>
      <c r="AMW9" s="37"/>
      <c r="AMX9" s="37"/>
      <c r="AMY9" s="37"/>
      <c r="AMZ9" s="37"/>
      <c r="ANA9" s="37"/>
      <c r="ANB9" s="37"/>
      <c r="ANC9" s="37"/>
      <c r="AND9" s="37"/>
      <c r="ANE9" s="37"/>
      <c r="ANF9" s="37"/>
      <c r="ANG9" s="37"/>
      <c r="ANH9" s="37"/>
      <c r="ANI9" s="37"/>
      <c r="ANJ9" s="37"/>
      <c r="ANK9" s="37"/>
      <c r="ANL9" s="37"/>
      <c r="ANM9" s="37"/>
      <c r="ANN9" s="37"/>
      <c r="ANO9" s="37"/>
      <c r="ANP9" s="37"/>
      <c r="ANQ9" s="37"/>
      <c r="ANR9" s="37"/>
      <c r="ANS9" s="37"/>
      <c r="ANT9" s="37"/>
      <c r="ANU9" s="37"/>
      <c r="ANV9" s="37"/>
      <c r="ANW9" s="37"/>
      <c r="ANX9" s="37"/>
      <c r="ANY9" s="37"/>
      <c r="ANZ9" s="37"/>
      <c r="AOA9" s="37"/>
      <c r="AOB9" s="37"/>
      <c r="AOC9" s="37"/>
      <c r="AOD9" s="37"/>
      <c r="AOE9" s="37"/>
      <c r="AOF9" s="37"/>
      <c r="AOG9" s="37"/>
      <c r="AOH9" s="37"/>
      <c r="AOI9" s="37"/>
      <c r="AOJ9" s="37"/>
      <c r="AOK9" s="37"/>
      <c r="AOL9" s="37"/>
      <c r="AOM9" s="37"/>
      <c r="AON9" s="37"/>
      <c r="AOO9" s="37"/>
      <c r="AOP9" s="37"/>
      <c r="AOQ9" s="37"/>
      <c r="AOR9" s="37"/>
      <c r="AOS9" s="37"/>
      <c r="AOT9" s="37"/>
      <c r="AOU9" s="37"/>
      <c r="AOV9" s="37"/>
      <c r="AOW9" s="37"/>
      <c r="AOX9" s="37"/>
      <c r="AOY9" s="37"/>
      <c r="AOZ9" s="37"/>
      <c r="APA9" s="37"/>
      <c r="APB9" s="37"/>
      <c r="APC9" s="37"/>
      <c r="APD9" s="37"/>
      <c r="APE9" s="37"/>
      <c r="APF9" s="37"/>
      <c r="APG9" s="37"/>
      <c r="APH9" s="37"/>
      <c r="API9" s="37"/>
      <c r="APJ9" s="37"/>
      <c r="APK9" s="37"/>
      <c r="APL9" s="37"/>
      <c r="APM9" s="37"/>
      <c r="APN9" s="37"/>
      <c r="APO9" s="37"/>
      <c r="APP9" s="37"/>
      <c r="APQ9" s="37"/>
      <c r="APR9" s="37"/>
      <c r="APS9" s="37"/>
      <c r="APT9" s="37"/>
      <c r="APU9" s="37"/>
      <c r="APV9" s="37"/>
      <c r="APW9" s="37"/>
      <c r="APX9" s="37"/>
      <c r="APY9" s="37"/>
      <c r="APZ9" s="37"/>
      <c r="AQA9" s="37"/>
      <c r="AQB9" s="37"/>
      <c r="AQC9" s="37"/>
      <c r="AQD9" s="37"/>
      <c r="AQE9" s="37"/>
      <c r="AQF9" s="37"/>
      <c r="AQG9" s="37"/>
      <c r="AQH9" s="37"/>
      <c r="AQI9" s="37"/>
      <c r="AQJ9" s="37"/>
      <c r="AQK9" s="37"/>
      <c r="AQL9" s="37"/>
      <c r="AQM9" s="37"/>
      <c r="AQN9" s="37"/>
      <c r="AQO9" s="37"/>
      <c r="AQP9" s="37"/>
      <c r="AQQ9" s="37"/>
      <c r="AQR9" s="37"/>
      <c r="AQS9" s="37"/>
      <c r="AQT9" s="37"/>
      <c r="AQU9" s="37"/>
      <c r="AQV9" s="37"/>
      <c r="AQW9" s="37"/>
      <c r="AQX9" s="37"/>
      <c r="AQY9" s="37"/>
      <c r="AQZ9" s="37"/>
      <c r="ARA9" s="37"/>
      <c r="ARB9" s="37"/>
      <c r="ARC9" s="37"/>
      <c r="ARD9" s="37"/>
      <c r="ARE9" s="37"/>
      <c r="ARF9" s="37"/>
      <c r="ARG9" s="37"/>
      <c r="ARH9" s="37"/>
      <c r="ARI9" s="37"/>
      <c r="ARJ9" s="37"/>
      <c r="ARK9" s="37"/>
      <c r="ARL9" s="37"/>
      <c r="ARM9" s="37"/>
      <c r="ARN9" s="37"/>
      <c r="ARO9" s="37"/>
      <c r="ARP9" s="37"/>
      <c r="ARQ9" s="37"/>
      <c r="ARR9" s="37"/>
      <c r="ARS9" s="37"/>
      <c r="ART9" s="37"/>
      <c r="ARU9" s="37"/>
      <c r="ARV9" s="37"/>
      <c r="ARW9" s="37"/>
      <c r="ARX9" s="37"/>
      <c r="ARY9" s="37"/>
      <c r="ARZ9" s="37"/>
      <c r="ASA9" s="37"/>
      <c r="ASB9" s="37"/>
      <c r="ASC9" s="37"/>
      <c r="ASD9" s="37"/>
      <c r="ASE9" s="37"/>
      <c r="ASF9" s="37"/>
      <c r="ASG9" s="37"/>
      <c r="ASH9" s="37"/>
      <c r="ASI9" s="37"/>
      <c r="ASJ9" s="37"/>
      <c r="ASK9" s="37"/>
      <c r="ASL9" s="37"/>
      <c r="ASM9" s="37"/>
      <c r="ASN9" s="37"/>
      <c r="ASO9" s="37"/>
      <c r="ASP9" s="37"/>
      <c r="ASQ9" s="37"/>
      <c r="ASR9" s="37"/>
      <c r="ASS9" s="37"/>
      <c r="AST9" s="37"/>
      <c r="ASU9" s="37"/>
      <c r="ASV9" s="37"/>
      <c r="ASW9" s="37"/>
      <c r="ASX9" s="37"/>
      <c r="ASY9" s="37"/>
      <c r="ASZ9" s="37"/>
      <c r="ATA9" s="37"/>
      <c r="ATB9" s="37"/>
      <c r="ATC9" s="37"/>
      <c r="ATD9" s="37"/>
      <c r="ATE9" s="37"/>
      <c r="ATF9" s="37"/>
      <c r="ATG9" s="37"/>
      <c r="ATH9" s="37"/>
      <c r="ATI9" s="37"/>
      <c r="ATJ9" s="37"/>
      <c r="ATK9" s="37"/>
      <c r="ATL9" s="37"/>
      <c r="ATM9" s="37"/>
      <c r="ATN9" s="37"/>
      <c r="ATO9" s="37"/>
      <c r="ATP9" s="37"/>
      <c r="ATQ9" s="37"/>
      <c r="ATR9" s="37"/>
      <c r="ATS9" s="37"/>
      <c r="ATT9" s="37"/>
      <c r="ATU9" s="37"/>
      <c r="ATV9" s="37"/>
      <c r="ATW9" s="37"/>
      <c r="ATX9" s="37"/>
      <c r="ATY9" s="37"/>
      <c r="ATZ9" s="37"/>
      <c r="AUA9" s="37"/>
      <c r="AUB9" s="37"/>
      <c r="AUC9" s="37"/>
      <c r="AUD9" s="37"/>
      <c r="AUE9" s="37"/>
      <c r="AUF9" s="37"/>
      <c r="AUG9" s="37"/>
      <c r="AUH9" s="37"/>
      <c r="AUI9" s="37"/>
      <c r="AUJ9" s="37"/>
      <c r="AUK9" s="37"/>
      <c r="AUL9" s="37"/>
      <c r="AUM9" s="37"/>
      <c r="AUN9" s="37"/>
      <c r="AUO9" s="37"/>
      <c r="AUP9" s="37"/>
      <c r="AUQ9" s="37"/>
      <c r="AUR9" s="37"/>
      <c r="AUS9" s="37"/>
      <c r="AUT9" s="37"/>
      <c r="AUU9" s="37"/>
      <c r="AUV9" s="37"/>
      <c r="AUW9" s="37"/>
      <c r="AUX9" s="37"/>
      <c r="AUY9" s="37"/>
      <c r="AUZ9" s="37"/>
      <c r="AVA9" s="37"/>
      <c r="AVB9" s="37"/>
      <c r="AVC9" s="37"/>
      <c r="AVD9" s="37"/>
      <c r="AVE9" s="37"/>
      <c r="AVF9" s="37"/>
      <c r="AVG9" s="37"/>
      <c r="AVH9" s="37"/>
      <c r="AVI9" s="37"/>
      <c r="AVJ9" s="37"/>
      <c r="AVK9" s="37"/>
      <c r="AVL9" s="37"/>
      <c r="AVM9" s="37"/>
      <c r="AVN9" s="37"/>
      <c r="AVO9" s="37"/>
      <c r="AVP9" s="37"/>
      <c r="AVQ9" s="37"/>
      <c r="AVR9" s="37"/>
      <c r="AVS9" s="37"/>
      <c r="AVT9" s="37"/>
      <c r="AVU9" s="37"/>
      <c r="AVV9" s="37"/>
      <c r="AVW9" s="37"/>
      <c r="AVX9" s="37"/>
      <c r="AVY9" s="37"/>
      <c r="AVZ9" s="37"/>
      <c r="AWA9" s="37"/>
      <c r="AWB9" s="37"/>
      <c r="AWC9" s="37"/>
      <c r="AWD9" s="37"/>
      <c r="AWE9" s="37"/>
      <c r="AWF9" s="37"/>
      <c r="AWG9" s="37"/>
      <c r="AWH9" s="37"/>
      <c r="AWI9" s="37"/>
      <c r="AWJ9" s="37"/>
      <c r="AWK9" s="37"/>
      <c r="AWL9" s="37"/>
      <c r="AWM9" s="37"/>
      <c r="AWN9" s="37"/>
      <c r="AWO9" s="37"/>
      <c r="AWP9" s="37"/>
      <c r="AWQ9" s="37"/>
      <c r="AWR9" s="37"/>
      <c r="AWS9" s="37"/>
      <c r="AWT9" s="37"/>
      <c r="AWU9" s="37"/>
      <c r="AWV9" s="37"/>
      <c r="AWW9" s="37"/>
      <c r="AWX9" s="37"/>
      <c r="AWY9" s="37"/>
      <c r="AWZ9" s="37"/>
      <c r="AXA9" s="37"/>
      <c r="AXB9" s="37"/>
      <c r="AXC9" s="37"/>
      <c r="AXD9" s="37"/>
      <c r="AXE9" s="37"/>
      <c r="AXF9" s="37"/>
      <c r="AXG9" s="37"/>
      <c r="AXH9" s="37"/>
      <c r="AXI9" s="37"/>
      <c r="AXJ9" s="37"/>
      <c r="AXK9" s="37"/>
      <c r="AXL9" s="37"/>
      <c r="AXM9" s="37"/>
      <c r="AXN9" s="37"/>
      <c r="AXO9" s="37"/>
      <c r="AXP9" s="37"/>
      <c r="AXQ9" s="37"/>
      <c r="AXR9" s="37"/>
      <c r="AXS9" s="37"/>
      <c r="AXT9" s="37"/>
      <c r="AXU9" s="37"/>
      <c r="AXV9" s="37"/>
      <c r="AXW9" s="37"/>
      <c r="AXX9" s="37"/>
      <c r="AXY9" s="37"/>
      <c r="AXZ9" s="37"/>
      <c r="AYA9" s="37"/>
      <c r="AYB9" s="37"/>
      <c r="AYC9" s="37"/>
      <c r="AYD9" s="37"/>
      <c r="AYE9" s="37"/>
      <c r="AYF9" s="37"/>
      <c r="AYG9" s="37"/>
      <c r="AYH9" s="37"/>
      <c r="AYI9" s="37"/>
      <c r="AYJ9" s="37"/>
      <c r="AYK9" s="37"/>
      <c r="AYL9" s="37"/>
      <c r="AYM9" s="37"/>
      <c r="AYN9" s="37"/>
      <c r="AYO9" s="37"/>
      <c r="AYP9" s="37"/>
      <c r="AYQ9" s="37"/>
      <c r="AYR9" s="37"/>
      <c r="AYS9" s="37"/>
      <c r="AYT9" s="37"/>
      <c r="AYU9" s="37"/>
      <c r="AYV9" s="37"/>
      <c r="AYW9" s="37"/>
      <c r="AYX9" s="37"/>
      <c r="AYY9" s="37"/>
      <c r="AYZ9" s="37"/>
      <c r="AZA9" s="37"/>
      <c r="AZB9" s="37"/>
      <c r="AZC9" s="37"/>
      <c r="AZD9" s="37"/>
      <c r="AZE9" s="37"/>
      <c r="AZF9" s="37"/>
      <c r="AZG9" s="37"/>
      <c r="AZH9" s="37"/>
      <c r="AZI9" s="37"/>
      <c r="AZJ9" s="37"/>
      <c r="AZK9" s="37"/>
      <c r="AZL9" s="37"/>
      <c r="AZM9" s="37"/>
      <c r="AZN9" s="37"/>
      <c r="AZO9" s="37"/>
      <c r="AZP9" s="37"/>
      <c r="AZQ9" s="37"/>
      <c r="AZR9" s="37"/>
      <c r="AZS9" s="37"/>
      <c r="AZT9" s="37"/>
      <c r="AZU9" s="37"/>
      <c r="AZV9" s="37"/>
      <c r="AZW9" s="37"/>
      <c r="AZX9" s="37"/>
      <c r="AZY9" s="37"/>
      <c r="AZZ9" s="37"/>
      <c r="BAA9" s="37"/>
      <c r="BAB9" s="37"/>
      <c r="BAC9" s="37"/>
      <c r="BAD9" s="37"/>
      <c r="BAE9" s="37"/>
      <c r="BAF9" s="37"/>
      <c r="BAG9" s="37"/>
      <c r="BAH9" s="37"/>
      <c r="BAI9" s="37"/>
      <c r="BAJ9" s="37"/>
      <c r="BAK9" s="37"/>
      <c r="BAL9" s="37"/>
      <c r="BAM9" s="37"/>
      <c r="BAN9" s="37"/>
      <c r="BAO9" s="37"/>
      <c r="BAP9" s="37"/>
      <c r="BAQ9" s="37"/>
      <c r="BAR9" s="37"/>
      <c r="BAS9" s="37"/>
      <c r="BAT9" s="37"/>
      <c r="BAU9" s="37"/>
      <c r="BAV9" s="37"/>
      <c r="BAW9" s="37"/>
      <c r="BAX9" s="37"/>
      <c r="BAY9" s="37"/>
      <c r="BAZ9" s="37"/>
      <c r="BBA9" s="37"/>
      <c r="BBB9" s="37"/>
      <c r="BBC9" s="37"/>
      <c r="BBD9" s="37"/>
      <c r="BBE9" s="37"/>
      <c r="BBF9" s="37"/>
      <c r="BBG9" s="37"/>
      <c r="BBH9" s="37"/>
      <c r="BBI9" s="37"/>
      <c r="BBJ9" s="37"/>
      <c r="BBK9" s="37"/>
      <c r="BBL9" s="37"/>
      <c r="BBM9" s="37"/>
      <c r="BBN9" s="37"/>
      <c r="BBO9" s="37"/>
      <c r="BBP9" s="37"/>
      <c r="BBQ9" s="37"/>
      <c r="BBR9" s="37"/>
      <c r="BBS9" s="37"/>
      <c r="BBT9" s="37"/>
      <c r="BBU9" s="37"/>
      <c r="BBV9" s="37"/>
      <c r="BBW9" s="37"/>
      <c r="BBX9" s="37"/>
      <c r="BBY9" s="37"/>
      <c r="BBZ9" s="37"/>
      <c r="BCA9" s="37"/>
      <c r="BCB9" s="37"/>
      <c r="BCC9" s="37"/>
      <c r="BCD9" s="37"/>
      <c r="BCE9" s="37"/>
      <c r="BCF9" s="37"/>
      <c r="BCG9" s="37"/>
      <c r="BCH9" s="37"/>
      <c r="BCI9" s="37"/>
      <c r="BCJ9" s="37"/>
      <c r="BCK9" s="37"/>
      <c r="BCL9" s="37"/>
      <c r="BCM9" s="37"/>
      <c r="BCN9" s="37"/>
      <c r="BCO9" s="37"/>
      <c r="BCP9" s="37"/>
      <c r="BCQ9" s="37"/>
      <c r="BCR9" s="37"/>
      <c r="BCS9" s="37"/>
      <c r="BCT9" s="37"/>
      <c r="BCU9" s="37"/>
      <c r="BCV9" s="37"/>
      <c r="BCW9" s="37"/>
      <c r="BCX9" s="37"/>
      <c r="BCY9" s="37"/>
      <c r="BCZ9" s="37"/>
      <c r="BDA9" s="37"/>
      <c r="BDB9" s="37"/>
      <c r="BDC9" s="37"/>
      <c r="BDD9" s="37"/>
      <c r="BDE9" s="37"/>
      <c r="BDF9" s="37"/>
      <c r="BDG9" s="37"/>
      <c r="BDH9" s="37"/>
      <c r="BDI9" s="37"/>
      <c r="BDJ9" s="37"/>
      <c r="BDK9" s="37"/>
      <c r="BDL9" s="37"/>
      <c r="BDM9" s="37"/>
      <c r="BDN9" s="37"/>
      <c r="BDO9" s="37"/>
      <c r="BDP9" s="37"/>
      <c r="BDQ9" s="37"/>
      <c r="BDR9" s="37"/>
      <c r="BDS9" s="37"/>
      <c r="BDT9" s="37"/>
      <c r="BDU9" s="37"/>
      <c r="BDV9" s="37"/>
      <c r="BDW9" s="37"/>
      <c r="BDX9" s="37"/>
      <c r="BDY9" s="37"/>
      <c r="BDZ9" s="37"/>
      <c r="BEA9" s="37"/>
      <c r="BEB9" s="37"/>
      <c r="BEC9" s="37"/>
      <c r="BED9" s="37"/>
      <c r="BEE9" s="37"/>
      <c r="BEF9" s="37"/>
      <c r="BEG9" s="37"/>
      <c r="BEH9" s="37"/>
      <c r="BEI9" s="37"/>
      <c r="BEJ9" s="37"/>
      <c r="BEK9" s="37"/>
      <c r="BEL9" s="37"/>
      <c r="BEM9" s="37"/>
      <c r="BEN9" s="37"/>
      <c r="BEO9" s="37"/>
      <c r="BEP9" s="37"/>
      <c r="BEQ9" s="37"/>
      <c r="BER9" s="37"/>
      <c r="BES9" s="37"/>
      <c r="BET9" s="37"/>
      <c r="BEU9" s="37"/>
      <c r="BEV9" s="37"/>
      <c r="BEW9" s="37"/>
      <c r="BEX9" s="37"/>
      <c r="BEY9" s="37"/>
      <c r="BEZ9" s="37"/>
      <c r="BFA9" s="37"/>
      <c r="BFB9" s="37"/>
      <c r="BFC9" s="37"/>
      <c r="BFD9" s="37"/>
      <c r="BFE9" s="37"/>
      <c r="BFF9" s="37"/>
      <c r="BFG9" s="37"/>
      <c r="BFH9" s="37"/>
      <c r="BFI9" s="37"/>
      <c r="BFJ9" s="37"/>
      <c r="BFK9" s="37"/>
      <c r="BFL9" s="37"/>
      <c r="BFM9" s="37"/>
      <c r="BFN9" s="37"/>
      <c r="BFO9" s="37"/>
      <c r="BFP9" s="37"/>
      <c r="BFQ9" s="37"/>
      <c r="BFR9" s="37"/>
      <c r="BFS9" s="37"/>
      <c r="BFT9" s="37"/>
      <c r="BFU9" s="37"/>
      <c r="BFV9" s="37"/>
      <c r="BFW9" s="37"/>
      <c r="BFX9" s="37"/>
      <c r="BFY9" s="37"/>
      <c r="BFZ9" s="37"/>
      <c r="BGA9" s="37"/>
      <c r="BGB9" s="37"/>
      <c r="BGC9" s="37"/>
      <c r="BGD9" s="37"/>
      <c r="BGE9" s="37"/>
      <c r="BGF9" s="37"/>
      <c r="BGG9" s="37"/>
      <c r="BGH9" s="37"/>
      <c r="BGI9" s="37"/>
      <c r="BGJ9" s="37"/>
      <c r="BGK9" s="37"/>
      <c r="BGL9" s="37"/>
      <c r="BGM9" s="37"/>
      <c r="BGN9" s="37"/>
      <c r="BGO9" s="37"/>
      <c r="BGP9" s="37"/>
      <c r="BGQ9" s="37"/>
      <c r="BGR9" s="37"/>
      <c r="BGS9" s="37"/>
      <c r="BGT9" s="37"/>
      <c r="BGU9" s="37"/>
      <c r="BGV9" s="37"/>
      <c r="BGW9" s="37"/>
      <c r="BGX9" s="37"/>
      <c r="BGY9" s="37"/>
      <c r="BGZ9" s="37"/>
      <c r="BHA9" s="37"/>
      <c r="BHB9" s="37"/>
      <c r="BHC9" s="37"/>
      <c r="BHD9" s="37"/>
      <c r="BHE9" s="37"/>
      <c r="BHF9" s="37"/>
      <c r="BHG9" s="37"/>
      <c r="BHH9" s="37"/>
      <c r="BHI9" s="37"/>
      <c r="BHJ9" s="37"/>
      <c r="BHK9" s="37"/>
      <c r="BHL9" s="37"/>
      <c r="BHM9" s="37"/>
      <c r="BHN9" s="37"/>
      <c r="BHO9" s="37"/>
      <c r="BHP9" s="37"/>
      <c r="BHQ9" s="37"/>
      <c r="BHR9" s="37"/>
      <c r="BHS9" s="37"/>
      <c r="BHT9" s="37"/>
      <c r="BHU9" s="37"/>
      <c r="BHV9" s="37"/>
      <c r="BHW9" s="37"/>
      <c r="BHX9" s="37"/>
      <c r="BHY9" s="37"/>
      <c r="BHZ9" s="37"/>
      <c r="BIA9" s="37"/>
      <c r="BIB9" s="37"/>
      <c r="BIC9" s="37"/>
      <c r="BID9" s="37"/>
      <c r="BIE9" s="37"/>
      <c r="BIF9" s="37"/>
      <c r="BIG9" s="37"/>
      <c r="BIH9" s="37"/>
      <c r="BII9" s="37"/>
      <c r="BIJ9" s="37"/>
      <c r="BIK9" s="37"/>
      <c r="BIL9" s="37"/>
      <c r="BIM9" s="37"/>
      <c r="BIN9" s="37"/>
      <c r="BIO9" s="37"/>
      <c r="BIP9" s="37"/>
      <c r="BIQ9" s="37"/>
      <c r="BIR9" s="37"/>
      <c r="BIS9" s="37"/>
      <c r="BIT9" s="37"/>
      <c r="BIU9" s="37"/>
      <c r="BIV9" s="37"/>
      <c r="BIW9" s="37"/>
      <c r="BIX9" s="37"/>
      <c r="BIY9" s="37"/>
      <c r="BIZ9" s="37"/>
      <c r="BJA9" s="37"/>
      <c r="BJB9" s="37"/>
      <c r="BJC9" s="37"/>
      <c r="BJD9" s="37"/>
      <c r="BJE9" s="37"/>
      <c r="BJF9" s="37"/>
      <c r="BJG9" s="37"/>
      <c r="BJH9" s="37"/>
      <c r="BJI9" s="37"/>
      <c r="BJJ9" s="37"/>
      <c r="BJK9" s="37"/>
      <c r="BJL9" s="37"/>
      <c r="BJM9" s="37"/>
      <c r="BJN9" s="37"/>
      <c r="BJO9" s="37"/>
      <c r="BJP9" s="37"/>
      <c r="BJQ9" s="37"/>
      <c r="BJR9" s="37"/>
      <c r="BJS9" s="37"/>
      <c r="BJT9" s="37"/>
      <c r="BJU9" s="37"/>
      <c r="BJV9" s="37"/>
      <c r="BJW9" s="37"/>
      <c r="BJX9" s="37"/>
      <c r="BJY9" s="37"/>
      <c r="BJZ9" s="37"/>
      <c r="BKA9" s="37"/>
      <c r="BKB9" s="37"/>
      <c r="BKC9" s="37"/>
      <c r="BKD9" s="37"/>
      <c r="BKE9" s="37"/>
      <c r="BKF9" s="37"/>
      <c r="BKG9" s="37"/>
      <c r="BKH9" s="37"/>
      <c r="BKI9" s="37"/>
      <c r="BKJ9" s="37"/>
      <c r="BKK9" s="37"/>
      <c r="BKL9" s="37"/>
      <c r="BKM9" s="37"/>
      <c r="BKN9" s="37"/>
      <c r="BKO9" s="37"/>
      <c r="BKP9" s="37"/>
      <c r="BKQ9" s="37"/>
      <c r="BKR9" s="37"/>
      <c r="BKS9" s="37"/>
      <c r="BKT9" s="37"/>
      <c r="BKU9" s="37"/>
      <c r="BKV9" s="37"/>
      <c r="BKW9" s="37"/>
      <c r="BKX9" s="37"/>
      <c r="BKY9" s="37"/>
      <c r="BKZ9" s="37"/>
      <c r="BLA9" s="37"/>
      <c r="BLB9" s="37"/>
      <c r="BLC9" s="37"/>
      <c r="BLD9" s="37"/>
      <c r="BLE9" s="37"/>
      <c r="BLF9" s="37"/>
      <c r="BLG9" s="37"/>
      <c r="BLH9" s="37"/>
      <c r="BLI9" s="37"/>
      <c r="BLJ9" s="37"/>
      <c r="BLK9" s="37"/>
      <c r="BLL9" s="37"/>
      <c r="BLM9" s="37"/>
      <c r="BLN9" s="37"/>
      <c r="BLO9" s="37"/>
      <c r="BLP9" s="37"/>
      <c r="BLQ9" s="37"/>
      <c r="BLR9" s="37"/>
      <c r="BLS9" s="37"/>
      <c r="BLT9" s="37"/>
      <c r="BLU9" s="37"/>
      <c r="BLV9" s="37"/>
      <c r="BLW9" s="37"/>
      <c r="BLX9" s="37"/>
      <c r="BLY9" s="37"/>
      <c r="BLZ9" s="37"/>
      <c r="BMA9" s="37"/>
      <c r="BMB9" s="37"/>
      <c r="BMC9" s="37"/>
      <c r="BMD9" s="37"/>
      <c r="BME9" s="37"/>
      <c r="BMF9" s="37"/>
      <c r="BMG9" s="37"/>
      <c r="BMH9" s="37"/>
      <c r="BMI9" s="37"/>
      <c r="BMJ9" s="37"/>
      <c r="BMK9" s="37"/>
      <c r="BML9" s="37"/>
      <c r="BMM9" s="37"/>
      <c r="BMN9" s="37"/>
      <c r="BMO9" s="37"/>
      <c r="BMP9" s="37"/>
      <c r="BMQ9" s="37"/>
      <c r="BMR9" s="37"/>
      <c r="BMS9" s="37"/>
      <c r="BMT9" s="37"/>
      <c r="BMU9" s="37"/>
      <c r="BMV9" s="37"/>
      <c r="BMW9" s="37"/>
      <c r="BMX9" s="37"/>
      <c r="BMY9" s="37"/>
      <c r="BMZ9" s="37"/>
      <c r="BNA9" s="37"/>
      <c r="BNB9" s="37"/>
      <c r="BNC9" s="37"/>
      <c r="BND9" s="37"/>
      <c r="BNE9" s="37"/>
      <c r="BNF9" s="37"/>
      <c r="BNG9" s="37"/>
      <c r="BNH9" s="37"/>
      <c r="BNI9" s="37"/>
      <c r="BNJ9" s="37"/>
      <c r="BNK9" s="37"/>
      <c r="BNL9" s="37"/>
      <c r="BNM9" s="37"/>
      <c r="BNN9" s="37"/>
      <c r="BNO9" s="37"/>
      <c r="BNP9" s="37"/>
      <c r="BNQ9" s="37"/>
      <c r="BNR9" s="37"/>
      <c r="BNS9" s="37"/>
      <c r="BNT9" s="37"/>
      <c r="BNU9" s="37"/>
      <c r="BNV9" s="37"/>
      <c r="BNW9" s="37"/>
      <c r="BNX9" s="37"/>
      <c r="BNY9" s="37"/>
      <c r="BNZ9" s="37"/>
      <c r="BOA9" s="37"/>
      <c r="BOB9" s="37"/>
      <c r="BOC9" s="37"/>
      <c r="BOD9" s="37"/>
      <c r="BOE9" s="37"/>
      <c r="BOF9" s="37"/>
      <c r="BOG9" s="37"/>
      <c r="BOH9" s="37"/>
      <c r="BOI9" s="37"/>
      <c r="BOJ9" s="37"/>
      <c r="BOK9" s="37"/>
      <c r="BOL9" s="37"/>
      <c r="BOM9" s="37"/>
      <c r="BON9" s="37"/>
      <c r="BOO9" s="37"/>
      <c r="BOP9" s="37"/>
      <c r="BOQ9" s="37"/>
      <c r="BOR9" s="37"/>
      <c r="BOS9" s="37"/>
      <c r="BOT9" s="37"/>
      <c r="BOU9" s="37"/>
      <c r="BOV9" s="37"/>
      <c r="BOW9" s="37"/>
      <c r="BOX9" s="37"/>
      <c r="BOY9" s="37"/>
      <c r="BOZ9" s="37"/>
      <c r="BPA9" s="37"/>
      <c r="BPB9" s="37"/>
      <c r="BPC9" s="37"/>
      <c r="BPD9" s="37"/>
      <c r="BPE9" s="37"/>
      <c r="BPF9" s="37"/>
      <c r="BPG9" s="37"/>
      <c r="BPH9" s="37"/>
      <c r="BPI9" s="37"/>
      <c r="BPJ9" s="37"/>
      <c r="BPK9" s="37"/>
      <c r="BPL9" s="37"/>
      <c r="BPM9" s="37"/>
      <c r="BPN9" s="37"/>
      <c r="BPO9" s="37"/>
      <c r="BPP9" s="37"/>
      <c r="BPQ9" s="37"/>
      <c r="BPR9" s="37"/>
      <c r="BPS9" s="37"/>
      <c r="BPT9" s="37"/>
      <c r="BPU9" s="37"/>
      <c r="BPV9" s="37"/>
      <c r="BPW9" s="37"/>
      <c r="BPX9" s="37"/>
      <c r="BPY9" s="37"/>
      <c r="BPZ9" s="37"/>
      <c r="BQA9" s="37"/>
      <c r="BQB9" s="37"/>
      <c r="BQC9" s="37"/>
      <c r="BQD9" s="37"/>
      <c r="BQE9" s="37"/>
      <c r="BQF9" s="37"/>
      <c r="BQG9" s="37"/>
      <c r="BQH9" s="37"/>
      <c r="BQI9" s="37"/>
      <c r="BQJ9" s="37"/>
      <c r="BQK9" s="37"/>
      <c r="BQL9" s="37"/>
      <c r="BQM9" s="37"/>
      <c r="BQN9" s="37"/>
      <c r="BQO9" s="37"/>
      <c r="BQP9" s="37"/>
      <c r="BQQ9" s="37"/>
      <c r="BQR9" s="37"/>
      <c r="BQS9" s="37"/>
      <c r="BQT9" s="37"/>
      <c r="BQU9" s="37"/>
      <c r="BQV9" s="37"/>
      <c r="BQW9" s="37"/>
      <c r="BQX9" s="37"/>
      <c r="BQY9" s="37"/>
      <c r="BQZ9" s="37"/>
      <c r="BRA9" s="37"/>
      <c r="BRB9" s="37"/>
      <c r="BRC9" s="37"/>
      <c r="BRD9" s="37"/>
      <c r="BRE9" s="37"/>
      <c r="BRF9" s="37"/>
      <c r="BRG9" s="37"/>
      <c r="BRH9" s="37"/>
      <c r="BRI9" s="37"/>
      <c r="BRJ9" s="37"/>
      <c r="BRK9" s="37"/>
      <c r="BRL9" s="37"/>
      <c r="BRM9" s="37"/>
      <c r="BRN9" s="37"/>
      <c r="BRO9" s="37"/>
      <c r="BRP9" s="37"/>
      <c r="BRQ9" s="37"/>
      <c r="BRR9" s="37"/>
      <c r="BRS9" s="37"/>
      <c r="BRT9" s="37"/>
      <c r="BRU9" s="37"/>
      <c r="BRV9" s="37"/>
      <c r="BRW9" s="37"/>
      <c r="BRX9" s="37"/>
      <c r="BRY9" s="37"/>
      <c r="BRZ9" s="37"/>
      <c r="BSA9" s="37"/>
      <c r="BSB9" s="37"/>
      <c r="BSC9" s="37"/>
      <c r="BSD9" s="37"/>
      <c r="BSE9" s="37"/>
      <c r="BSF9" s="37"/>
      <c r="BSG9" s="37"/>
      <c r="BSH9" s="37"/>
      <c r="BSI9" s="37"/>
      <c r="BSJ9" s="37"/>
      <c r="BSK9" s="37"/>
      <c r="BSL9" s="37"/>
      <c r="BSM9" s="37"/>
      <c r="BSN9" s="37"/>
      <c r="BSO9" s="37"/>
      <c r="BSP9" s="37"/>
      <c r="BSQ9" s="37"/>
      <c r="BSR9" s="37"/>
      <c r="BSS9" s="37"/>
      <c r="BST9" s="37"/>
      <c r="BSU9" s="37"/>
      <c r="BSV9" s="37"/>
      <c r="BSW9" s="37"/>
      <c r="BSX9" s="37"/>
      <c r="BSY9" s="37"/>
      <c r="BSZ9" s="37"/>
      <c r="BTA9" s="37"/>
      <c r="BTB9" s="37"/>
      <c r="BTC9" s="37"/>
      <c r="BTD9" s="37"/>
      <c r="BTE9" s="37"/>
      <c r="BTF9" s="37"/>
      <c r="BTG9" s="37"/>
      <c r="BTH9" s="37"/>
      <c r="BTI9" s="37"/>
      <c r="BTJ9" s="37"/>
      <c r="BTK9" s="37"/>
      <c r="BTL9" s="37"/>
      <c r="BTM9" s="37"/>
      <c r="BTN9" s="37"/>
      <c r="BTO9" s="37"/>
      <c r="BTP9" s="37"/>
      <c r="BTQ9" s="37"/>
      <c r="BTR9" s="37"/>
      <c r="BTS9" s="37"/>
      <c r="BTT9" s="37"/>
      <c r="BTU9" s="37"/>
      <c r="BTV9" s="37"/>
      <c r="BTW9" s="37"/>
      <c r="BTX9" s="37"/>
      <c r="BTY9" s="37"/>
      <c r="BTZ9" s="37"/>
      <c r="BUA9" s="37"/>
      <c r="BUB9" s="37"/>
      <c r="BUC9" s="37"/>
      <c r="BUD9" s="37"/>
      <c r="BUE9" s="37"/>
      <c r="BUF9" s="37"/>
      <c r="BUG9" s="37"/>
      <c r="BUH9" s="37"/>
      <c r="BUI9" s="37"/>
      <c r="BUJ9" s="37"/>
      <c r="BUK9" s="37"/>
      <c r="BUL9" s="37"/>
      <c r="BUM9" s="37"/>
      <c r="BUN9" s="37"/>
      <c r="BUO9" s="37"/>
      <c r="BUP9" s="37"/>
      <c r="BUQ9" s="37"/>
      <c r="BUR9" s="37"/>
      <c r="BUS9" s="37"/>
      <c r="BUT9" s="37"/>
      <c r="BUU9" s="37"/>
      <c r="BUV9" s="37"/>
      <c r="BUW9" s="37"/>
      <c r="BUX9" s="37"/>
      <c r="BUY9" s="37"/>
      <c r="BUZ9" s="37"/>
      <c r="BVA9" s="37"/>
      <c r="BVB9" s="37"/>
      <c r="BVC9" s="37"/>
      <c r="BVD9" s="37"/>
      <c r="BVE9" s="37"/>
      <c r="BVF9" s="37"/>
      <c r="BVG9" s="37"/>
      <c r="BVH9" s="37"/>
      <c r="BVI9" s="37"/>
      <c r="BVJ9" s="37"/>
      <c r="BVK9" s="37"/>
      <c r="BVL9" s="37"/>
      <c r="BVM9" s="37"/>
      <c r="BVN9" s="37"/>
      <c r="BVO9" s="37"/>
      <c r="BVP9" s="37"/>
      <c r="BVQ9" s="37"/>
      <c r="BVR9" s="37"/>
      <c r="BVS9" s="37"/>
      <c r="BVT9" s="37"/>
      <c r="BVU9" s="37"/>
      <c r="BVV9" s="37"/>
      <c r="BVW9" s="37"/>
      <c r="BVX9" s="37"/>
      <c r="BVY9" s="37"/>
      <c r="BVZ9" s="37"/>
      <c r="BWA9" s="37"/>
      <c r="BWB9" s="37"/>
      <c r="BWC9" s="37"/>
      <c r="BWD9" s="37"/>
      <c r="BWE9" s="37"/>
      <c r="BWF9" s="37"/>
      <c r="BWG9" s="37"/>
      <c r="BWH9" s="37"/>
      <c r="BWI9" s="37"/>
      <c r="BWJ9" s="37"/>
    </row>
    <row r="10" spans="1:1960" x14ac:dyDescent="0.25">
      <c r="A10" s="38">
        <v>5</v>
      </c>
      <c r="B10" s="39">
        <v>20</v>
      </c>
      <c r="C10" s="40">
        <v>1000</v>
      </c>
      <c r="D10" s="41" t="s">
        <v>23</v>
      </c>
      <c r="E10" s="271">
        <f ca="1"/>
        <v>69</v>
      </c>
      <c r="F10" s="33">
        <v>-100</v>
      </c>
      <c r="G10" s="33">
        <v>1000</v>
      </c>
      <c r="H10" s="43">
        <f ca="1"/>
        <v>-100</v>
      </c>
      <c r="I10" s="33">
        <f ca="1"/>
        <v>42.9</v>
      </c>
      <c r="J10" s="35">
        <v>5</v>
      </c>
      <c r="K10" s="36">
        <v>20</v>
      </c>
      <c r="L10" s="37">
        <v>20</v>
      </c>
      <c r="M10" s="37">
        <v>20</v>
      </c>
      <c r="N10" s="37">
        <v>20</v>
      </c>
      <c r="O10" s="37">
        <v>20</v>
      </c>
      <c r="P10" s="37">
        <v>-5</v>
      </c>
      <c r="Q10" s="37">
        <v>-5</v>
      </c>
      <c r="R10" s="37">
        <v>-30</v>
      </c>
      <c r="S10" s="37">
        <v>-30</v>
      </c>
      <c r="T10" s="37">
        <v>-55</v>
      </c>
      <c r="U10" s="37">
        <v>-55</v>
      </c>
      <c r="V10" s="37">
        <v>-80</v>
      </c>
      <c r="W10" s="37">
        <v>-80</v>
      </c>
      <c r="X10" s="37">
        <v>-105</v>
      </c>
      <c r="Y10" s="37">
        <v>-105</v>
      </c>
      <c r="Z10" s="37">
        <v>-130</v>
      </c>
      <c r="AA10" s="37">
        <v>-130</v>
      </c>
      <c r="AB10" s="37">
        <v>-130</v>
      </c>
      <c r="AC10" s="37">
        <v>-130</v>
      </c>
      <c r="AD10" s="37">
        <v>-130</v>
      </c>
      <c r="AE10" s="37">
        <v>-130</v>
      </c>
      <c r="AF10" s="37">
        <v>-130</v>
      </c>
      <c r="AG10" s="37">
        <v>-130</v>
      </c>
      <c r="AH10" s="37">
        <v>-130</v>
      </c>
      <c r="AI10" s="37">
        <v>-130</v>
      </c>
      <c r="AJ10" s="37">
        <v>-130</v>
      </c>
      <c r="AK10" s="37">
        <v>-130</v>
      </c>
      <c r="AL10" s="37">
        <v>-130</v>
      </c>
      <c r="AM10" s="37">
        <v>-130</v>
      </c>
      <c r="AN10" s="37">
        <v>-130</v>
      </c>
      <c r="AO10" s="37">
        <v>-130</v>
      </c>
      <c r="AP10" s="37">
        <v>-130</v>
      </c>
      <c r="AQ10" s="37">
        <v>-130</v>
      </c>
      <c r="AR10" s="37">
        <v>-130</v>
      </c>
      <c r="AS10" s="37">
        <v>-130</v>
      </c>
      <c r="AT10" s="37">
        <v>-130</v>
      </c>
      <c r="AU10" s="37">
        <v>-130</v>
      </c>
      <c r="AV10" s="37">
        <v>-130</v>
      </c>
      <c r="AW10" s="37">
        <v>-130</v>
      </c>
      <c r="AX10" s="37">
        <v>-130</v>
      </c>
      <c r="AY10" s="37">
        <v>-130</v>
      </c>
      <c r="AZ10" s="37">
        <v>-130</v>
      </c>
      <c r="BA10" s="37">
        <v>-130</v>
      </c>
      <c r="BB10" s="37">
        <v>-130</v>
      </c>
      <c r="BC10" s="37">
        <v>-130</v>
      </c>
      <c r="BD10" s="37">
        <v>-130</v>
      </c>
      <c r="BE10" s="37">
        <v>-130</v>
      </c>
      <c r="BF10" s="37">
        <v>-130</v>
      </c>
      <c r="BG10" s="37">
        <v>-130</v>
      </c>
      <c r="BH10" s="37">
        <v>-130</v>
      </c>
      <c r="BI10" s="37">
        <v>-130</v>
      </c>
      <c r="BJ10" s="37">
        <v>-130</v>
      </c>
      <c r="BK10" s="37">
        <v>-130</v>
      </c>
      <c r="BL10" s="37">
        <v>-130</v>
      </c>
      <c r="BM10" s="37">
        <v>-130</v>
      </c>
      <c r="BN10" s="37">
        <v>-130</v>
      </c>
      <c r="BO10" s="37">
        <v>-130</v>
      </c>
      <c r="BP10" s="37">
        <v>-130</v>
      </c>
      <c r="BQ10" s="37">
        <v>-130</v>
      </c>
      <c r="BR10" s="37">
        <v>-130</v>
      </c>
      <c r="BS10" s="37">
        <v>-130</v>
      </c>
      <c r="BT10" s="37">
        <v>-130</v>
      </c>
      <c r="BU10" s="37">
        <v>-130</v>
      </c>
      <c r="BV10" s="37">
        <v>-130</v>
      </c>
      <c r="BW10" s="37">
        <v>-130</v>
      </c>
      <c r="BX10" s="37">
        <v>-130</v>
      </c>
      <c r="BY10" s="37">
        <v>-130</v>
      </c>
      <c r="BZ10" s="37">
        <v>-130</v>
      </c>
      <c r="CA10" s="37">
        <v>-150</v>
      </c>
      <c r="CB10" s="37">
        <v>-150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  <c r="AMD10" s="37"/>
      <c r="AME10" s="37"/>
      <c r="AMF10" s="37"/>
      <c r="AMG10" s="37"/>
      <c r="AMH10" s="37"/>
      <c r="AMI10" s="37"/>
      <c r="AMJ10" s="37"/>
      <c r="AMK10" s="37"/>
      <c r="AML10" s="37"/>
      <c r="AMM10" s="37"/>
      <c r="AMN10" s="37"/>
      <c r="AMO10" s="37"/>
      <c r="AMP10" s="37"/>
      <c r="AMQ10" s="37"/>
      <c r="AMR10" s="37"/>
      <c r="AMS10" s="37"/>
      <c r="AMT10" s="37"/>
      <c r="AMU10" s="37"/>
      <c r="AMV10" s="37"/>
      <c r="AMW10" s="37"/>
      <c r="AMX10" s="37"/>
      <c r="AMY10" s="37"/>
      <c r="AMZ10" s="37"/>
      <c r="ANA10" s="37"/>
      <c r="ANB10" s="37"/>
      <c r="ANC10" s="37"/>
      <c r="AND10" s="37"/>
      <c r="ANE10" s="37"/>
      <c r="ANF10" s="37"/>
      <c r="ANG10" s="37"/>
      <c r="ANH10" s="37"/>
      <c r="ANI10" s="37"/>
      <c r="ANJ10" s="37"/>
      <c r="ANK10" s="37"/>
      <c r="ANL10" s="37"/>
      <c r="ANM10" s="37"/>
      <c r="ANN10" s="37"/>
      <c r="ANO10" s="37"/>
      <c r="ANP10" s="37"/>
      <c r="ANQ10" s="37"/>
      <c r="ANR10" s="37"/>
      <c r="ANS10" s="37"/>
      <c r="ANT10" s="37"/>
      <c r="ANU10" s="37"/>
      <c r="ANV10" s="37"/>
      <c r="ANW10" s="37"/>
      <c r="ANX10" s="37"/>
      <c r="ANY10" s="37"/>
      <c r="ANZ10" s="37"/>
      <c r="AOA10" s="37"/>
      <c r="AOB10" s="37"/>
      <c r="AOC10" s="37"/>
      <c r="AOD10" s="37"/>
      <c r="AOE10" s="37"/>
      <c r="AOF10" s="37"/>
      <c r="AOG10" s="37"/>
      <c r="AOH10" s="37"/>
      <c r="AOI10" s="37"/>
      <c r="AOJ10" s="37"/>
      <c r="AOK10" s="37"/>
      <c r="AOL10" s="37"/>
      <c r="AOM10" s="37"/>
      <c r="AON10" s="37"/>
      <c r="AOO10" s="37"/>
      <c r="AOP10" s="37"/>
      <c r="AOQ10" s="37"/>
      <c r="AOR10" s="37"/>
      <c r="AOS10" s="37"/>
      <c r="AOT10" s="37"/>
      <c r="AOU10" s="37"/>
      <c r="AOV10" s="37"/>
      <c r="AOW10" s="37"/>
      <c r="AOX10" s="37"/>
      <c r="AOY10" s="37"/>
      <c r="AOZ10" s="37"/>
      <c r="APA10" s="37"/>
      <c r="APB10" s="37"/>
      <c r="APC10" s="37"/>
      <c r="APD10" s="37"/>
      <c r="APE10" s="37"/>
      <c r="APF10" s="37"/>
      <c r="APG10" s="37"/>
      <c r="APH10" s="37"/>
      <c r="API10" s="37"/>
      <c r="APJ10" s="37"/>
      <c r="APK10" s="37"/>
      <c r="APL10" s="37"/>
      <c r="APM10" s="37"/>
      <c r="APN10" s="37"/>
      <c r="APO10" s="37"/>
      <c r="APP10" s="37"/>
      <c r="APQ10" s="37"/>
      <c r="APR10" s="37"/>
      <c r="APS10" s="37"/>
      <c r="APT10" s="37"/>
      <c r="APU10" s="37"/>
      <c r="APV10" s="37"/>
      <c r="APW10" s="37"/>
      <c r="APX10" s="37"/>
      <c r="APY10" s="37"/>
      <c r="APZ10" s="37"/>
      <c r="AQA10" s="37"/>
      <c r="AQB10" s="37"/>
      <c r="AQC10" s="37"/>
      <c r="AQD10" s="37"/>
      <c r="AQE10" s="37"/>
      <c r="AQF10" s="37"/>
      <c r="AQG10" s="37"/>
      <c r="AQH10" s="37"/>
      <c r="AQI10" s="37"/>
      <c r="AQJ10" s="37"/>
      <c r="AQK10" s="37"/>
      <c r="AQL10" s="37"/>
      <c r="AQM10" s="37"/>
      <c r="AQN10" s="37"/>
      <c r="AQO10" s="37"/>
      <c r="AQP10" s="37"/>
      <c r="AQQ10" s="37"/>
      <c r="AQR10" s="37"/>
      <c r="AQS10" s="37"/>
      <c r="AQT10" s="37"/>
      <c r="AQU10" s="37"/>
      <c r="AQV10" s="37"/>
      <c r="AQW10" s="37"/>
      <c r="AQX10" s="37"/>
      <c r="AQY10" s="37"/>
      <c r="AQZ10" s="37"/>
      <c r="ARA10" s="37"/>
      <c r="ARB10" s="37"/>
      <c r="ARC10" s="37"/>
      <c r="ARD10" s="37"/>
      <c r="ARE10" s="37"/>
      <c r="ARF10" s="37"/>
      <c r="ARG10" s="37"/>
      <c r="ARH10" s="37"/>
      <c r="ARI10" s="37"/>
      <c r="ARJ10" s="37"/>
      <c r="ARK10" s="37"/>
      <c r="ARL10" s="37"/>
      <c r="ARM10" s="37"/>
      <c r="ARN10" s="37"/>
      <c r="ARO10" s="37"/>
      <c r="ARP10" s="37"/>
      <c r="ARQ10" s="37"/>
      <c r="ARR10" s="37"/>
      <c r="ARS10" s="37"/>
      <c r="ART10" s="37"/>
      <c r="ARU10" s="37"/>
      <c r="ARV10" s="37"/>
      <c r="ARW10" s="37"/>
      <c r="ARX10" s="37"/>
      <c r="ARY10" s="37"/>
      <c r="ARZ10" s="37"/>
      <c r="ASA10" s="37"/>
      <c r="ASB10" s="37"/>
      <c r="ASC10" s="37"/>
      <c r="ASD10" s="37"/>
      <c r="ASE10" s="37"/>
      <c r="ASF10" s="37"/>
      <c r="ASG10" s="37"/>
      <c r="ASH10" s="37"/>
      <c r="ASI10" s="37"/>
      <c r="ASJ10" s="37"/>
      <c r="ASK10" s="37"/>
      <c r="ASL10" s="37"/>
      <c r="ASM10" s="37"/>
      <c r="ASN10" s="37"/>
      <c r="ASO10" s="37"/>
      <c r="ASP10" s="37"/>
      <c r="ASQ10" s="37"/>
      <c r="ASR10" s="37"/>
      <c r="ASS10" s="37"/>
      <c r="AST10" s="37"/>
      <c r="ASU10" s="37"/>
      <c r="ASV10" s="37"/>
      <c r="ASW10" s="37"/>
      <c r="ASX10" s="37"/>
      <c r="ASY10" s="37"/>
      <c r="ASZ10" s="37"/>
      <c r="ATA10" s="37"/>
      <c r="ATB10" s="37"/>
      <c r="ATC10" s="37"/>
      <c r="ATD10" s="37"/>
      <c r="ATE10" s="37"/>
      <c r="ATF10" s="37"/>
      <c r="ATG10" s="37"/>
      <c r="ATH10" s="37"/>
      <c r="ATI10" s="37"/>
      <c r="ATJ10" s="37"/>
      <c r="ATK10" s="37"/>
      <c r="ATL10" s="37"/>
      <c r="ATM10" s="37"/>
      <c r="ATN10" s="37"/>
      <c r="ATO10" s="37"/>
      <c r="ATP10" s="37"/>
      <c r="ATQ10" s="37"/>
      <c r="ATR10" s="37"/>
      <c r="ATS10" s="37"/>
      <c r="ATT10" s="37"/>
      <c r="ATU10" s="37"/>
      <c r="ATV10" s="37"/>
      <c r="ATW10" s="37"/>
      <c r="ATX10" s="37"/>
      <c r="ATY10" s="37"/>
      <c r="ATZ10" s="37"/>
      <c r="AUA10" s="37"/>
      <c r="AUB10" s="37"/>
      <c r="AUC10" s="37"/>
      <c r="AUD10" s="37"/>
      <c r="AUE10" s="37"/>
      <c r="AUF10" s="37"/>
      <c r="AUG10" s="37"/>
      <c r="AUH10" s="37"/>
      <c r="AUI10" s="37"/>
      <c r="AUJ10" s="37"/>
      <c r="AUK10" s="37"/>
      <c r="AUL10" s="37"/>
      <c r="AUM10" s="37"/>
      <c r="AUN10" s="37"/>
      <c r="AUO10" s="37"/>
      <c r="AUP10" s="37"/>
      <c r="AUQ10" s="37"/>
      <c r="AUR10" s="37"/>
      <c r="AUS10" s="37"/>
      <c r="AUT10" s="37"/>
      <c r="AUU10" s="37"/>
      <c r="AUV10" s="37"/>
      <c r="AUW10" s="37"/>
      <c r="AUX10" s="37"/>
      <c r="AUY10" s="37"/>
      <c r="AUZ10" s="37"/>
      <c r="AVA10" s="37"/>
      <c r="AVB10" s="37"/>
      <c r="AVC10" s="37"/>
      <c r="AVD10" s="37"/>
      <c r="AVE10" s="37"/>
      <c r="AVF10" s="37"/>
      <c r="AVG10" s="37"/>
      <c r="AVH10" s="37"/>
      <c r="AVI10" s="37"/>
      <c r="AVJ10" s="37"/>
      <c r="AVK10" s="37"/>
      <c r="AVL10" s="37"/>
      <c r="AVM10" s="37"/>
      <c r="AVN10" s="37"/>
      <c r="AVO10" s="37"/>
      <c r="AVP10" s="37"/>
      <c r="AVQ10" s="37"/>
      <c r="AVR10" s="37"/>
      <c r="AVS10" s="37"/>
      <c r="AVT10" s="37"/>
      <c r="AVU10" s="37"/>
      <c r="AVV10" s="37"/>
      <c r="AVW10" s="37"/>
      <c r="AVX10" s="37"/>
      <c r="AVY10" s="37"/>
      <c r="AVZ10" s="37"/>
      <c r="AWA10" s="37"/>
      <c r="AWB10" s="37"/>
      <c r="AWC10" s="37"/>
      <c r="AWD10" s="37"/>
      <c r="AWE10" s="37"/>
      <c r="AWF10" s="37"/>
      <c r="AWG10" s="37"/>
      <c r="AWH10" s="37"/>
      <c r="AWI10" s="37"/>
      <c r="AWJ10" s="37"/>
      <c r="AWK10" s="37"/>
      <c r="AWL10" s="37"/>
      <c r="AWM10" s="37"/>
      <c r="AWN10" s="37"/>
      <c r="AWO10" s="37"/>
      <c r="AWP10" s="37"/>
      <c r="AWQ10" s="37"/>
      <c r="AWR10" s="37"/>
      <c r="AWS10" s="37"/>
      <c r="AWT10" s="37"/>
      <c r="AWU10" s="37"/>
      <c r="AWV10" s="37"/>
      <c r="AWW10" s="37"/>
      <c r="AWX10" s="37"/>
      <c r="AWY10" s="37"/>
      <c r="AWZ10" s="37"/>
      <c r="AXA10" s="37"/>
      <c r="AXB10" s="37"/>
      <c r="AXC10" s="37"/>
      <c r="AXD10" s="37"/>
      <c r="AXE10" s="37"/>
      <c r="AXF10" s="37"/>
      <c r="AXG10" s="37"/>
      <c r="AXH10" s="37"/>
      <c r="AXI10" s="37"/>
      <c r="AXJ10" s="37"/>
      <c r="AXK10" s="37"/>
      <c r="AXL10" s="37"/>
      <c r="AXM10" s="37"/>
      <c r="AXN10" s="37"/>
      <c r="AXO10" s="37"/>
      <c r="AXP10" s="37"/>
      <c r="AXQ10" s="37"/>
      <c r="AXR10" s="37"/>
      <c r="AXS10" s="37"/>
      <c r="AXT10" s="37"/>
      <c r="AXU10" s="37"/>
      <c r="AXV10" s="37"/>
      <c r="AXW10" s="37"/>
      <c r="AXX10" s="37"/>
      <c r="AXY10" s="37"/>
      <c r="AXZ10" s="37"/>
      <c r="AYA10" s="37"/>
      <c r="AYB10" s="37"/>
      <c r="AYC10" s="37"/>
      <c r="AYD10" s="37"/>
      <c r="AYE10" s="37"/>
      <c r="AYF10" s="37"/>
      <c r="AYG10" s="37"/>
      <c r="AYH10" s="37"/>
      <c r="AYI10" s="37"/>
      <c r="AYJ10" s="37"/>
      <c r="AYK10" s="37"/>
      <c r="AYL10" s="37"/>
      <c r="AYM10" s="37"/>
      <c r="AYN10" s="37"/>
      <c r="AYO10" s="37"/>
      <c r="AYP10" s="37"/>
      <c r="AYQ10" s="37"/>
      <c r="AYR10" s="37"/>
      <c r="AYS10" s="37"/>
      <c r="AYT10" s="37"/>
      <c r="AYU10" s="37"/>
      <c r="AYV10" s="37"/>
      <c r="AYW10" s="37"/>
      <c r="AYX10" s="37"/>
      <c r="AYY10" s="37"/>
      <c r="AYZ10" s="37"/>
      <c r="AZA10" s="37"/>
      <c r="AZB10" s="37"/>
      <c r="AZC10" s="37"/>
      <c r="AZD10" s="37"/>
      <c r="AZE10" s="37"/>
      <c r="AZF10" s="37"/>
      <c r="AZG10" s="37"/>
      <c r="AZH10" s="37"/>
      <c r="AZI10" s="37"/>
      <c r="AZJ10" s="37"/>
      <c r="AZK10" s="37"/>
      <c r="AZL10" s="37"/>
      <c r="AZM10" s="37"/>
      <c r="AZN10" s="37"/>
      <c r="AZO10" s="37"/>
      <c r="AZP10" s="37"/>
      <c r="AZQ10" s="37"/>
      <c r="AZR10" s="37"/>
      <c r="AZS10" s="37"/>
      <c r="AZT10" s="37"/>
      <c r="AZU10" s="37"/>
      <c r="AZV10" s="37"/>
      <c r="AZW10" s="37"/>
      <c r="AZX10" s="37"/>
      <c r="AZY10" s="37"/>
      <c r="AZZ10" s="37"/>
      <c r="BAA10" s="37"/>
      <c r="BAB10" s="37"/>
      <c r="BAC10" s="37"/>
      <c r="BAD10" s="37"/>
      <c r="BAE10" s="37"/>
      <c r="BAF10" s="37"/>
      <c r="BAG10" s="37"/>
      <c r="BAH10" s="37"/>
      <c r="BAI10" s="37"/>
      <c r="BAJ10" s="37"/>
      <c r="BAK10" s="37"/>
      <c r="BAL10" s="37"/>
      <c r="BAM10" s="37"/>
      <c r="BAN10" s="37"/>
      <c r="BAO10" s="37"/>
      <c r="BAP10" s="37"/>
      <c r="BAQ10" s="37"/>
      <c r="BAR10" s="37"/>
      <c r="BAS10" s="37"/>
      <c r="BAT10" s="37"/>
      <c r="BAU10" s="37"/>
      <c r="BAV10" s="37"/>
      <c r="BAW10" s="37"/>
      <c r="BAX10" s="37"/>
      <c r="BAY10" s="37"/>
      <c r="BAZ10" s="37"/>
      <c r="BBA10" s="37"/>
      <c r="BBB10" s="37"/>
      <c r="BBC10" s="37"/>
      <c r="BBD10" s="37"/>
      <c r="BBE10" s="37"/>
      <c r="BBF10" s="37"/>
      <c r="BBG10" s="37"/>
      <c r="BBH10" s="37"/>
      <c r="BBI10" s="37"/>
      <c r="BBJ10" s="37"/>
      <c r="BBK10" s="37"/>
      <c r="BBL10" s="37"/>
      <c r="BBM10" s="37"/>
      <c r="BBN10" s="37"/>
      <c r="BBO10" s="37"/>
      <c r="BBP10" s="37"/>
      <c r="BBQ10" s="37"/>
      <c r="BBR10" s="37"/>
      <c r="BBS10" s="37"/>
      <c r="BBT10" s="37"/>
      <c r="BBU10" s="37"/>
      <c r="BBV10" s="37"/>
      <c r="BBW10" s="37"/>
      <c r="BBX10" s="37"/>
      <c r="BBY10" s="37"/>
      <c r="BBZ10" s="37"/>
      <c r="BCA10" s="37"/>
      <c r="BCB10" s="37"/>
      <c r="BCC10" s="37"/>
      <c r="BCD10" s="37"/>
      <c r="BCE10" s="37"/>
      <c r="BCF10" s="37"/>
      <c r="BCG10" s="37"/>
      <c r="BCH10" s="37"/>
      <c r="BCI10" s="37"/>
      <c r="BCJ10" s="37"/>
      <c r="BCK10" s="37"/>
      <c r="BCL10" s="37"/>
      <c r="BCM10" s="37"/>
      <c r="BCN10" s="37"/>
      <c r="BCO10" s="37"/>
      <c r="BCP10" s="37"/>
      <c r="BCQ10" s="37"/>
      <c r="BCR10" s="37"/>
      <c r="BCS10" s="37"/>
      <c r="BCT10" s="37"/>
      <c r="BCU10" s="37"/>
      <c r="BCV10" s="37"/>
      <c r="BCW10" s="37"/>
      <c r="BCX10" s="37"/>
      <c r="BCY10" s="37"/>
      <c r="BCZ10" s="37"/>
      <c r="BDA10" s="37"/>
      <c r="BDB10" s="37"/>
      <c r="BDC10" s="37"/>
      <c r="BDD10" s="37"/>
      <c r="BDE10" s="37"/>
      <c r="BDF10" s="37"/>
      <c r="BDG10" s="37"/>
      <c r="BDH10" s="37"/>
      <c r="BDI10" s="37"/>
      <c r="BDJ10" s="37"/>
      <c r="BDK10" s="37"/>
      <c r="BDL10" s="37"/>
      <c r="BDM10" s="37"/>
      <c r="BDN10" s="37"/>
      <c r="BDO10" s="37"/>
      <c r="BDP10" s="37"/>
      <c r="BDQ10" s="37"/>
      <c r="BDR10" s="37"/>
      <c r="BDS10" s="37"/>
      <c r="BDT10" s="37"/>
      <c r="BDU10" s="37"/>
      <c r="BDV10" s="37"/>
      <c r="BDW10" s="37"/>
      <c r="BDX10" s="37"/>
      <c r="BDY10" s="37"/>
      <c r="BDZ10" s="37"/>
      <c r="BEA10" s="37"/>
      <c r="BEB10" s="37"/>
      <c r="BEC10" s="37"/>
      <c r="BED10" s="37"/>
      <c r="BEE10" s="37"/>
      <c r="BEF10" s="37"/>
      <c r="BEG10" s="37"/>
      <c r="BEH10" s="37"/>
      <c r="BEI10" s="37"/>
      <c r="BEJ10" s="37"/>
      <c r="BEK10" s="37"/>
      <c r="BEL10" s="37"/>
      <c r="BEM10" s="37"/>
      <c r="BEN10" s="37"/>
      <c r="BEO10" s="37"/>
      <c r="BEP10" s="37"/>
      <c r="BEQ10" s="37"/>
      <c r="BER10" s="37"/>
      <c r="BES10" s="37"/>
      <c r="BET10" s="37"/>
      <c r="BEU10" s="37"/>
      <c r="BEV10" s="37"/>
      <c r="BEW10" s="37"/>
      <c r="BEX10" s="37"/>
      <c r="BEY10" s="37"/>
      <c r="BEZ10" s="37"/>
      <c r="BFA10" s="37"/>
      <c r="BFB10" s="37"/>
      <c r="BFC10" s="37"/>
      <c r="BFD10" s="37"/>
      <c r="BFE10" s="37"/>
      <c r="BFF10" s="37"/>
      <c r="BFG10" s="37"/>
      <c r="BFH10" s="37"/>
      <c r="BFI10" s="37"/>
      <c r="BFJ10" s="37"/>
      <c r="BFK10" s="37"/>
      <c r="BFL10" s="37"/>
      <c r="BFM10" s="37"/>
      <c r="BFN10" s="37"/>
      <c r="BFO10" s="37"/>
      <c r="BFP10" s="37"/>
      <c r="BFQ10" s="37"/>
      <c r="BFR10" s="37"/>
      <c r="BFS10" s="37"/>
      <c r="BFT10" s="37"/>
      <c r="BFU10" s="37"/>
      <c r="BFV10" s="37"/>
      <c r="BFW10" s="37"/>
      <c r="BFX10" s="37"/>
      <c r="BFY10" s="37"/>
      <c r="BFZ10" s="37"/>
      <c r="BGA10" s="37"/>
      <c r="BGB10" s="37"/>
      <c r="BGC10" s="37"/>
      <c r="BGD10" s="37"/>
      <c r="BGE10" s="37"/>
      <c r="BGF10" s="37"/>
      <c r="BGG10" s="37"/>
      <c r="BGH10" s="37"/>
      <c r="BGI10" s="37"/>
      <c r="BGJ10" s="37"/>
      <c r="BGK10" s="37"/>
      <c r="BGL10" s="37"/>
      <c r="BGM10" s="37"/>
      <c r="BGN10" s="37"/>
      <c r="BGO10" s="37"/>
      <c r="BGP10" s="37"/>
      <c r="BGQ10" s="37"/>
      <c r="BGR10" s="37"/>
      <c r="BGS10" s="37"/>
      <c r="BGT10" s="37"/>
      <c r="BGU10" s="37"/>
      <c r="BGV10" s="37"/>
      <c r="BGW10" s="37"/>
      <c r="BGX10" s="37"/>
      <c r="BGY10" s="37"/>
      <c r="BGZ10" s="37"/>
      <c r="BHA10" s="37"/>
      <c r="BHB10" s="37"/>
      <c r="BHC10" s="37"/>
      <c r="BHD10" s="37"/>
      <c r="BHE10" s="37"/>
      <c r="BHF10" s="37"/>
      <c r="BHG10" s="37"/>
      <c r="BHH10" s="37"/>
      <c r="BHI10" s="37"/>
      <c r="BHJ10" s="37"/>
      <c r="BHK10" s="37"/>
      <c r="BHL10" s="37"/>
      <c r="BHM10" s="37"/>
      <c r="BHN10" s="37"/>
      <c r="BHO10" s="37"/>
      <c r="BHP10" s="37"/>
      <c r="BHQ10" s="37"/>
      <c r="BHR10" s="37"/>
      <c r="BHS10" s="37"/>
      <c r="BHT10" s="37"/>
      <c r="BHU10" s="37"/>
      <c r="BHV10" s="37"/>
      <c r="BHW10" s="37"/>
      <c r="BHX10" s="37"/>
      <c r="BHY10" s="37"/>
      <c r="BHZ10" s="37"/>
      <c r="BIA10" s="37"/>
      <c r="BIB10" s="37"/>
      <c r="BIC10" s="37"/>
      <c r="BID10" s="37"/>
      <c r="BIE10" s="37"/>
      <c r="BIF10" s="37"/>
      <c r="BIG10" s="37"/>
      <c r="BIH10" s="37"/>
      <c r="BII10" s="37"/>
      <c r="BIJ10" s="37"/>
      <c r="BIK10" s="37"/>
      <c r="BIL10" s="37"/>
      <c r="BIM10" s="37"/>
      <c r="BIN10" s="37"/>
      <c r="BIO10" s="37"/>
      <c r="BIP10" s="37"/>
      <c r="BIQ10" s="37"/>
      <c r="BIR10" s="37"/>
      <c r="BIS10" s="37"/>
      <c r="BIT10" s="37"/>
      <c r="BIU10" s="37"/>
      <c r="BIV10" s="37"/>
      <c r="BIW10" s="37"/>
      <c r="BIX10" s="37"/>
      <c r="BIY10" s="37"/>
      <c r="BIZ10" s="37"/>
      <c r="BJA10" s="37"/>
      <c r="BJB10" s="37"/>
      <c r="BJC10" s="37"/>
      <c r="BJD10" s="37"/>
      <c r="BJE10" s="37"/>
      <c r="BJF10" s="37"/>
      <c r="BJG10" s="37"/>
      <c r="BJH10" s="37"/>
      <c r="BJI10" s="37"/>
      <c r="BJJ10" s="37"/>
      <c r="BJK10" s="37"/>
      <c r="BJL10" s="37"/>
      <c r="BJM10" s="37"/>
      <c r="BJN10" s="37"/>
      <c r="BJO10" s="37"/>
      <c r="BJP10" s="37"/>
      <c r="BJQ10" s="37"/>
      <c r="BJR10" s="37"/>
      <c r="BJS10" s="37"/>
      <c r="BJT10" s="37"/>
      <c r="BJU10" s="37"/>
      <c r="BJV10" s="37"/>
      <c r="BJW10" s="37"/>
      <c r="BJX10" s="37"/>
      <c r="BJY10" s="37"/>
      <c r="BJZ10" s="37"/>
      <c r="BKA10" s="37"/>
      <c r="BKB10" s="37"/>
      <c r="BKC10" s="37"/>
      <c r="BKD10" s="37"/>
      <c r="BKE10" s="37"/>
      <c r="BKF10" s="37"/>
      <c r="BKG10" s="37"/>
      <c r="BKH10" s="37"/>
      <c r="BKI10" s="37"/>
      <c r="BKJ10" s="37"/>
      <c r="BKK10" s="37"/>
      <c r="BKL10" s="37"/>
      <c r="BKM10" s="37"/>
      <c r="BKN10" s="37"/>
      <c r="BKO10" s="37"/>
      <c r="BKP10" s="37"/>
      <c r="BKQ10" s="37"/>
      <c r="BKR10" s="37"/>
      <c r="BKS10" s="37"/>
      <c r="BKT10" s="37"/>
      <c r="BKU10" s="37"/>
      <c r="BKV10" s="37"/>
      <c r="BKW10" s="37"/>
      <c r="BKX10" s="37"/>
      <c r="BKY10" s="37"/>
      <c r="BKZ10" s="37"/>
      <c r="BLA10" s="37"/>
      <c r="BLB10" s="37"/>
      <c r="BLC10" s="37"/>
      <c r="BLD10" s="37"/>
      <c r="BLE10" s="37"/>
      <c r="BLF10" s="37"/>
      <c r="BLG10" s="37"/>
      <c r="BLH10" s="37"/>
      <c r="BLI10" s="37"/>
      <c r="BLJ10" s="37"/>
      <c r="BLK10" s="37"/>
      <c r="BLL10" s="37"/>
      <c r="BLM10" s="37"/>
      <c r="BLN10" s="37"/>
      <c r="BLO10" s="37"/>
      <c r="BLP10" s="37"/>
      <c r="BLQ10" s="37"/>
      <c r="BLR10" s="37"/>
      <c r="BLS10" s="37"/>
      <c r="BLT10" s="37"/>
      <c r="BLU10" s="37"/>
      <c r="BLV10" s="37"/>
      <c r="BLW10" s="37"/>
      <c r="BLX10" s="37"/>
      <c r="BLY10" s="37"/>
      <c r="BLZ10" s="37"/>
      <c r="BMA10" s="37"/>
      <c r="BMB10" s="37"/>
      <c r="BMC10" s="37"/>
      <c r="BMD10" s="37"/>
      <c r="BME10" s="37"/>
      <c r="BMF10" s="37"/>
      <c r="BMG10" s="37"/>
      <c r="BMH10" s="37"/>
      <c r="BMI10" s="37"/>
      <c r="BMJ10" s="37"/>
      <c r="BMK10" s="37"/>
      <c r="BML10" s="37"/>
      <c r="BMM10" s="37"/>
      <c r="BMN10" s="37"/>
      <c r="BMO10" s="37"/>
      <c r="BMP10" s="37"/>
      <c r="BMQ10" s="37"/>
      <c r="BMR10" s="37"/>
      <c r="BMS10" s="37"/>
      <c r="BMT10" s="37"/>
      <c r="BMU10" s="37"/>
      <c r="BMV10" s="37"/>
      <c r="BMW10" s="37"/>
      <c r="BMX10" s="37"/>
      <c r="BMY10" s="37"/>
      <c r="BMZ10" s="37"/>
      <c r="BNA10" s="37"/>
      <c r="BNB10" s="37"/>
      <c r="BNC10" s="37"/>
      <c r="BND10" s="37"/>
      <c r="BNE10" s="37"/>
      <c r="BNF10" s="37"/>
      <c r="BNG10" s="37"/>
      <c r="BNH10" s="37"/>
      <c r="BNI10" s="37"/>
      <c r="BNJ10" s="37"/>
      <c r="BNK10" s="37"/>
      <c r="BNL10" s="37"/>
      <c r="BNM10" s="37"/>
      <c r="BNN10" s="37"/>
      <c r="BNO10" s="37"/>
      <c r="BNP10" s="37"/>
      <c r="BNQ10" s="37"/>
      <c r="BNR10" s="37"/>
      <c r="BNS10" s="37"/>
      <c r="BNT10" s="37"/>
      <c r="BNU10" s="37"/>
      <c r="BNV10" s="37"/>
      <c r="BNW10" s="37"/>
      <c r="BNX10" s="37"/>
      <c r="BNY10" s="37"/>
      <c r="BNZ10" s="37"/>
      <c r="BOA10" s="37"/>
      <c r="BOB10" s="37"/>
      <c r="BOC10" s="37"/>
      <c r="BOD10" s="37"/>
      <c r="BOE10" s="37"/>
      <c r="BOF10" s="37"/>
      <c r="BOG10" s="37"/>
      <c r="BOH10" s="37"/>
      <c r="BOI10" s="37"/>
      <c r="BOJ10" s="37"/>
      <c r="BOK10" s="37"/>
      <c r="BOL10" s="37"/>
      <c r="BOM10" s="37"/>
      <c r="BON10" s="37"/>
      <c r="BOO10" s="37"/>
      <c r="BOP10" s="37"/>
      <c r="BOQ10" s="37"/>
      <c r="BOR10" s="37"/>
      <c r="BOS10" s="37"/>
      <c r="BOT10" s="37"/>
      <c r="BOU10" s="37"/>
      <c r="BOV10" s="37"/>
      <c r="BOW10" s="37"/>
      <c r="BOX10" s="37"/>
      <c r="BOY10" s="37"/>
      <c r="BOZ10" s="37"/>
      <c r="BPA10" s="37"/>
      <c r="BPB10" s="37"/>
      <c r="BPC10" s="37"/>
      <c r="BPD10" s="37"/>
      <c r="BPE10" s="37"/>
      <c r="BPF10" s="37"/>
      <c r="BPG10" s="37"/>
      <c r="BPH10" s="37"/>
      <c r="BPI10" s="37"/>
      <c r="BPJ10" s="37"/>
      <c r="BPK10" s="37"/>
      <c r="BPL10" s="37"/>
      <c r="BPM10" s="37"/>
      <c r="BPN10" s="37"/>
      <c r="BPO10" s="37"/>
      <c r="BPP10" s="37"/>
      <c r="BPQ10" s="37"/>
      <c r="BPR10" s="37"/>
      <c r="BPS10" s="37"/>
      <c r="BPT10" s="37"/>
      <c r="BPU10" s="37"/>
      <c r="BPV10" s="37"/>
      <c r="BPW10" s="37"/>
      <c r="BPX10" s="37"/>
      <c r="BPY10" s="37"/>
      <c r="BPZ10" s="37"/>
      <c r="BQA10" s="37"/>
      <c r="BQB10" s="37"/>
      <c r="BQC10" s="37"/>
      <c r="BQD10" s="37"/>
      <c r="BQE10" s="37"/>
      <c r="BQF10" s="37"/>
      <c r="BQG10" s="37"/>
      <c r="BQH10" s="37"/>
      <c r="BQI10" s="37"/>
      <c r="BQJ10" s="37"/>
      <c r="BQK10" s="37"/>
      <c r="BQL10" s="37"/>
      <c r="BQM10" s="37"/>
      <c r="BQN10" s="37"/>
      <c r="BQO10" s="37"/>
      <c r="BQP10" s="37"/>
      <c r="BQQ10" s="37"/>
      <c r="BQR10" s="37"/>
      <c r="BQS10" s="37"/>
      <c r="BQT10" s="37"/>
      <c r="BQU10" s="37"/>
      <c r="BQV10" s="37"/>
      <c r="BQW10" s="37"/>
      <c r="BQX10" s="37"/>
      <c r="BQY10" s="37"/>
      <c r="BQZ10" s="37"/>
      <c r="BRA10" s="37"/>
      <c r="BRB10" s="37"/>
      <c r="BRC10" s="37"/>
      <c r="BRD10" s="37"/>
      <c r="BRE10" s="37"/>
      <c r="BRF10" s="37"/>
      <c r="BRG10" s="37"/>
      <c r="BRH10" s="37"/>
      <c r="BRI10" s="37"/>
      <c r="BRJ10" s="37"/>
      <c r="BRK10" s="37"/>
      <c r="BRL10" s="37"/>
      <c r="BRM10" s="37"/>
      <c r="BRN10" s="37"/>
      <c r="BRO10" s="37"/>
      <c r="BRP10" s="37"/>
      <c r="BRQ10" s="37"/>
      <c r="BRR10" s="37"/>
      <c r="BRS10" s="37"/>
      <c r="BRT10" s="37"/>
      <c r="BRU10" s="37"/>
      <c r="BRV10" s="37"/>
      <c r="BRW10" s="37"/>
      <c r="BRX10" s="37"/>
      <c r="BRY10" s="37"/>
      <c r="BRZ10" s="37"/>
      <c r="BSA10" s="37"/>
      <c r="BSB10" s="37"/>
      <c r="BSC10" s="37"/>
      <c r="BSD10" s="37"/>
      <c r="BSE10" s="37"/>
      <c r="BSF10" s="37"/>
      <c r="BSG10" s="37"/>
      <c r="BSH10" s="37"/>
      <c r="BSI10" s="37"/>
      <c r="BSJ10" s="37"/>
      <c r="BSK10" s="37"/>
      <c r="BSL10" s="37"/>
      <c r="BSM10" s="37"/>
      <c r="BSN10" s="37"/>
      <c r="BSO10" s="37"/>
      <c r="BSP10" s="37"/>
      <c r="BSQ10" s="37"/>
      <c r="BSR10" s="37"/>
      <c r="BSS10" s="37"/>
      <c r="BST10" s="37"/>
      <c r="BSU10" s="37"/>
      <c r="BSV10" s="37"/>
      <c r="BSW10" s="37"/>
      <c r="BSX10" s="37"/>
      <c r="BSY10" s="37"/>
      <c r="BSZ10" s="37"/>
      <c r="BTA10" s="37"/>
      <c r="BTB10" s="37"/>
      <c r="BTC10" s="37"/>
      <c r="BTD10" s="37"/>
      <c r="BTE10" s="37"/>
      <c r="BTF10" s="37"/>
      <c r="BTG10" s="37"/>
      <c r="BTH10" s="37"/>
      <c r="BTI10" s="37"/>
      <c r="BTJ10" s="37"/>
      <c r="BTK10" s="37"/>
      <c r="BTL10" s="37"/>
      <c r="BTM10" s="37"/>
      <c r="BTN10" s="37"/>
      <c r="BTO10" s="37"/>
      <c r="BTP10" s="37"/>
      <c r="BTQ10" s="37"/>
      <c r="BTR10" s="37"/>
      <c r="BTS10" s="37"/>
      <c r="BTT10" s="37"/>
      <c r="BTU10" s="37"/>
      <c r="BTV10" s="37"/>
      <c r="BTW10" s="37"/>
      <c r="BTX10" s="37"/>
      <c r="BTY10" s="37"/>
      <c r="BTZ10" s="37"/>
      <c r="BUA10" s="37"/>
      <c r="BUB10" s="37"/>
      <c r="BUC10" s="37"/>
      <c r="BUD10" s="37"/>
      <c r="BUE10" s="37"/>
      <c r="BUF10" s="37"/>
      <c r="BUG10" s="37"/>
      <c r="BUH10" s="37"/>
      <c r="BUI10" s="37"/>
      <c r="BUJ10" s="37"/>
      <c r="BUK10" s="37"/>
      <c r="BUL10" s="37"/>
      <c r="BUM10" s="37"/>
      <c r="BUN10" s="37"/>
      <c r="BUO10" s="37"/>
      <c r="BUP10" s="37"/>
      <c r="BUQ10" s="37"/>
      <c r="BUR10" s="37"/>
      <c r="BUS10" s="37"/>
      <c r="BUT10" s="37"/>
      <c r="BUU10" s="37"/>
      <c r="BUV10" s="37"/>
      <c r="BUW10" s="37"/>
      <c r="BUX10" s="37"/>
      <c r="BUY10" s="37"/>
      <c r="BUZ10" s="37"/>
      <c r="BVA10" s="37"/>
      <c r="BVB10" s="37"/>
      <c r="BVC10" s="37"/>
      <c r="BVD10" s="37"/>
      <c r="BVE10" s="37"/>
      <c r="BVF10" s="37"/>
      <c r="BVG10" s="37"/>
      <c r="BVH10" s="37"/>
      <c r="BVI10" s="37"/>
      <c r="BVJ10" s="37"/>
      <c r="BVK10" s="37"/>
      <c r="BVL10" s="37"/>
      <c r="BVM10" s="37"/>
      <c r="BVN10" s="37"/>
      <c r="BVO10" s="37"/>
      <c r="BVP10" s="37"/>
      <c r="BVQ10" s="37"/>
      <c r="BVR10" s="37"/>
      <c r="BVS10" s="37"/>
      <c r="BVT10" s="37"/>
      <c r="BVU10" s="37"/>
      <c r="BVV10" s="37"/>
      <c r="BVW10" s="37"/>
      <c r="BVX10" s="37"/>
      <c r="BVY10" s="37"/>
      <c r="BVZ10" s="37"/>
      <c r="BWA10" s="37"/>
      <c r="BWB10" s="37"/>
      <c r="BWC10" s="37"/>
      <c r="BWD10" s="37"/>
      <c r="BWE10" s="37"/>
      <c r="BWF10" s="37"/>
      <c r="BWG10" s="37"/>
      <c r="BWH10" s="37"/>
      <c r="BWI10" s="37"/>
      <c r="BWJ10" s="37"/>
    </row>
    <row r="11" spans="1:1960" x14ac:dyDescent="0.25">
      <c r="A11" s="38">
        <v>6</v>
      </c>
      <c r="B11" s="39">
        <v>20</v>
      </c>
      <c r="C11" s="40">
        <v>1000</v>
      </c>
      <c r="D11" s="41" t="s">
        <v>23</v>
      </c>
      <c r="E11" s="271">
        <f ca="1"/>
        <v>69</v>
      </c>
      <c r="F11" s="33">
        <v>-100</v>
      </c>
      <c r="G11" s="33">
        <v>1000</v>
      </c>
      <c r="H11" s="43">
        <f ca="1"/>
        <v>-100</v>
      </c>
      <c r="I11" s="33">
        <f ca="1"/>
        <v>43</v>
      </c>
      <c r="J11" s="35">
        <v>6</v>
      </c>
      <c r="K11" s="36">
        <v>20</v>
      </c>
      <c r="L11" s="37">
        <v>20</v>
      </c>
      <c r="M11" s="37">
        <v>20</v>
      </c>
      <c r="N11" s="37">
        <v>20</v>
      </c>
      <c r="O11" s="37">
        <v>20</v>
      </c>
      <c r="P11" s="37">
        <v>20</v>
      </c>
      <c r="Q11" s="37">
        <v>20</v>
      </c>
      <c r="R11" s="37">
        <v>20</v>
      </c>
      <c r="S11" s="37">
        <v>20</v>
      </c>
      <c r="T11" s="37">
        <v>20</v>
      </c>
      <c r="U11" s="37">
        <v>20</v>
      </c>
      <c r="V11" s="37">
        <v>20</v>
      </c>
      <c r="W11" s="37">
        <v>20</v>
      </c>
      <c r="X11" s="37">
        <v>20</v>
      </c>
      <c r="Y11" s="37">
        <v>20</v>
      </c>
      <c r="Z11" s="37">
        <v>20</v>
      </c>
      <c r="AA11" s="37">
        <v>20</v>
      </c>
      <c r="AB11" s="37">
        <v>-5</v>
      </c>
      <c r="AC11" s="37">
        <v>-5</v>
      </c>
      <c r="AD11" s="37">
        <v>-30</v>
      </c>
      <c r="AE11" s="37">
        <v>-30</v>
      </c>
      <c r="AF11" s="37">
        <v>-30</v>
      </c>
      <c r="AG11" s="37">
        <v>-30</v>
      </c>
      <c r="AH11" s="37">
        <v>-55</v>
      </c>
      <c r="AI11" s="37">
        <v>-55</v>
      </c>
      <c r="AJ11" s="37">
        <v>-55</v>
      </c>
      <c r="AK11" s="37">
        <v>-55</v>
      </c>
      <c r="AL11" s="37">
        <v>-80</v>
      </c>
      <c r="AM11" s="37">
        <v>-80</v>
      </c>
      <c r="AN11" s="37">
        <v>-80</v>
      </c>
      <c r="AO11" s="37">
        <v>-80</v>
      </c>
      <c r="AP11" s="37">
        <v>-105</v>
      </c>
      <c r="AQ11" s="37">
        <v>-105</v>
      </c>
      <c r="AR11" s="37">
        <v>-105</v>
      </c>
      <c r="AS11" s="37">
        <v>-105</v>
      </c>
      <c r="AT11" s="37">
        <v>-130</v>
      </c>
      <c r="AU11" s="37">
        <v>-130</v>
      </c>
      <c r="AV11" s="37">
        <v>-130</v>
      </c>
      <c r="AW11" s="37">
        <v>-130</v>
      </c>
      <c r="AX11" s="37">
        <v>-130</v>
      </c>
      <c r="AY11" s="37">
        <v>-130</v>
      </c>
      <c r="AZ11" s="37">
        <v>-130</v>
      </c>
      <c r="BA11" s="37">
        <v>-130</v>
      </c>
      <c r="BB11" s="37">
        <v>-130</v>
      </c>
      <c r="BC11" s="37">
        <v>-130</v>
      </c>
      <c r="BD11" s="37">
        <v>-130</v>
      </c>
      <c r="BE11" s="37">
        <v>-130</v>
      </c>
      <c r="BF11" s="37">
        <v>-130</v>
      </c>
      <c r="BG11" s="37">
        <v>-130</v>
      </c>
      <c r="BH11" s="37">
        <v>-130</v>
      </c>
      <c r="BI11" s="37">
        <v>-130</v>
      </c>
      <c r="BJ11" s="37">
        <v>-130</v>
      </c>
      <c r="BK11" s="37">
        <v>-130</v>
      </c>
      <c r="BL11" s="37">
        <v>-130</v>
      </c>
      <c r="BM11" s="37">
        <v>-130</v>
      </c>
      <c r="BN11" s="37">
        <v>-130</v>
      </c>
      <c r="BO11" s="37">
        <v>-130</v>
      </c>
      <c r="BP11" s="37">
        <v>-130</v>
      </c>
      <c r="BQ11" s="37">
        <v>-130</v>
      </c>
      <c r="BR11" s="37">
        <v>-130</v>
      </c>
      <c r="BS11" s="37">
        <v>-130</v>
      </c>
      <c r="BT11" s="37">
        <v>-130</v>
      </c>
      <c r="BU11" s="37">
        <v>-130</v>
      </c>
      <c r="BV11" s="37">
        <v>-130</v>
      </c>
      <c r="BW11" s="37">
        <v>-130</v>
      </c>
      <c r="BX11" s="37">
        <v>-130</v>
      </c>
      <c r="BY11" s="37">
        <v>-130</v>
      </c>
      <c r="BZ11" s="37">
        <v>-130</v>
      </c>
      <c r="CA11" s="37">
        <v>-150</v>
      </c>
      <c r="CB11" s="37">
        <v>-150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  <c r="AMD11" s="37"/>
      <c r="AME11" s="37"/>
      <c r="AMF11" s="37"/>
      <c r="AMG11" s="37"/>
      <c r="AMH11" s="37"/>
      <c r="AMI11" s="37"/>
      <c r="AMJ11" s="37"/>
      <c r="AMK11" s="37"/>
      <c r="AML11" s="37"/>
      <c r="AMM11" s="37"/>
      <c r="AMN11" s="37"/>
      <c r="AMO11" s="37"/>
      <c r="AMP11" s="37"/>
      <c r="AMQ11" s="37"/>
      <c r="AMR11" s="37"/>
      <c r="AMS11" s="37"/>
      <c r="AMT11" s="37"/>
      <c r="AMU11" s="37"/>
      <c r="AMV11" s="37"/>
      <c r="AMW11" s="37"/>
      <c r="AMX11" s="37"/>
      <c r="AMY11" s="37"/>
      <c r="AMZ11" s="37"/>
      <c r="ANA11" s="37"/>
      <c r="ANB11" s="37"/>
      <c r="ANC11" s="37"/>
      <c r="AND11" s="37"/>
      <c r="ANE11" s="37"/>
      <c r="ANF11" s="37"/>
      <c r="ANG11" s="37"/>
      <c r="ANH11" s="37"/>
      <c r="ANI11" s="37"/>
      <c r="ANJ11" s="37"/>
      <c r="ANK11" s="37"/>
      <c r="ANL11" s="37"/>
      <c r="ANM11" s="37"/>
      <c r="ANN11" s="37"/>
      <c r="ANO11" s="37"/>
      <c r="ANP11" s="37"/>
      <c r="ANQ11" s="37"/>
      <c r="ANR11" s="37"/>
      <c r="ANS11" s="37"/>
      <c r="ANT11" s="37"/>
      <c r="ANU11" s="37"/>
      <c r="ANV11" s="37"/>
      <c r="ANW11" s="37"/>
      <c r="ANX11" s="37"/>
      <c r="ANY11" s="37"/>
      <c r="ANZ11" s="37"/>
      <c r="AOA11" s="37"/>
      <c r="AOB11" s="37"/>
      <c r="AOC11" s="37"/>
      <c r="AOD11" s="37"/>
      <c r="AOE11" s="37"/>
      <c r="AOF11" s="37"/>
      <c r="AOG11" s="37"/>
      <c r="AOH11" s="37"/>
      <c r="AOI11" s="37"/>
      <c r="AOJ11" s="37"/>
      <c r="AOK11" s="37"/>
      <c r="AOL11" s="37"/>
      <c r="AOM11" s="37"/>
      <c r="AON11" s="37"/>
      <c r="AOO11" s="37"/>
      <c r="AOP11" s="37"/>
      <c r="AOQ11" s="37"/>
      <c r="AOR11" s="37"/>
      <c r="AOS11" s="37"/>
      <c r="AOT11" s="37"/>
      <c r="AOU11" s="37"/>
      <c r="AOV11" s="37"/>
      <c r="AOW11" s="37"/>
      <c r="AOX11" s="37"/>
      <c r="AOY11" s="37"/>
      <c r="AOZ11" s="37"/>
      <c r="APA11" s="37"/>
      <c r="APB11" s="37"/>
      <c r="APC11" s="37"/>
      <c r="APD11" s="37"/>
      <c r="APE11" s="37"/>
      <c r="APF11" s="37"/>
      <c r="APG11" s="37"/>
      <c r="APH11" s="37"/>
      <c r="API11" s="37"/>
      <c r="APJ11" s="37"/>
      <c r="APK11" s="37"/>
      <c r="APL11" s="37"/>
      <c r="APM11" s="37"/>
      <c r="APN11" s="37"/>
      <c r="APO11" s="37"/>
      <c r="APP11" s="37"/>
      <c r="APQ11" s="37"/>
      <c r="APR11" s="37"/>
      <c r="APS11" s="37"/>
      <c r="APT11" s="37"/>
      <c r="APU11" s="37"/>
      <c r="APV11" s="37"/>
      <c r="APW11" s="37"/>
      <c r="APX11" s="37"/>
      <c r="APY11" s="37"/>
      <c r="APZ11" s="37"/>
      <c r="AQA11" s="37"/>
      <c r="AQB11" s="37"/>
      <c r="AQC11" s="37"/>
      <c r="AQD11" s="37"/>
      <c r="AQE11" s="37"/>
      <c r="AQF11" s="37"/>
      <c r="AQG11" s="37"/>
      <c r="AQH11" s="37"/>
      <c r="AQI11" s="37"/>
      <c r="AQJ11" s="37"/>
      <c r="AQK11" s="37"/>
      <c r="AQL11" s="37"/>
      <c r="AQM11" s="37"/>
      <c r="AQN11" s="37"/>
      <c r="AQO11" s="37"/>
      <c r="AQP11" s="37"/>
      <c r="AQQ11" s="37"/>
      <c r="AQR11" s="37"/>
      <c r="AQS11" s="37"/>
      <c r="AQT11" s="37"/>
      <c r="AQU11" s="37"/>
      <c r="AQV11" s="37"/>
      <c r="AQW11" s="37"/>
      <c r="AQX11" s="37"/>
      <c r="AQY11" s="37"/>
      <c r="AQZ11" s="37"/>
      <c r="ARA11" s="37"/>
      <c r="ARB11" s="37"/>
      <c r="ARC11" s="37"/>
      <c r="ARD11" s="37"/>
      <c r="ARE11" s="37"/>
      <c r="ARF11" s="37"/>
      <c r="ARG11" s="37"/>
      <c r="ARH11" s="37"/>
      <c r="ARI11" s="37"/>
      <c r="ARJ11" s="37"/>
      <c r="ARK11" s="37"/>
      <c r="ARL11" s="37"/>
      <c r="ARM11" s="37"/>
      <c r="ARN11" s="37"/>
      <c r="ARO11" s="37"/>
      <c r="ARP11" s="37"/>
      <c r="ARQ11" s="37"/>
      <c r="ARR11" s="37"/>
      <c r="ARS11" s="37"/>
      <c r="ART11" s="37"/>
      <c r="ARU11" s="37"/>
      <c r="ARV11" s="37"/>
      <c r="ARW11" s="37"/>
      <c r="ARX11" s="37"/>
      <c r="ARY11" s="37"/>
      <c r="ARZ11" s="37"/>
      <c r="ASA11" s="37"/>
      <c r="ASB11" s="37"/>
      <c r="ASC11" s="37"/>
      <c r="ASD11" s="37"/>
      <c r="ASE11" s="37"/>
      <c r="ASF11" s="37"/>
      <c r="ASG11" s="37"/>
      <c r="ASH11" s="37"/>
      <c r="ASI11" s="37"/>
      <c r="ASJ11" s="37"/>
      <c r="ASK11" s="37"/>
      <c r="ASL11" s="37"/>
      <c r="ASM11" s="37"/>
      <c r="ASN11" s="37"/>
      <c r="ASO11" s="37"/>
      <c r="ASP11" s="37"/>
      <c r="ASQ11" s="37"/>
      <c r="ASR11" s="37"/>
      <c r="ASS11" s="37"/>
      <c r="AST11" s="37"/>
      <c r="ASU11" s="37"/>
      <c r="ASV11" s="37"/>
      <c r="ASW11" s="37"/>
      <c r="ASX11" s="37"/>
      <c r="ASY11" s="37"/>
      <c r="ASZ11" s="37"/>
      <c r="ATA11" s="37"/>
      <c r="ATB11" s="37"/>
      <c r="ATC11" s="37"/>
      <c r="ATD11" s="37"/>
      <c r="ATE11" s="37"/>
      <c r="ATF11" s="37"/>
      <c r="ATG11" s="37"/>
      <c r="ATH11" s="37"/>
      <c r="ATI11" s="37"/>
      <c r="ATJ11" s="37"/>
      <c r="ATK11" s="37"/>
      <c r="ATL11" s="37"/>
      <c r="ATM11" s="37"/>
      <c r="ATN11" s="37"/>
      <c r="ATO11" s="37"/>
      <c r="ATP11" s="37"/>
      <c r="ATQ11" s="37"/>
      <c r="ATR11" s="37"/>
      <c r="ATS11" s="37"/>
      <c r="ATT11" s="37"/>
      <c r="ATU11" s="37"/>
      <c r="ATV11" s="37"/>
      <c r="ATW11" s="37"/>
      <c r="ATX11" s="37"/>
      <c r="ATY11" s="37"/>
      <c r="ATZ11" s="37"/>
      <c r="AUA11" s="37"/>
      <c r="AUB11" s="37"/>
      <c r="AUC11" s="37"/>
      <c r="AUD11" s="37"/>
      <c r="AUE11" s="37"/>
      <c r="AUF11" s="37"/>
      <c r="AUG11" s="37"/>
      <c r="AUH11" s="37"/>
      <c r="AUI11" s="37"/>
      <c r="AUJ11" s="37"/>
      <c r="AUK11" s="37"/>
      <c r="AUL11" s="37"/>
      <c r="AUM11" s="37"/>
      <c r="AUN11" s="37"/>
      <c r="AUO11" s="37"/>
      <c r="AUP11" s="37"/>
      <c r="AUQ11" s="37"/>
      <c r="AUR11" s="37"/>
      <c r="AUS11" s="37"/>
      <c r="AUT11" s="37"/>
      <c r="AUU11" s="37"/>
      <c r="AUV11" s="37"/>
      <c r="AUW11" s="37"/>
      <c r="AUX11" s="37"/>
      <c r="AUY11" s="37"/>
      <c r="AUZ11" s="37"/>
      <c r="AVA11" s="37"/>
      <c r="AVB11" s="37"/>
      <c r="AVC11" s="37"/>
      <c r="AVD11" s="37"/>
      <c r="AVE11" s="37"/>
      <c r="AVF11" s="37"/>
      <c r="AVG11" s="37"/>
      <c r="AVH11" s="37"/>
      <c r="AVI11" s="37"/>
      <c r="AVJ11" s="37"/>
      <c r="AVK11" s="37"/>
      <c r="AVL11" s="37"/>
      <c r="AVM11" s="37"/>
      <c r="AVN11" s="37"/>
      <c r="AVO11" s="37"/>
      <c r="AVP11" s="37"/>
      <c r="AVQ11" s="37"/>
      <c r="AVR11" s="37"/>
      <c r="AVS11" s="37"/>
      <c r="AVT11" s="37"/>
      <c r="AVU11" s="37"/>
      <c r="AVV11" s="37"/>
      <c r="AVW11" s="37"/>
      <c r="AVX11" s="37"/>
      <c r="AVY11" s="37"/>
      <c r="AVZ11" s="37"/>
      <c r="AWA11" s="37"/>
      <c r="AWB11" s="37"/>
      <c r="AWC11" s="37"/>
      <c r="AWD11" s="37"/>
      <c r="AWE11" s="37"/>
      <c r="AWF11" s="37"/>
      <c r="AWG11" s="37"/>
      <c r="AWH11" s="37"/>
      <c r="AWI11" s="37"/>
      <c r="AWJ11" s="37"/>
      <c r="AWK11" s="37"/>
      <c r="AWL11" s="37"/>
      <c r="AWM11" s="37"/>
      <c r="AWN11" s="37"/>
      <c r="AWO11" s="37"/>
      <c r="AWP11" s="37"/>
      <c r="AWQ11" s="37"/>
      <c r="AWR11" s="37"/>
      <c r="AWS11" s="37"/>
      <c r="AWT11" s="37"/>
      <c r="AWU11" s="37"/>
      <c r="AWV11" s="37"/>
      <c r="AWW11" s="37"/>
      <c r="AWX11" s="37"/>
      <c r="AWY11" s="37"/>
      <c r="AWZ11" s="37"/>
      <c r="AXA11" s="37"/>
      <c r="AXB11" s="37"/>
      <c r="AXC11" s="37"/>
      <c r="AXD11" s="37"/>
      <c r="AXE11" s="37"/>
      <c r="AXF11" s="37"/>
      <c r="AXG11" s="37"/>
      <c r="AXH11" s="37"/>
      <c r="AXI11" s="37"/>
      <c r="AXJ11" s="37"/>
      <c r="AXK11" s="37"/>
      <c r="AXL11" s="37"/>
      <c r="AXM11" s="37"/>
      <c r="AXN11" s="37"/>
      <c r="AXO11" s="37"/>
      <c r="AXP11" s="37"/>
      <c r="AXQ11" s="37"/>
      <c r="AXR11" s="37"/>
      <c r="AXS11" s="37"/>
      <c r="AXT11" s="37"/>
      <c r="AXU11" s="37"/>
      <c r="AXV11" s="37"/>
      <c r="AXW11" s="37"/>
      <c r="AXX11" s="37"/>
      <c r="AXY11" s="37"/>
      <c r="AXZ11" s="37"/>
      <c r="AYA11" s="37"/>
      <c r="AYB11" s="37"/>
      <c r="AYC11" s="37"/>
      <c r="AYD11" s="37"/>
      <c r="AYE11" s="37"/>
      <c r="AYF11" s="37"/>
      <c r="AYG11" s="37"/>
      <c r="AYH11" s="37"/>
      <c r="AYI11" s="37"/>
      <c r="AYJ11" s="37"/>
      <c r="AYK11" s="37"/>
      <c r="AYL11" s="37"/>
      <c r="AYM11" s="37"/>
      <c r="AYN11" s="37"/>
      <c r="AYO11" s="37"/>
      <c r="AYP11" s="37"/>
      <c r="AYQ11" s="37"/>
      <c r="AYR11" s="37"/>
      <c r="AYS11" s="37"/>
      <c r="AYT11" s="37"/>
      <c r="AYU11" s="37"/>
      <c r="AYV11" s="37"/>
      <c r="AYW11" s="37"/>
      <c r="AYX11" s="37"/>
      <c r="AYY11" s="37"/>
      <c r="AYZ11" s="37"/>
      <c r="AZA11" s="37"/>
      <c r="AZB11" s="37"/>
      <c r="AZC11" s="37"/>
      <c r="AZD11" s="37"/>
      <c r="AZE11" s="37"/>
      <c r="AZF11" s="37"/>
      <c r="AZG11" s="37"/>
      <c r="AZH11" s="37"/>
      <c r="AZI11" s="37"/>
      <c r="AZJ11" s="37"/>
      <c r="AZK11" s="37"/>
      <c r="AZL11" s="37"/>
      <c r="AZM11" s="37"/>
      <c r="AZN11" s="37"/>
      <c r="AZO11" s="37"/>
      <c r="AZP11" s="37"/>
      <c r="AZQ11" s="37"/>
      <c r="AZR11" s="37"/>
      <c r="AZS11" s="37"/>
      <c r="AZT11" s="37"/>
      <c r="AZU11" s="37"/>
      <c r="AZV11" s="37"/>
      <c r="AZW11" s="37"/>
      <c r="AZX11" s="37"/>
      <c r="AZY11" s="37"/>
      <c r="AZZ11" s="37"/>
      <c r="BAA11" s="37"/>
      <c r="BAB11" s="37"/>
      <c r="BAC11" s="37"/>
      <c r="BAD11" s="37"/>
      <c r="BAE11" s="37"/>
      <c r="BAF11" s="37"/>
      <c r="BAG11" s="37"/>
      <c r="BAH11" s="37"/>
      <c r="BAI11" s="37"/>
      <c r="BAJ11" s="37"/>
      <c r="BAK11" s="37"/>
      <c r="BAL11" s="37"/>
      <c r="BAM11" s="37"/>
      <c r="BAN11" s="37"/>
      <c r="BAO11" s="37"/>
      <c r="BAP11" s="37"/>
      <c r="BAQ11" s="37"/>
      <c r="BAR11" s="37"/>
      <c r="BAS11" s="37"/>
      <c r="BAT11" s="37"/>
      <c r="BAU11" s="37"/>
      <c r="BAV11" s="37"/>
      <c r="BAW11" s="37"/>
      <c r="BAX11" s="37"/>
      <c r="BAY11" s="37"/>
      <c r="BAZ11" s="37"/>
      <c r="BBA11" s="37"/>
      <c r="BBB11" s="37"/>
      <c r="BBC11" s="37"/>
      <c r="BBD11" s="37"/>
      <c r="BBE11" s="37"/>
      <c r="BBF11" s="37"/>
      <c r="BBG11" s="37"/>
      <c r="BBH11" s="37"/>
      <c r="BBI11" s="37"/>
      <c r="BBJ11" s="37"/>
      <c r="BBK11" s="37"/>
      <c r="BBL11" s="37"/>
      <c r="BBM11" s="37"/>
      <c r="BBN11" s="37"/>
      <c r="BBO11" s="37"/>
      <c r="BBP11" s="37"/>
      <c r="BBQ11" s="37"/>
      <c r="BBR11" s="37"/>
      <c r="BBS11" s="37"/>
      <c r="BBT11" s="37"/>
      <c r="BBU11" s="37"/>
      <c r="BBV11" s="37"/>
      <c r="BBW11" s="37"/>
      <c r="BBX11" s="37"/>
      <c r="BBY11" s="37"/>
      <c r="BBZ11" s="37"/>
      <c r="BCA11" s="37"/>
      <c r="BCB11" s="37"/>
      <c r="BCC11" s="37"/>
      <c r="BCD11" s="37"/>
      <c r="BCE11" s="37"/>
      <c r="BCF11" s="37"/>
      <c r="BCG11" s="37"/>
      <c r="BCH11" s="37"/>
      <c r="BCI11" s="37"/>
      <c r="BCJ11" s="37"/>
      <c r="BCK11" s="37"/>
      <c r="BCL11" s="37"/>
      <c r="BCM11" s="37"/>
      <c r="BCN11" s="37"/>
      <c r="BCO11" s="37"/>
      <c r="BCP11" s="37"/>
      <c r="BCQ11" s="37"/>
      <c r="BCR11" s="37"/>
      <c r="BCS11" s="37"/>
      <c r="BCT11" s="37"/>
      <c r="BCU11" s="37"/>
      <c r="BCV11" s="37"/>
      <c r="BCW11" s="37"/>
      <c r="BCX11" s="37"/>
      <c r="BCY11" s="37"/>
      <c r="BCZ11" s="37"/>
      <c r="BDA11" s="37"/>
      <c r="BDB11" s="37"/>
      <c r="BDC11" s="37"/>
      <c r="BDD11" s="37"/>
      <c r="BDE11" s="37"/>
      <c r="BDF11" s="37"/>
      <c r="BDG11" s="37"/>
      <c r="BDH11" s="37"/>
      <c r="BDI11" s="37"/>
      <c r="BDJ11" s="37"/>
      <c r="BDK11" s="37"/>
      <c r="BDL11" s="37"/>
      <c r="BDM11" s="37"/>
      <c r="BDN11" s="37"/>
      <c r="BDO11" s="37"/>
      <c r="BDP11" s="37"/>
      <c r="BDQ11" s="37"/>
      <c r="BDR11" s="37"/>
      <c r="BDS11" s="37"/>
      <c r="BDT11" s="37"/>
      <c r="BDU11" s="37"/>
      <c r="BDV11" s="37"/>
      <c r="BDW11" s="37"/>
      <c r="BDX11" s="37"/>
      <c r="BDY11" s="37"/>
      <c r="BDZ11" s="37"/>
      <c r="BEA11" s="37"/>
      <c r="BEB11" s="37"/>
      <c r="BEC11" s="37"/>
      <c r="BED11" s="37"/>
      <c r="BEE11" s="37"/>
      <c r="BEF11" s="37"/>
      <c r="BEG11" s="37"/>
      <c r="BEH11" s="37"/>
      <c r="BEI11" s="37"/>
      <c r="BEJ11" s="37"/>
      <c r="BEK11" s="37"/>
      <c r="BEL11" s="37"/>
      <c r="BEM11" s="37"/>
      <c r="BEN11" s="37"/>
      <c r="BEO11" s="37"/>
      <c r="BEP11" s="37"/>
      <c r="BEQ11" s="37"/>
      <c r="BER11" s="37"/>
      <c r="BES11" s="37"/>
      <c r="BET11" s="37"/>
      <c r="BEU11" s="37"/>
      <c r="BEV11" s="37"/>
      <c r="BEW11" s="37"/>
      <c r="BEX11" s="37"/>
      <c r="BEY11" s="37"/>
      <c r="BEZ11" s="37"/>
      <c r="BFA11" s="37"/>
      <c r="BFB11" s="37"/>
      <c r="BFC11" s="37"/>
      <c r="BFD11" s="37"/>
      <c r="BFE11" s="37"/>
      <c r="BFF11" s="37"/>
      <c r="BFG11" s="37"/>
      <c r="BFH11" s="37"/>
      <c r="BFI11" s="37"/>
      <c r="BFJ11" s="37"/>
      <c r="BFK11" s="37"/>
      <c r="BFL11" s="37"/>
      <c r="BFM11" s="37"/>
      <c r="BFN11" s="37"/>
      <c r="BFO11" s="37"/>
      <c r="BFP11" s="37"/>
      <c r="BFQ11" s="37"/>
      <c r="BFR11" s="37"/>
      <c r="BFS11" s="37"/>
      <c r="BFT11" s="37"/>
      <c r="BFU11" s="37"/>
      <c r="BFV11" s="37"/>
      <c r="BFW11" s="37"/>
      <c r="BFX11" s="37"/>
      <c r="BFY11" s="37"/>
      <c r="BFZ11" s="37"/>
      <c r="BGA11" s="37"/>
      <c r="BGB11" s="37"/>
      <c r="BGC11" s="37"/>
      <c r="BGD11" s="37"/>
      <c r="BGE11" s="37"/>
      <c r="BGF11" s="37"/>
      <c r="BGG11" s="37"/>
      <c r="BGH11" s="37"/>
      <c r="BGI11" s="37"/>
      <c r="BGJ11" s="37"/>
      <c r="BGK11" s="37"/>
      <c r="BGL11" s="37"/>
      <c r="BGM11" s="37"/>
      <c r="BGN11" s="37"/>
      <c r="BGO11" s="37"/>
      <c r="BGP11" s="37"/>
      <c r="BGQ11" s="37"/>
      <c r="BGR11" s="37"/>
      <c r="BGS11" s="37"/>
      <c r="BGT11" s="37"/>
      <c r="BGU11" s="37"/>
      <c r="BGV11" s="37"/>
      <c r="BGW11" s="37"/>
      <c r="BGX11" s="37"/>
      <c r="BGY11" s="37"/>
      <c r="BGZ11" s="37"/>
      <c r="BHA11" s="37"/>
      <c r="BHB11" s="37"/>
      <c r="BHC11" s="37"/>
      <c r="BHD11" s="37"/>
      <c r="BHE11" s="37"/>
      <c r="BHF11" s="37"/>
      <c r="BHG11" s="37"/>
      <c r="BHH11" s="37"/>
      <c r="BHI11" s="37"/>
      <c r="BHJ11" s="37"/>
      <c r="BHK11" s="37"/>
      <c r="BHL11" s="37"/>
      <c r="BHM11" s="37"/>
      <c r="BHN11" s="37"/>
      <c r="BHO11" s="37"/>
      <c r="BHP11" s="37"/>
      <c r="BHQ11" s="37"/>
      <c r="BHR11" s="37"/>
      <c r="BHS11" s="37"/>
      <c r="BHT11" s="37"/>
      <c r="BHU11" s="37"/>
      <c r="BHV11" s="37"/>
      <c r="BHW11" s="37"/>
      <c r="BHX11" s="37"/>
      <c r="BHY11" s="37"/>
      <c r="BHZ11" s="37"/>
      <c r="BIA11" s="37"/>
      <c r="BIB11" s="37"/>
      <c r="BIC11" s="37"/>
      <c r="BID11" s="37"/>
      <c r="BIE11" s="37"/>
      <c r="BIF11" s="37"/>
      <c r="BIG11" s="37"/>
      <c r="BIH11" s="37"/>
      <c r="BII11" s="37"/>
      <c r="BIJ11" s="37"/>
      <c r="BIK11" s="37"/>
      <c r="BIL11" s="37"/>
      <c r="BIM11" s="37"/>
      <c r="BIN11" s="37"/>
      <c r="BIO11" s="37"/>
      <c r="BIP11" s="37"/>
      <c r="BIQ11" s="37"/>
      <c r="BIR11" s="37"/>
      <c r="BIS11" s="37"/>
      <c r="BIT11" s="37"/>
      <c r="BIU11" s="37"/>
      <c r="BIV11" s="37"/>
      <c r="BIW11" s="37"/>
      <c r="BIX11" s="37"/>
      <c r="BIY11" s="37"/>
      <c r="BIZ11" s="37"/>
      <c r="BJA11" s="37"/>
      <c r="BJB11" s="37"/>
      <c r="BJC11" s="37"/>
      <c r="BJD11" s="37"/>
      <c r="BJE11" s="37"/>
      <c r="BJF11" s="37"/>
      <c r="BJG11" s="37"/>
      <c r="BJH11" s="37"/>
      <c r="BJI11" s="37"/>
      <c r="BJJ11" s="37"/>
      <c r="BJK11" s="37"/>
      <c r="BJL11" s="37"/>
      <c r="BJM11" s="37"/>
      <c r="BJN11" s="37"/>
      <c r="BJO11" s="37"/>
      <c r="BJP11" s="37"/>
      <c r="BJQ11" s="37"/>
      <c r="BJR11" s="37"/>
      <c r="BJS11" s="37"/>
      <c r="BJT11" s="37"/>
      <c r="BJU11" s="37"/>
      <c r="BJV11" s="37"/>
      <c r="BJW11" s="37"/>
      <c r="BJX11" s="37"/>
      <c r="BJY11" s="37"/>
      <c r="BJZ11" s="37"/>
      <c r="BKA11" s="37"/>
      <c r="BKB11" s="37"/>
      <c r="BKC11" s="37"/>
      <c r="BKD11" s="37"/>
      <c r="BKE11" s="37"/>
      <c r="BKF11" s="37"/>
      <c r="BKG11" s="37"/>
      <c r="BKH11" s="37"/>
      <c r="BKI11" s="37"/>
      <c r="BKJ11" s="37"/>
      <c r="BKK11" s="37"/>
      <c r="BKL11" s="37"/>
      <c r="BKM11" s="37"/>
      <c r="BKN11" s="37"/>
      <c r="BKO11" s="37"/>
      <c r="BKP11" s="37"/>
      <c r="BKQ11" s="37"/>
      <c r="BKR11" s="37"/>
      <c r="BKS11" s="37"/>
      <c r="BKT11" s="37"/>
      <c r="BKU11" s="37"/>
      <c r="BKV11" s="37"/>
      <c r="BKW11" s="37"/>
      <c r="BKX11" s="37"/>
      <c r="BKY11" s="37"/>
      <c r="BKZ11" s="37"/>
      <c r="BLA11" s="37"/>
      <c r="BLB11" s="37"/>
      <c r="BLC11" s="37"/>
      <c r="BLD11" s="37"/>
      <c r="BLE11" s="37"/>
      <c r="BLF11" s="37"/>
      <c r="BLG11" s="37"/>
      <c r="BLH11" s="37"/>
      <c r="BLI11" s="37"/>
      <c r="BLJ11" s="37"/>
      <c r="BLK11" s="37"/>
      <c r="BLL11" s="37"/>
      <c r="BLM11" s="37"/>
      <c r="BLN11" s="37"/>
      <c r="BLO11" s="37"/>
      <c r="BLP11" s="37"/>
      <c r="BLQ11" s="37"/>
      <c r="BLR11" s="37"/>
      <c r="BLS11" s="37"/>
      <c r="BLT11" s="37"/>
      <c r="BLU11" s="37"/>
      <c r="BLV11" s="37"/>
      <c r="BLW11" s="37"/>
      <c r="BLX11" s="37"/>
      <c r="BLY11" s="37"/>
      <c r="BLZ11" s="37"/>
      <c r="BMA11" s="37"/>
      <c r="BMB11" s="37"/>
      <c r="BMC11" s="37"/>
      <c r="BMD11" s="37"/>
      <c r="BME11" s="37"/>
      <c r="BMF11" s="37"/>
      <c r="BMG11" s="37"/>
      <c r="BMH11" s="37"/>
      <c r="BMI11" s="37"/>
      <c r="BMJ11" s="37"/>
      <c r="BMK11" s="37"/>
      <c r="BML11" s="37"/>
      <c r="BMM11" s="37"/>
      <c r="BMN11" s="37"/>
      <c r="BMO11" s="37"/>
      <c r="BMP11" s="37"/>
      <c r="BMQ11" s="37"/>
      <c r="BMR11" s="37"/>
      <c r="BMS11" s="37"/>
      <c r="BMT11" s="37"/>
      <c r="BMU11" s="37"/>
      <c r="BMV11" s="37"/>
      <c r="BMW11" s="37"/>
      <c r="BMX11" s="37"/>
      <c r="BMY11" s="37"/>
      <c r="BMZ11" s="37"/>
      <c r="BNA11" s="37"/>
      <c r="BNB11" s="37"/>
      <c r="BNC11" s="37"/>
      <c r="BND11" s="37"/>
      <c r="BNE11" s="37"/>
      <c r="BNF11" s="37"/>
      <c r="BNG11" s="37"/>
      <c r="BNH11" s="37"/>
      <c r="BNI11" s="37"/>
      <c r="BNJ11" s="37"/>
      <c r="BNK11" s="37"/>
      <c r="BNL11" s="37"/>
      <c r="BNM11" s="37"/>
      <c r="BNN11" s="37"/>
      <c r="BNO11" s="37"/>
      <c r="BNP11" s="37"/>
      <c r="BNQ11" s="37"/>
      <c r="BNR11" s="37"/>
      <c r="BNS11" s="37"/>
      <c r="BNT11" s="37"/>
      <c r="BNU11" s="37"/>
      <c r="BNV11" s="37"/>
      <c r="BNW11" s="37"/>
      <c r="BNX11" s="37"/>
      <c r="BNY11" s="37"/>
      <c r="BNZ11" s="37"/>
      <c r="BOA11" s="37"/>
      <c r="BOB11" s="37"/>
      <c r="BOC11" s="37"/>
      <c r="BOD11" s="37"/>
      <c r="BOE11" s="37"/>
      <c r="BOF11" s="37"/>
      <c r="BOG11" s="37"/>
      <c r="BOH11" s="37"/>
      <c r="BOI11" s="37"/>
      <c r="BOJ11" s="37"/>
      <c r="BOK11" s="37"/>
      <c r="BOL11" s="37"/>
      <c r="BOM11" s="37"/>
      <c r="BON11" s="37"/>
      <c r="BOO11" s="37"/>
      <c r="BOP11" s="37"/>
      <c r="BOQ11" s="37"/>
      <c r="BOR11" s="37"/>
      <c r="BOS11" s="37"/>
      <c r="BOT11" s="37"/>
      <c r="BOU11" s="37"/>
      <c r="BOV11" s="37"/>
      <c r="BOW11" s="37"/>
      <c r="BOX11" s="37"/>
      <c r="BOY11" s="37"/>
      <c r="BOZ11" s="37"/>
      <c r="BPA11" s="37"/>
      <c r="BPB11" s="37"/>
      <c r="BPC11" s="37"/>
      <c r="BPD11" s="37"/>
      <c r="BPE11" s="37"/>
      <c r="BPF11" s="37"/>
      <c r="BPG11" s="37"/>
      <c r="BPH11" s="37"/>
      <c r="BPI11" s="37"/>
      <c r="BPJ11" s="37"/>
      <c r="BPK11" s="37"/>
      <c r="BPL11" s="37"/>
      <c r="BPM11" s="37"/>
      <c r="BPN11" s="37"/>
      <c r="BPO11" s="37"/>
      <c r="BPP11" s="37"/>
      <c r="BPQ11" s="37"/>
      <c r="BPR11" s="37"/>
      <c r="BPS11" s="37"/>
      <c r="BPT11" s="37"/>
      <c r="BPU11" s="37"/>
      <c r="BPV11" s="37"/>
      <c r="BPW11" s="37"/>
      <c r="BPX11" s="37"/>
      <c r="BPY11" s="37"/>
      <c r="BPZ11" s="37"/>
      <c r="BQA11" s="37"/>
      <c r="BQB11" s="37"/>
      <c r="BQC11" s="37"/>
      <c r="BQD11" s="37"/>
      <c r="BQE11" s="37"/>
      <c r="BQF11" s="37"/>
      <c r="BQG11" s="37"/>
      <c r="BQH11" s="37"/>
      <c r="BQI11" s="37"/>
      <c r="BQJ11" s="37"/>
      <c r="BQK11" s="37"/>
      <c r="BQL11" s="37"/>
      <c r="BQM11" s="37"/>
      <c r="BQN11" s="37"/>
      <c r="BQO11" s="37"/>
      <c r="BQP11" s="37"/>
      <c r="BQQ11" s="37"/>
      <c r="BQR11" s="37"/>
      <c r="BQS11" s="37"/>
      <c r="BQT11" s="37"/>
      <c r="BQU11" s="37"/>
      <c r="BQV11" s="37"/>
      <c r="BQW11" s="37"/>
      <c r="BQX11" s="37"/>
      <c r="BQY11" s="37"/>
      <c r="BQZ11" s="37"/>
      <c r="BRA11" s="37"/>
      <c r="BRB11" s="37"/>
      <c r="BRC11" s="37"/>
      <c r="BRD11" s="37"/>
      <c r="BRE11" s="37"/>
      <c r="BRF11" s="37"/>
      <c r="BRG11" s="37"/>
      <c r="BRH11" s="37"/>
      <c r="BRI11" s="37"/>
      <c r="BRJ11" s="37"/>
      <c r="BRK11" s="37"/>
      <c r="BRL11" s="37"/>
      <c r="BRM11" s="37"/>
      <c r="BRN11" s="37"/>
      <c r="BRO11" s="37"/>
      <c r="BRP11" s="37"/>
      <c r="BRQ11" s="37"/>
      <c r="BRR11" s="37"/>
      <c r="BRS11" s="37"/>
      <c r="BRT11" s="37"/>
      <c r="BRU11" s="37"/>
      <c r="BRV11" s="37"/>
      <c r="BRW11" s="37"/>
      <c r="BRX11" s="37"/>
      <c r="BRY11" s="37"/>
      <c r="BRZ11" s="37"/>
      <c r="BSA11" s="37"/>
      <c r="BSB11" s="37"/>
      <c r="BSC11" s="37"/>
      <c r="BSD11" s="37"/>
      <c r="BSE11" s="37"/>
      <c r="BSF11" s="37"/>
      <c r="BSG11" s="37"/>
      <c r="BSH11" s="37"/>
      <c r="BSI11" s="37"/>
      <c r="BSJ11" s="37"/>
      <c r="BSK11" s="37"/>
      <c r="BSL11" s="37"/>
      <c r="BSM11" s="37"/>
      <c r="BSN11" s="37"/>
      <c r="BSO11" s="37"/>
      <c r="BSP11" s="37"/>
      <c r="BSQ11" s="37"/>
      <c r="BSR11" s="37"/>
      <c r="BSS11" s="37"/>
      <c r="BST11" s="37"/>
      <c r="BSU11" s="37"/>
      <c r="BSV11" s="37"/>
      <c r="BSW11" s="37"/>
      <c r="BSX11" s="37"/>
      <c r="BSY11" s="37"/>
      <c r="BSZ11" s="37"/>
      <c r="BTA11" s="37"/>
      <c r="BTB11" s="37"/>
      <c r="BTC11" s="37"/>
      <c r="BTD11" s="37"/>
      <c r="BTE11" s="37"/>
      <c r="BTF11" s="37"/>
      <c r="BTG11" s="37"/>
      <c r="BTH11" s="37"/>
      <c r="BTI11" s="37"/>
      <c r="BTJ11" s="37"/>
      <c r="BTK11" s="37"/>
      <c r="BTL11" s="37"/>
      <c r="BTM11" s="37"/>
      <c r="BTN11" s="37"/>
      <c r="BTO11" s="37"/>
      <c r="BTP11" s="37"/>
      <c r="BTQ11" s="37"/>
      <c r="BTR11" s="37"/>
      <c r="BTS11" s="37"/>
      <c r="BTT11" s="37"/>
      <c r="BTU11" s="37"/>
      <c r="BTV11" s="37"/>
      <c r="BTW11" s="37"/>
      <c r="BTX11" s="37"/>
      <c r="BTY11" s="37"/>
      <c r="BTZ11" s="37"/>
      <c r="BUA11" s="37"/>
      <c r="BUB11" s="37"/>
      <c r="BUC11" s="37"/>
      <c r="BUD11" s="37"/>
      <c r="BUE11" s="37"/>
      <c r="BUF11" s="37"/>
      <c r="BUG11" s="37"/>
      <c r="BUH11" s="37"/>
      <c r="BUI11" s="37"/>
      <c r="BUJ11" s="37"/>
      <c r="BUK11" s="37"/>
      <c r="BUL11" s="37"/>
      <c r="BUM11" s="37"/>
      <c r="BUN11" s="37"/>
      <c r="BUO11" s="37"/>
      <c r="BUP11" s="37"/>
      <c r="BUQ11" s="37"/>
      <c r="BUR11" s="37"/>
      <c r="BUS11" s="37"/>
      <c r="BUT11" s="37"/>
      <c r="BUU11" s="37"/>
      <c r="BUV11" s="37"/>
      <c r="BUW11" s="37"/>
      <c r="BUX11" s="37"/>
      <c r="BUY11" s="37"/>
      <c r="BUZ11" s="37"/>
      <c r="BVA11" s="37"/>
      <c r="BVB11" s="37"/>
      <c r="BVC11" s="37"/>
      <c r="BVD11" s="37"/>
      <c r="BVE11" s="37"/>
      <c r="BVF11" s="37"/>
      <c r="BVG11" s="37"/>
      <c r="BVH11" s="37"/>
      <c r="BVI11" s="37"/>
      <c r="BVJ11" s="37"/>
      <c r="BVK11" s="37"/>
      <c r="BVL11" s="37"/>
      <c r="BVM11" s="37"/>
      <c r="BVN11" s="37"/>
      <c r="BVO11" s="37"/>
      <c r="BVP11" s="37"/>
      <c r="BVQ11" s="37"/>
      <c r="BVR11" s="37"/>
      <c r="BVS11" s="37"/>
      <c r="BVT11" s="37"/>
      <c r="BVU11" s="37"/>
      <c r="BVV11" s="37"/>
      <c r="BVW11" s="37"/>
      <c r="BVX11" s="37"/>
      <c r="BVY11" s="37"/>
      <c r="BVZ11" s="37"/>
      <c r="BWA11" s="37"/>
      <c r="BWB11" s="37"/>
      <c r="BWC11" s="37"/>
      <c r="BWD11" s="37"/>
      <c r="BWE11" s="37"/>
      <c r="BWF11" s="37"/>
      <c r="BWG11" s="37"/>
      <c r="BWH11" s="37"/>
      <c r="BWI11" s="37"/>
      <c r="BWJ11" s="37"/>
    </row>
    <row r="12" spans="1:1960" x14ac:dyDescent="0.25">
      <c r="A12" s="38">
        <v>7</v>
      </c>
      <c r="B12" s="39">
        <v>20</v>
      </c>
      <c r="C12" s="40">
        <v>1000</v>
      </c>
      <c r="D12" s="41" t="s">
        <v>23</v>
      </c>
      <c r="E12" s="271">
        <f ca="1"/>
        <v>69</v>
      </c>
      <c r="F12" s="33">
        <v>-100</v>
      </c>
      <c r="G12" s="33">
        <v>1000</v>
      </c>
      <c r="H12" s="43">
        <f ca="1"/>
        <v>-100</v>
      </c>
      <c r="I12" s="33">
        <f ca="1"/>
        <v>43.4</v>
      </c>
      <c r="J12" s="35">
        <v>7</v>
      </c>
      <c r="K12" s="36">
        <v>120</v>
      </c>
      <c r="L12" s="37">
        <v>120</v>
      </c>
      <c r="M12" s="37">
        <v>120</v>
      </c>
      <c r="N12" s="37">
        <v>120</v>
      </c>
      <c r="O12" s="37">
        <v>120</v>
      </c>
      <c r="P12" s="37">
        <v>120</v>
      </c>
      <c r="Q12" s="37">
        <v>120</v>
      </c>
      <c r="R12" s="37">
        <v>120</v>
      </c>
      <c r="S12" s="37">
        <v>120</v>
      </c>
      <c r="T12" s="37">
        <v>120</v>
      </c>
      <c r="U12" s="37">
        <v>120</v>
      </c>
      <c r="V12" s="37">
        <v>120</v>
      </c>
      <c r="W12" s="37">
        <v>120</v>
      </c>
      <c r="X12" s="37">
        <v>120</v>
      </c>
      <c r="Y12" s="37">
        <v>120</v>
      </c>
      <c r="Z12" s="37">
        <v>120</v>
      </c>
      <c r="AA12" s="37">
        <v>120</v>
      </c>
      <c r="AB12" s="37">
        <v>120</v>
      </c>
      <c r="AC12" s="37">
        <v>120</v>
      </c>
      <c r="AD12" s="37">
        <v>120</v>
      </c>
      <c r="AE12" s="37">
        <v>120</v>
      </c>
      <c r="AF12" s="37">
        <v>120</v>
      </c>
      <c r="AG12" s="37">
        <v>120</v>
      </c>
      <c r="AH12" s="37">
        <v>120</v>
      </c>
      <c r="AI12" s="37">
        <v>120</v>
      </c>
      <c r="AJ12" s="37">
        <v>120</v>
      </c>
      <c r="AK12" s="37">
        <v>120</v>
      </c>
      <c r="AL12" s="37">
        <v>120</v>
      </c>
      <c r="AM12" s="37">
        <v>120</v>
      </c>
      <c r="AN12" s="37">
        <v>120</v>
      </c>
      <c r="AO12" s="37">
        <v>120</v>
      </c>
      <c r="AP12" s="37">
        <v>120</v>
      </c>
      <c r="AQ12" s="37">
        <v>120</v>
      </c>
      <c r="AR12" s="37">
        <v>120</v>
      </c>
      <c r="AS12" s="37">
        <v>120</v>
      </c>
      <c r="AT12" s="37">
        <v>120</v>
      </c>
      <c r="AU12" s="37">
        <v>120</v>
      </c>
      <c r="AV12" s="37">
        <v>120</v>
      </c>
      <c r="AW12" s="37">
        <v>120</v>
      </c>
      <c r="AX12" s="37">
        <v>120</v>
      </c>
      <c r="AY12" s="37">
        <v>120</v>
      </c>
      <c r="AZ12" s="37">
        <v>95</v>
      </c>
      <c r="BA12" s="37">
        <v>95</v>
      </c>
      <c r="BB12" s="37">
        <v>70</v>
      </c>
      <c r="BC12" s="37">
        <v>70</v>
      </c>
      <c r="BD12" s="37">
        <v>45</v>
      </c>
      <c r="BE12" s="37">
        <v>45</v>
      </c>
      <c r="BF12" s="37">
        <v>20</v>
      </c>
      <c r="BG12" s="37">
        <v>20</v>
      </c>
      <c r="BH12" s="37">
        <v>20</v>
      </c>
      <c r="BI12" s="37">
        <v>20</v>
      </c>
      <c r="BJ12" s="37">
        <v>20</v>
      </c>
      <c r="BK12" s="37">
        <v>20</v>
      </c>
      <c r="BL12" s="37">
        <v>20</v>
      </c>
      <c r="BM12" s="37">
        <v>20</v>
      </c>
      <c r="BN12" s="37">
        <v>20</v>
      </c>
      <c r="BO12" s="37">
        <v>20</v>
      </c>
      <c r="BP12" s="37">
        <v>20</v>
      </c>
      <c r="BQ12" s="37">
        <v>20</v>
      </c>
      <c r="BR12" s="37">
        <v>20</v>
      </c>
      <c r="BS12" s="37">
        <v>20</v>
      </c>
      <c r="BT12" s="37">
        <v>20</v>
      </c>
      <c r="BU12" s="37">
        <v>20</v>
      </c>
      <c r="BV12" s="37">
        <v>20</v>
      </c>
      <c r="BW12" s="37">
        <v>20</v>
      </c>
      <c r="BX12" s="37">
        <v>20</v>
      </c>
      <c r="BY12" s="37">
        <v>20</v>
      </c>
      <c r="BZ12" s="37">
        <v>20</v>
      </c>
      <c r="CA12" s="37">
        <v>0</v>
      </c>
      <c r="CB12" s="37">
        <v>0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  <c r="AMD12" s="37"/>
      <c r="AME12" s="37"/>
      <c r="AMF12" s="37"/>
      <c r="AMG12" s="37"/>
      <c r="AMH12" s="37"/>
      <c r="AMI12" s="37"/>
      <c r="AMJ12" s="37"/>
      <c r="AMK12" s="37"/>
      <c r="AML12" s="37"/>
      <c r="AMM12" s="37"/>
      <c r="AMN12" s="37"/>
      <c r="AMO12" s="37"/>
      <c r="AMP12" s="37"/>
      <c r="AMQ12" s="37"/>
      <c r="AMR12" s="37"/>
      <c r="AMS12" s="37"/>
      <c r="AMT12" s="37"/>
      <c r="AMU12" s="37"/>
      <c r="AMV12" s="37"/>
      <c r="AMW12" s="37"/>
      <c r="AMX12" s="37"/>
      <c r="AMY12" s="37"/>
      <c r="AMZ12" s="37"/>
      <c r="ANA12" s="37"/>
      <c r="ANB12" s="37"/>
      <c r="ANC12" s="37"/>
      <c r="AND12" s="37"/>
      <c r="ANE12" s="37"/>
      <c r="ANF12" s="37"/>
      <c r="ANG12" s="37"/>
      <c r="ANH12" s="37"/>
      <c r="ANI12" s="37"/>
      <c r="ANJ12" s="37"/>
      <c r="ANK12" s="37"/>
      <c r="ANL12" s="37"/>
      <c r="ANM12" s="37"/>
      <c r="ANN12" s="37"/>
      <c r="ANO12" s="37"/>
      <c r="ANP12" s="37"/>
      <c r="ANQ12" s="37"/>
      <c r="ANR12" s="37"/>
      <c r="ANS12" s="37"/>
      <c r="ANT12" s="37"/>
      <c r="ANU12" s="37"/>
      <c r="ANV12" s="37"/>
      <c r="ANW12" s="37"/>
      <c r="ANX12" s="37"/>
      <c r="ANY12" s="37"/>
      <c r="ANZ12" s="37"/>
      <c r="AOA12" s="37"/>
      <c r="AOB12" s="37"/>
      <c r="AOC12" s="37"/>
      <c r="AOD12" s="37"/>
      <c r="AOE12" s="37"/>
      <c r="AOF12" s="37"/>
      <c r="AOG12" s="37"/>
      <c r="AOH12" s="37"/>
      <c r="AOI12" s="37"/>
      <c r="AOJ12" s="37"/>
      <c r="AOK12" s="37"/>
      <c r="AOL12" s="37"/>
      <c r="AOM12" s="37"/>
      <c r="AON12" s="37"/>
      <c r="AOO12" s="37"/>
      <c r="AOP12" s="37"/>
      <c r="AOQ12" s="37"/>
      <c r="AOR12" s="37"/>
      <c r="AOS12" s="37"/>
      <c r="AOT12" s="37"/>
      <c r="AOU12" s="37"/>
      <c r="AOV12" s="37"/>
      <c r="AOW12" s="37"/>
      <c r="AOX12" s="37"/>
      <c r="AOY12" s="37"/>
      <c r="AOZ12" s="37"/>
      <c r="APA12" s="37"/>
      <c r="APB12" s="37"/>
      <c r="APC12" s="37"/>
      <c r="APD12" s="37"/>
      <c r="APE12" s="37"/>
      <c r="APF12" s="37"/>
      <c r="APG12" s="37"/>
      <c r="APH12" s="37"/>
      <c r="API12" s="37"/>
      <c r="APJ12" s="37"/>
      <c r="APK12" s="37"/>
      <c r="APL12" s="37"/>
      <c r="APM12" s="37"/>
      <c r="APN12" s="37"/>
      <c r="APO12" s="37"/>
      <c r="APP12" s="37"/>
      <c r="APQ12" s="37"/>
      <c r="APR12" s="37"/>
      <c r="APS12" s="37"/>
      <c r="APT12" s="37"/>
      <c r="APU12" s="37"/>
      <c r="APV12" s="37"/>
      <c r="APW12" s="37"/>
      <c r="APX12" s="37"/>
      <c r="APY12" s="37"/>
      <c r="APZ12" s="37"/>
      <c r="AQA12" s="37"/>
      <c r="AQB12" s="37"/>
      <c r="AQC12" s="37"/>
      <c r="AQD12" s="37"/>
      <c r="AQE12" s="37"/>
      <c r="AQF12" s="37"/>
      <c r="AQG12" s="37"/>
      <c r="AQH12" s="37"/>
      <c r="AQI12" s="37"/>
      <c r="AQJ12" s="37"/>
      <c r="AQK12" s="37"/>
      <c r="AQL12" s="37"/>
      <c r="AQM12" s="37"/>
      <c r="AQN12" s="37"/>
      <c r="AQO12" s="37"/>
      <c r="AQP12" s="37"/>
      <c r="AQQ12" s="37"/>
      <c r="AQR12" s="37"/>
      <c r="AQS12" s="37"/>
      <c r="AQT12" s="37"/>
      <c r="AQU12" s="37"/>
      <c r="AQV12" s="37"/>
      <c r="AQW12" s="37"/>
      <c r="AQX12" s="37"/>
      <c r="AQY12" s="37"/>
      <c r="AQZ12" s="37"/>
      <c r="ARA12" s="37"/>
      <c r="ARB12" s="37"/>
      <c r="ARC12" s="37"/>
      <c r="ARD12" s="37"/>
      <c r="ARE12" s="37"/>
      <c r="ARF12" s="37"/>
      <c r="ARG12" s="37"/>
      <c r="ARH12" s="37"/>
      <c r="ARI12" s="37"/>
      <c r="ARJ12" s="37"/>
      <c r="ARK12" s="37"/>
      <c r="ARL12" s="37"/>
      <c r="ARM12" s="37"/>
      <c r="ARN12" s="37"/>
      <c r="ARO12" s="37"/>
      <c r="ARP12" s="37"/>
      <c r="ARQ12" s="37"/>
      <c r="ARR12" s="37"/>
      <c r="ARS12" s="37"/>
      <c r="ART12" s="37"/>
      <c r="ARU12" s="37"/>
      <c r="ARV12" s="37"/>
      <c r="ARW12" s="37"/>
      <c r="ARX12" s="37"/>
      <c r="ARY12" s="37"/>
      <c r="ARZ12" s="37"/>
      <c r="ASA12" s="37"/>
      <c r="ASB12" s="37"/>
      <c r="ASC12" s="37"/>
      <c r="ASD12" s="37"/>
      <c r="ASE12" s="37"/>
      <c r="ASF12" s="37"/>
      <c r="ASG12" s="37"/>
      <c r="ASH12" s="37"/>
      <c r="ASI12" s="37"/>
      <c r="ASJ12" s="37"/>
      <c r="ASK12" s="37"/>
      <c r="ASL12" s="37"/>
      <c r="ASM12" s="37"/>
      <c r="ASN12" s="37"/>
      <c r="ASO12" s="37"/>
      <c r="ASP12" s="37"/>
      <c r="ASQ12" s="37"/>
      <c r="ASR12" s="37"/>
      <c r="ASS12" s="37"/>
      <c r="AST12" s="37"/>
      <c r="ASU12" s="37"/>
      <c r="ASV12" s="37"/>
      <c r="ASW12" s="37"/>
      <c r="ASX12" s="37"/>
      <c r="ASY12" s="37"/>
      <c r="ASZ12" s="37"/>
      <c r="ATA12" s="37"/>
      <c r="ATB12" s="37"/>
      <c r="ATC12" s="37"/>
      <c r="ATD12" s="37"/>
      <c r="ATE12" s="37"/>
      <c r="ATF12" s="37"/>
      <c r="ATG12" s="37"/>
      <c r="ATH12" s="37"/>
      <c r="ATI12" s="37"/>
      <c r="ATJ12" s="37"/>
      <c r="ATK12" s="37"/>
      <c r="ATL12" s="37"/>
      <c r="ATM12" s="37"/>
      <c r="ATN12" s="37"/>
      <c r="ATO12" s="37"/>
      <c r="ATP12" s="37"/>
      <c r="ATQ12" s="37"/>
      <c r="ATR12" s="37"/>
      <c r="ATS12" s="37"/>
      <c r="ATT12" s="37"/>
      <c r="ATU12" s="37"/>
      <c r="ATV12" s="37"/>
      <c r="ATW12" s="37"/>
      <c r="ATX12" s="37"/>
      <c r="ATY12" s="37"/>
      <c r="ATZ12" s="37"/>
      <c r="AUA12" s="37"/>
      <c r="AUB12" s="37"/>
      <c r="AUC12" s="37"/>
      <c r="AUD12" s="37"/>
      <c r="AUE12" s="37"/>
      <c r="AUF12" s="37"/>
      <c r="AUG12" s="37"/>
      <c r="AUH12" s="37"/>
      <c r="AUI12" s="37"/>
      <c r="AUJ12" s="37"/>
      <c r="AUK12" s="37"/>
      <c r="AUL12" s="37"/>
      <c r="AUM12" s="37"/>
      <c r="AUN12" s="37"/>
      <c r="AUO12" s="37"/>
      <c r="AUP12" s="37"/>
      <c r="AUQ12" s="37"/>
      <c r="AUR12" s="37"/>
      <c r="AUS12" s="37"/>
      <c r="AUT12" s="37"/>
      <c r="AUU12" s="37"/>
      <c r="AUV12" s="37"/>
      <c r="AUW12" s="37"/>
      <c r="AUX12" s="37"/>
      <c r="AUY12" s="37"/>
      <c r="AUZ12" s="37"/>
      <c r="AVA12" s="37"/>
      <c r="AVB12" s="37"/>
      <c r="AVC12" s="37"/>
      <c r="AVD12" s="37"/>
      <c r="AVE12" s="37"/>
      <c r="AVF12" s="37"/>
      <c r="AVG12" s="37"/>
      <c r="AVH12" s="37"/>
      <c r="AVI12" s="37"/>
      <c r="AVJ12" s="37"/>
      <c r="AVK12" s="37"/>
      <c r="AVL12" s="37"/>
      <c r="AVM12" s="37"/>
      <c r="AVN12" s="37"/>
      <c r="AVO12" s="37"/>
      <c r="AVP12" s="37"/>
      <c r="AVQ12" s="37"/>
      <c r="AVR12" s="37"/>
      <c r="AVS12" s="37"/>
      <c r="AVT12" s="37"/>
      <c r="AVU12" s="37"/>
      <c r="AVV12" s="37"/>
      <c r="AVW12" s="37"/>
      <c r="AVX12" s="37"/>
      <c r="AVY12" s="37"/>
      <c r="AVZ12" s="37"/>
      <c r="AWA12" s="37"/>
      <c r="AWB12" s="37"/>
      <c r="AWC12" s="37"/>
      <c r="AWD12" s="37"/>
      <c r="AWE12" s="37"/>
      <c r="AWF12" s="37"/>
      <c r="AWG12" s="37"/>
      <c r="AWH12" s="37"/>
      <c r="AWI12" s="37"/>
      <c r="AWJ12" s="37"/>
      <c r="AWK12" s="37"/>
      <c r="AWL12" s="37"/>
      <c r="AWM12" s="37"/>
      <c r="AWN12" s="37"/>
      <c r="AWO12" s="37"/>
      <c r="AWP12" s="37"/>
      <c r="AWQ12" s="37"/>
      <c r="AWR12" s="37"/>
      <c r="AWS12" s="37"/>
      <c r="AWT12" s="37"/>
      <c r="AWU12" s="37"/>
      <c r="AWV12" s="37"/>
      <c r="AWW12" s="37"/>
      <c r="AWX12" s="37"/>
      <c r="AWY12" s="37"/>
      <c r="AWZ12" s="37"/>
      <c r="AXA12" s="37"/>
      <c r="AXB12" s="37"/>
      <c r="AXC12" s="37"/>
      <c r="AXD12" s="37"/>
      <c r="AXE12" s="37"/>
      <c r="AXF12" s="37"/>
      <c r="AXG12" s="37"/>
      <c r="AXH12" s="37"/>
      <c r="AXI12" s="37"/>
      <c r="AXJ12" s="37"/>
      <c r="AXK12" s="37"/>
      <c r="AXL12" s="37"/>
      <c r="AXM12" s="37"/>
      <c r="AXN12" s="37"/>
      <c r="AXO12" s="37"/>
      <c r="AXP12" s="37"/>
      <c r="AXQ12" s="37"/>
      <c r="AXR12" s="37"/>
      <c r="AXS12" s="37"/>
      <c r="AXT12" s="37"/>
      <c r="AXU12" s="37"/>
      <c r="AXV12" s="37"/>
      <c r="AXW12" s="37"/>
      <c r="AXX12" s="37"/>
      <c r="AXY12" s="37"/>
      <c r="AXZ12" s="37"/>
      <c r="AYA12" s="37"/>
      <c r="AYB12" s="37"/>
      <c r="AYC12" s="37"/>
      <c r="AYD12" s="37"/>
      <c r="AYE12" s="37"/>
      <c r="AYF12" s="37"/>
      <c r="AYG12" s="37"/>
      <c r="AYH12" s="37"/>
      <c r="AYI12" s="37"/>
      <c r="AYJ12" s="37"/>
      <c r="AYK12" s="37"/>
      <c r="AYL12" s="37"/>
      <c r="AYM12" s="37"/>
      <c r="AYN12" s="37"/>
      <c r="AYO12" s="37"/>
      <c r="AYP12" s="37"/>
      <c r="AYQ12" s="37"/>
      <c r="AYR12" s="37"/>
      <c r="AYS12" s="37"/>
      <c r="AYT12" s="37"/>
      <c r="AYU12" s="37"/>
      <c r="AYV12" s="37"/>
      <c r="AYW12" s="37"/>
      <c r="AYX12" s="37"/>
      <c r="AYY12" s="37"/>
      <c r="AYZ12" s="37"/>
      <c r="AZA12" s="37"/>
      <c r="AZB12" s="37"/>
      <c r="AZC12" s="37"/>
      <c r="AZD12" s="37"/>
      <c r="AZE12" s="37"/>
      <c r="AZF12" s="37"/>
      <c r="AZG12" s="37"/>
      <c r="AZH12" s="37"/>
      <c r="AZI12" s="37"/>
      <c r="AZJ12" s="37"/>
      <c r="AZK12" s="37"/>
      <c r="AZL12" s="37"/>
      <c r="AZM12" s="37"/>
      <c r="AZN12" s="37"/>
      <c r="AZO12" s="37"/>
      <c r="AZP12" s="37"/>
      <c r="AZQ12" s="37"/>
      <c r="AZR12" s="37"/>
      <c r="AZS12" s="37"/>
      <c r="AZT12" s="37"/>
      <c r="AZU12" s="37"/>
      <c r="AZV12" s="37"/>
      <c r="AZW12" s="37"/>
      <c r="AZX12" s="37"/>
      <c r="AZY12" s="37"/>
      <c r="AZZ12" s="37"/>
      <c r="BAA12" s="37"/>
      <c r="BAB12" s="37"/>
      <c r="BAC12" s="37"/>
      <c r="BAD12" s="37"/>
      <c r="BAE12" s="37"/>
      <c r="BAF12" s="37"/>
      <c r="BAG12" s="37"/>
      <c r="BAH12" s="37"/>
      <c r="BAI12" s="37"/>
      <c r="BAJ12" s="37"/>
      <c r="BAK12" s="37"/>
      <c r="BAL12" s="37"/>
      <c r="BAM12" s="37"/>
      <c r="BAN12" s="37"/>
      <c r="BAO12" s="37"/>
      <c r="BAP12" s="37"/>
      <c r="BAQ12" s="37"/>
      <c r="BAR12" s="37"/>
      <c r="BAS12" s="37"/>
      <c r="BAT12" s="37"/>
      <c r="BAU12" s="37"/>
      <c r="BAV12" s="37"/>
      <c r="BAW12" s="37"/>
      <c r="BAX12" s="37"/>
      <c r="BAY12" s="37"/>
      <c r="BAZ12" s="37"/>
      <c r="BBA12" s="37"/>
      <c r="BBB12" s="37"/>
      <c r="BBC12" s="37"/>
      <c r="BBD12" s="37"/>
      <c r="BBE12" s="37"/>
      <c r="BBF12" s="37"/>
      <c r="BBG12" s="37"/>
      <c r="BBH12" s="37"/>
      <c r="BBI12" s="37"/>
      <c r="BBJ12" s="37"/>
      <c r="BBK12" s="37"/>
      <c r="BBL12" s="37"/>
      <c r="BBM12" s="37"/>
      <c r="BBN12" s="37"/>
      <c r="BBO12" s="37"/>
      <c r="BBP12" s="37"/>
      <c r="BBQ12" s="37"/>
      <c r="BBR12" s="37"/>
      <c r="BBS12" s="37"/>
      <c r="BBT12" s="37"/>
      <c r="BBU12" s="37"/>
      <c r="BBV12" s="37"/>
      <c r="BBW12" s="37"/>
      <c r="BBX12" s="37"/>
      <c r="BBY12" s="37"/>
      <c r="BBZ12" s="37"/>
      <c r="BCA12" s="37"/>
      <c r="BCB12" s="37"/>
      <c r="BCC12" s="37"/>
      <c r="BCD12" s="37"/>
      <c r="BCE12" s="37"/>
      <c r="BCF12" s="37"/>
      <c r="BCG12" s="37"/>
      <c r="BCH12" s="37"/>
      <c r="BCI12" s="37"/>
      <c r="BCJ12" s="37"/>
      <c r="BCK12" s="37"/>
      <c r="BCL12" s="37"/>
      <c r="BCM12" s="37"/>
      <c r="BCN12" s="37"/>
      <c r="BCO12" s="37"/>
      <c r="BCP12" s="37"/>
      <c r="BCQ12" s="37"/>
      <c r="BCR12" s="37"/>
      <c r="BCS12" s="37"/>
      <c r="BCT12" s="37"/>
      <c r="BCU12" s="37"/>
      <c r="BCV12" s="37"/>
      <c r="BCW12" s="37"/>
      <c r="BCX12" s="37"/>
      <c r="BCY12" s="37"/>
      <c r="BCZ12" s="37"/>
      <c r="BDA12" s="37"/>
      <c r="BDB12" s="37"/>
      <c r="BDC12" s="37"/>
      <c r="BDD12" s="37"/>
      <c r="BDE12" s="37"/>
      <c r="BDF12" s="37"/>
      <c r="BDG12" s="37"/>
      <c r="BDH12" s="37"/>
      <c r="BDI12" s="37"/>
      <c r="BDJ12" s="37"/>
      <c r="BDK12" s="37"/>
      <c r="BDL12" s="37"/>
      <c r="BDM12" s="37"/>
      <c r="BDN12" s="37"/>
      <c r="BDO12" s="37"/>
      <c r="BDP12" s="37"/>
      <c r="BDQ12" s="37"/>
      <c r="BDR12" s="37"/>
      <c r="BDS12" s="37"/>
      <c r="BDT12" s="37"/>
      <c r="BDU12" s="37"/>
      <c r="BDV12" s="37"/>
      <c r="BDW12" s="37"/>
      <c r="BDX12" s="37"/>
      <c r="BDY12" s="37"/>
      <c r="BDZ12" s="37"/>
      <c r="BEA12" s="37"/>
      <c r="BEB12" s="37"/>
      <c r="BEC12" s="37"/>
      <c r="BED12" s="37"/>
      <c r="BEE12" s="37"/>
      <c r="BEF12" s="37"/>
      <c r="BEG12" s="37"/>
      <c r="BEH12" s="37"/>
      <c r="BEI12" s="37"/>
      <c r="BEJ12" s="37"/>
      <c r="BEK12" s="37"/>
      <c r="BEL12" s="37"/>
      <c r="BEM12" s="37"/>
      <c r="BEN12" s="37"/>
      <c r="BEO12" s="37"/>
      <c r="BEP12" s="37"/>
      <c r="BEQ12" s="37"/>
      <c r="BER12" s="37"/>
      <c r="BES12" s="37"/>
      <c r="BET12" s="37"/>
      <c r="BEU12" s="37"/>
      <c r="BEV12" s="37"/>
      <c r="BEW12" s="37"/>
      <c r="BEX12" s="37"/>
      <c r="BEY12" s="37"/>
      <c r="BEZ12" s="37"/>
      <c r="BFA12" s="37"/>
      <c r="BFB12" s="37"/>
      <c r="BFC12" s="37"/>
      <c r="BFD12" s="37"/>
      <c r="BFE12" s="37"/>
      <c r="BFF12" s="37"/>
      <c r="BFG12" s="37"/>
      <c r="BFH12" s="37"/>
      <c r="BFI12" s="37"/>
      <c r="BFJ12" s="37"/>
      <c r="BFK12" s="37"/>
      <c r="BFL12" s="37"/>
      <c r="BFM12" s="37"/>
      <c r="BFN12" s="37"/>
      <c r="BFO12" s="37"/>
      <c r="BFP12" s="37"/>
      <c r="BFQ12" s="37"/>
      <c r="BFR12" s="37"/>
      <c r="BFS12" s="37"/>
      <c r="BFT12" s="37"/>
      <c r="BFU12" s="37"/>
      <c r="BFV12" s="37"/>
      <c r="BFW12" s="37"/>
      <c r="BFX12" s="37"/>
      <c r="BFY12" s="37"/>
      <c r="BFZ12" s="37"/>
      <c r="BGA12" s="37"/>
      <c r="BGB12" s="37"/>
      <c r="BGC12" s="37"/>
      <c r="BGD12" s="37"/>
      <c r="BGE12" s="37"/>
      <c r="BGF12" s="37"/>
      <c r="BGG12" s="37"/>
      <c r="BGH12" s="37"/>
      <c r="BGI12" s="37"/>
      <c r="BGJ12" s="37"/>
      <c r="BGK12" s="37"/>
      <c r="BGL12" s="37"/>
      <c r="BGM12" s="37"/>
      <c r="BGN12" s="37"/>
      <c r="BGO12" s="37"/>
      <c r="BGP12" s="37"/>
      <c r="BGQ12" s="37"/>
      <c r="BGR12" s="37"/>
      <c r="BGS12" s="37"/>
      <c r="BGT12" s="37"/>
      <c r="BGU12" s="37"/>
      <c r="BGV12" s="37"/>
      <c r="BGW12" s="37"/>
      <c r="BGX12" s="37"/>
      <c r="BGY12" s="37"/>
      <c r="BGZ12" s="37"/>
      <c r="BHA12" s="37"/>
      <c r="BHB12" s="37"/>
      <c r="BHC12" s="37"/>
      <c r="BHD12" s="37"/>
      <c r="BHE12" s="37"/>
      <c r="BHF12" s="37"/>
      <c r="BHG12" s="37"/>
      <c r="BHH12" s="37"/>
      <c r="BHI12" s="37"/>
      <c r="BHJ12" s="37"/>
      <c r="BHK12" s="37"/>
      <c r="BHL12" s="37"/>
      <c r="BHM12" s="37"/>
      <c r="BHN12" s="37"/>
      <c r="BHO12" s="37"/>
      <c r="BHP12" s="37"/>
      <c r="BHQ12" s="37"/>
      <c r="BHR12" s="37"/>
      <c r="BHS12" s="37"/>
      <c r="BHT12" s="37"/>
      <c r="BHU12" s="37"/>
      <c r="BHV12" s="37"/>
      <c r="BHW12" s="37"/>
      <c r="BHX12" s="37"/>
      <c r="BHY12" s="37"/>
      <c r="BHZ12" s="37"/>
      <c r="BIA12" s="37"/>
      <c r="BIB12" s="37"/>
      <c r="BIC12" s="37"/>
      <c r="BID12" s="37"/>
      <c r="BIE12" s="37"/>
      <c r="BIF12" s="37"/>
      <c r="BIG12" s="37"/>
      <c r="BIH12" s="37"/>
      <c r="BII12" s="37"/>
      <c r="BIJ12" s="37"/>
      <c r="BIK12" s="37"/>
      <c r="BIL12" s="37"/>
      <c r="BIM12" s="37"/>
      <c r="BIN12" s="37"/>
      <c r="BIO12" s="37"/>
      <c r="BIP12" s="37"/>
      <c r="BIQ12" s="37"/>
      <c r="BIR12" s="37"/>
      <c r="BIS12" s="37"/>
      <c r="BIT12" s="37"/>
      <c r="BIU12" s="37"/>
      <c r="BIV12" s="37"/>
      <c r="BIW12" s="37"/>
      <c r="BIX12" s="37"/>
      <c r="BIY12" s="37"/>
      <c r="BIZ12" s="37"/>
      <c r="BJA12" s="37"/>
      <c r="BJB12" s="37"/>
      <c r="BJC12" s="37"/>
      <c r="BJD12" s="37"/>
      <c r="BJE12" s="37"/>
      <c r="BJF12" s="37"/>
      <c r="BJG12" s="37"/>
      <c r="BJH12" s="37"/>
      <c r="BJI12" s="37"/>
      <c r="BJJ12" s="37"/>
      <c r="BJK12" s="37"/>
      <c r="BJL12" s="37"/>
      <c r="BJM12" s="37"/>
      <c r="BJN12" s="37"/>
      <c r="BJO12" s="37"/>
      <c r="BJP12" s="37"/>
      <c r="BJQ12" s="37"/>
      <c r="BJR12" s="37"/>
      <c r="BJS12" s="37"/>
      <c r="BJT12" s="37"/>
      <c r="BJU12" s="37"/>
      <c r="BJV12" s="37"/>
      <c r="BJW12" s="37"/>
      <c r="BJX12" s="37"/>
      <c r="BJY12" s="37"/>
      <c r="BJZ12" s="37"/>
      <c r="BKA12" s="37"/>
      <c r="BKB12" s="37"/>
      <c r="BKC12" s="37"/>
      <c r="BKD12" s="37"/>
      <c r="BKE12" s="37"/>
      <c r="BKF12" s="37"/>
      <c r="BKG12" s="37"/>
      <c r="BKH12" s="37"/>
      <c r="BKI12" s="37"/>
      <c r="BKJ12" s="37"/>
      <c r="BKK12" s="37"/>
      <c r="BKL12" s="37"/>
      <c r="BKM12" s="37"/>
      <c r="BKN12" s="37"/>
      <c r="BKO12" s="37"/>
      <c r="BKP12" s="37"/>
      <c r="BKQ12" s="37"/>
      <c r="BKR12" s="37"/>
      <c r="BKS12" s="37"/>
      <c r="BKT12" s="37"/>
      <c r="BKU12" s="37"/>
      <c r="BKV12" s="37"/>
      <c r="BKW12" s="37"/>
      <c r="BKX12" s="37"/>
      <c r="BKY12" s="37"/>
      <c r="BKZ12" s="37"/>
      <c r="BLA12" s="37"/>
      <c r="BLB12" s="37"/>
      <c r="BLC12" s="37"/>
      <c r="BLD12" s="37"/>
      <c r="BLE12" s="37"/>
      <c r="BLF12" s="37"/>
      <c r="BLG12" s="37"/>
      <c r="BLH12" s="37"/>
      <c r="BLI12" s="37"/>
      <c r="BLJ12" s="37"/>
      <c r="BLK12" s="37"/>
      <c r="BLL12" s="37"/>
      <c r="BLM12" s="37"/>
      <c r="BLN12" s="37"/>
      <c r="BLO12" s="37"/>
      <c r="BLP12" s="37"/>
      <c r="BLQ12" s="37"/>
      <c r="BLR12" s="37"/>
      <c r="BLS12" s="37"/>
      <c r="BLT12" s="37"/>
      <c r="BLU12" s="37"/>
      <c r="BLV12" s="37"/>
      <c r="BLW12" s="37"/>
      <c r="BLX12" s="37"/>
      <c r="BLY12" s="37"/>
      <c r="BLZ12" s="37"/>
      <c r="BMA12" s="37"/>
      <c r="BMB12" s="37"/>
      <c r="BMC12" s="37"/>
      <c r="BMD12" s="37"/>
      <c r="BME12" s="37"/>
      <c r="BMF12" s="37"/>
      <c r="BMG12" s="37"/>
      <c r="BMH12" s="37"/>
      <c r="BMI12" s="37"/>
      <c r="BMJ12" s="37"/>
      <c r="BMK12" s="37"/>
      <c r="BML12" s="37"/>
      <c r="BMM12" s="37"/>
      <c r="BMN12" s="37"/>
      <c r="BMO12" s="37"/>
      <c r="BMP12" s="37"/>
      <c r="BMQ12" s="37"/>
      <c r="BMR12" s="37"/>
      <c r="BMS12" s="37"/>
      <c r="BMT12" s="37"/>
      <c r="BMU12" s="37"/>
      <c r="BMV12" s="37"/>
      <c r="BMW12" s="37"/>
      <c r="BMX12" s="37"/>
      <c r="BMY12" s="37"/>
      <c r="BMZ12" s="37"/>
      <c r="BNA12" s="37"/>
      <c r="BNB12" s="37"/>
      <c r="BNC12" s="37"/>
      <c r="BND12" s="37"/>
      <c r="BNE12" s="37"/>
      <c r="BNF12" s="37"/>
      <c r="BNG12" s="37"/>
      <c r="BNH12" s="37"/>
      <c r="BNI12" s="37"/>
      <c r="BNJ12" s="37"/>
      <c r="BNK12" s="37"/>
      <c r="BNL12" s="37"/>
      <c r="BNM12" s="37"/>
      <c r="BNN12" s="37"/>
      <c r="BNO12" s="37"/>
      <c r="BNP12" s="37"/>
      <c r="BNQ12" s="37"/>
      <c r="BNR12" s="37"/>
      <c r="BNS12" s="37"/>
      <c r="BNT12" s="37"/>
      <c r="BNU12" s="37"/>
      <c r="BNV12" s="37"/>
      <c r="BNW12" s="37"/>
      <c r="BNX12" s="37"/>
      <c r="BNY12" s="37"/>
      <c r="BNZ12" s="37"/>
      <c r="BOA12" s="37"/>
      <c r="BOB12" s="37"/>
      <c r="BOC12" s="37"/>
      <c r="BOD12" s="37"/>
      <c r="BOE12" s="37"/>
      <c r="BOF12" s="37"/>
      <c r="BOG12" s="37"/>
      <c r="BOH12" s="37"/>
      <c r="BOI12" s="37"/>
      <c r="BOJ12" s="37"/>
      <c r="BOK12" s="37"/>
      <c r="BOL12" s="37"/>
      <c r="BOM12" s="37"/>
      <c r="BON12" s="37"/>
      <c r="BOO12" s="37"/>
      <c r="BOP12" s="37"/>
      <c r="BOQ12" s="37"/>
      <c r="BOR12" s="37"/>
      <c r="BOS12" s="37"/>
      <c r="BOT12" s="37"/>
      <c r="BOU12" s="37"/>
      <c r="BOV12" s="37"/>
      <c r="BOW12" s="37"/>
      <c r="BOX12" s="37"/>
      <c r="BOY12" s="37"/>
      <c r="BOZ12" s="37"/>
      <c r="BPA12" s="37"/>
      <c r="BPB12" s="37"/>
      <c r="BPC12" s="37"/>
      <c r="BPD12" s="37"/>
      <c r="BPE12" s="37"/>
      <c r="BPF12" s="37"/>
      <c r="BPG12" s="37"/>
      <c r="BPH12" s="37"/>
      <c r="BPI12" s="37"/>
      <c r="BPJ12" s="37"/>
      <c r="BPK12" s="37"/>
      <c r="BPL12" s="37"/>
      <c r="BPM12" s="37"/>
      <c r="BPN12" s="37"/>
      <c r="BPO12" s="37"/>
      <c r="BPP12" s="37"/>
      <c r="BPQ12" s="37"/>
      <c r="BPR12" s="37"/>
      <c r="BPS12" s="37"/>
      <c r="BPT12" s="37"/>
      <c r="BPU12" s="37"/>
      <c r="BPV12" s="37"/>
      <c r="BPW12" s="37"/>
      <c r="BPX12" s="37"/>
      <c r="BPY12" s="37"/>
      <c r="BPZ12" s="37"/>
      <c r="BQA12" s="37"/>
      <c r="BQB12" s="37"/>
      <c r="BQC12" s="37"/>
      <c r="BQD12" s="37"/>
      <c r="BQE12" s="37"/>
      <c r="BQF12" s="37"/>
      <c r="BQG12" s="37"/>
      <c r="BQH12" s="37"/>
      <c r="BQI12" s="37"/>
      <c r="BQJ12" s="37"/>
      <c r="BQK12" s="37"/>
      <c r="BQL12" s="37"/>
      <c r="BQM12" s="37"/>
      <c r="BQN12" s="37"/>
      <c r="BQO12" s="37"/>
      <c r="BQP12" s="37"/>
      <c r="BQQ12" s="37"/>
      <c r="BQR12" s="37"/>
      <c r="BQS12" s="37"/>
      <c r="BQT12" s="37"/>
      <c r="BQU12" s="37"/>
      <c r="BQV12" s="37"/>
      <c r="BQW12" s="37"/>
      <c r="BQX12" s="37"/>
      <c r="BQY12" s="37"/>
      <c r="BQZ12" s="37"/>
      <c r="BRA12" s="37"/>
      <c r="BRB12" s="37"/>
      <c r="BRC12" s="37"/>
      <c r="BRD12" s="37"/>
      <c r="BRE12" s="37"/>
      <c r="BRF12" s="37"/>
      <c r="BRG12" s="37"/>
      <c r="BRH12" s="37"/>
      <c r="BRI12" s="37"/>
      <c r="BRJ12" s="37"/>
      <c r="BRK12" s="37"/>
      <c r="BRL12" s="37"/>
      <c r="BRM12" s="37"/>
      <c r="BRN12" s="37"/>
      <c r="BRO12" s="37"/>
      <c r="BRP12" s="37"/>
      <c r="BRQ12" s="37"/>
      <c r="BRR12" s="37"/>
      <c r="BRS12" s="37"/>
      <c r="BRT12" s="37"/>
      <c r="BRU12" s="37"/>
      <c r="BRV12" s="37"/>
      <c r="BRW12" s="37"/>
      <c r="BRX12" s="37"/>
      <c r="BRY12" s="37"/>
      <c r="BRZ12" s="37"/>
      <c r="BSA12" s="37"/>
      <c r="BSB12" s="37"/>
      <c r="BSC12" s="37"/>
      <c r="BSD12" s="37"/>
      <c r="BSE12" s="37"/>
      <c r="BSF12" s="37"/>
      <c r="BSG12" s="37"/>
      <c r="BSH12" s="37"/>
      <c r="BSI12" s="37"/>
      <c r="BSJ12" s="37"/>
      <c r="BSK12" s="37"/>
      <c r="BSL12" s="37"/>
      <c r="BSM12" s="37"/>
      <c r="BSN12" s="37"/>
      <c r="BSO12" s="37"/>
      <c r="BSP12" s="37"/>
      <c r="BSQ12" s="37"/>
      <c r="BSR12" s="37"/>
      <c r="BSS12" s="37"/>
      <c r="BST12" s="37"/>
      <c r="BSU12" s="37"/>
      <c r="BSV12" s="37"/>
      <c r="BSW12" s="37"/>
      <c r="BSX12" s="37"/>
      <c r="BSY12" s="37"/>
      <c r="BSZ12" s="37"/>
      <c r="BTA12" s="37"/>
      <c r="BTB12" s="37"/>
      <c r="BTC12" s="37"/>
      <c r="BTD12" s="37"/>
      <c r="BTE12" s="37"/>
      <c r="BTF12" s="37"/>
      <c r="BTG12" s="37"/>
      <c r="BTH12" s="37"/>
      <c r="BTI12" s="37"/>
      <c r="BTJ12" s="37"/>
      <c r="BTK12" s="37"/>
      <c r="BTL12" s="37"/>
      <c r="BTM12" s="37"/>
      <c r="BTN12" s="37"/>
      <c r="BTO12" s="37"/>
      <c r="BTP12" s="37"/>
      <c r="BTQ12" s="37"/>
      <c r="BTR12" s="37"/>
      <c r="BTS12" s="37"/>
      <c r="BTT12" s="37"/>
      <c r="BTU12" s="37"/>
      <c r="BTV12" s="37"/>
      <c r="BTW12" s="37"/>
      <c r="BTX12" s="37"/>
      <c r="BTY12" s="37"/>
      <c r="BTZ12" s="37"/>
      <c r="BUA12" s="37"/>
      <c r="BUB12" s="37"/>
      <c r="BUC12" s="37"/>
      <c r="BUD12" s="37"/>
      <c r="BUE12" s="37"/>
      <c r="BUF12" s="37"/>
      <c r="BUG12" s="37"/>
      <c r="BUH12" s="37"/>
      <c r="BUI12" s="37"/>
      <c r="BUJ12" s="37"/>
      <c r="BUK12" s="37"/>
      <c r="BUL12" s="37"/>
      <c r="BUM12" s="37"/>
      <c r="BUN12" s="37"/>
      <c r="BUO12" s="37"/>
      <c r="BUP12" s="37"/>
      <c r="BUQ12" s="37"/>
      <c r="BUR12" s="37"/>
      <c r="BUS12" s="37"/>
      <c r="BUT12" s="37"/>
      <c r="BUU12" s="37"/>
      <c r="BUV12" s="37"/>
      <c r="BUW12" s="37"/>
      <c r="BUX12" s="37"/>
      <c r="BUY12" s="37"/>
      <c r="BUZ12" s="37"/>
      <c r="BVA12" s="37"/>
      <c r="BVB12" s="37"/>
      <c r="BVC12" s="37"/>
      <c r="BVD12" s="37"/>
      <c r="BVE12" s="37"/>
      <c r="BVF12" s="37"/>
      <c r="BVG12" s="37"/>
      <c r="BVH12" s="37"/>
      <c r="BVI12" s="37"/>
      <c r="BVJ12" s="37"/>
      <c r="BVK12" s="37"/>
      <c r="BVL12" s="37"/>
      <c r="BVM12" s="37"/>
      <c r="BVN12" s="37"/>
      <c r="BVO12" s="37"/>
      <c r="BVP12" s="37"/>
      <c r="BVQ12" s="37"/>
      <c r="BVR12" s="37"/>
      <c r="BVS12" s="37"/>
      <c r="BVT12" s="37"/>
      <c r="BVU12" s="37"/>
      <c r="BVV12" s="37"/>
      <c r="BVW12" s="37"/>
      <c r="BVX12" s="37"/>
      <c r="BVY12" s="37"/>
      <c r="BVZ12" s="37"/>
      <c r="BWA12" s="37"/>
      <c r="BWB12" s="37"/>
      <c r="BWC12" s="37"/>
      <c r="BWD12" s="37"/>
      <c r="BWE12" s="37"/>
      <c r="BWF12" s="37"/>
      <c r="BWG12" s="37"/>
      <c r="BWH12" s="37"/>
      <c r="BWI12" s="37"/>
      <c r="BWJ12" s="37"/>
    </row>
    <row r="13" spans="1:1960" x14ac:dyDescent="0.25">
      <c r="A13" s="38">
        <v>8</v>
      </c>
      <c r="B13" s="39">
        <v>20</v>
      </c>
      <c r="C13" s="40">
        <v>1000</v>
      </c>
      <c r="D13" s="41" t="s">
        <v>23</v>
      </c>
      <c r="E13" s="271">
        <f ca="1"/>
        <v>69</v>
      </c>
      <c r="F13" s="33">
        <v>-100</v>
      </c>
      <c r="G13" s="33">
        <v>1000</v>
      </c>
      <c r="H13" s="43">
        <f ca="1"/>
        <v>-100</v>
      </c>
      <c r="I13" s="33">
        <f ca="1"/>
        <v>43.5</v>
      </c>
      <c r="J13" s="35">
        <v>8</v>
      </c>
      <c r="K13" s="36">
        <v>20</v>
      </c>
      <c r="L13" s="37">
        <v>20</v>
      </c>
      <c r="M13" s="37">
        <v>20</v>
      </c>
      <c r="N13" s="37">
        <v>20</v>
      </c>
      <c r="O13" s="37">
        <v>20</v>
      </c>
      <c r="P13" s="37">
        <v>20</v>
      </c>
      <c r="Q13" s="37">
        <v>20</v>
      </c>
      <c r="R13" s="37">
        <v>20</v>
      </c>
      <c r="S13" s="37">
        <v>20</v>
      </c>
      <c r="T13" s="37">
        <v>20</v>
      </c>
      <c r="U13" s="37">
        <v>20</v>
      </c>
      <c r="V13" s="37">
        <v>20</v>
      </c>
      <c r="W13" s="37">
        <v>20</v>
      </c>
      <c r="X13" s="37">
        <v>20</v>
      </c>
      <c r="Y13" s="37">
        <v>20</v>
      </c>
      <c r="Z13" s="37">
        <v>20</v>
      </c>
      <c r="AA13" s="37">
        <v>20</v>
      </c>
      <c r="AB13" s="37">
        <v>20</v>
      </c>
      <c r="AC13" s="37">
        <v>20</v>
      </c>
      <c r="AD13" s="37">
        <v>20</v>
      </c>
      <c r="AE13" s="37">
        <v>20</v>
      </c>
      <c r="AF13" s="37">
        <v>20</v>
      </c>
      <c r="AG13" s="37">
        <v>20</v>
      </c>
      <c r="AH13" s="37">
        <v>20</v>
      </c>
      <c r="AI13" s="37">
        <v>20</v>
      </c>
      <c r="AJ13" s="37">
        <v>20</v>
      </c>
      <c r="AK13" s="37">
        <v>20</v>
      </c>
      <c r="AL13" s="37">
        <v>20</v>
      </c>
      <c r="AM13" s="37">
        <v>20</v>
      </c>
      <c r="AN13" s="37">
        <v>20</v>
      </c>
      <c r="AO13" s="37">
        <v>20</v>
      </c>
      <c r="AP13" s="37">
        <v>20</v>
      </c>
      <c r="AQ13" s="37">
        <v>20</v>
      </c>
      <c r="AR13" s="37">
        <v>20</v>
      </c>
      <c r="AS13" s="37">
        <v>20</v>
      </c>
      <c r="AT13" s="37">
        <v>20</v>
      </c>
      <c r="AU13" s="37">
        <v>20</v>
      </c>
      <c r="AV13" s="37">
        <v>20</v>
      </c>
      <c r="AW13" s="37">
        <v>20</v>
      </c>
      <c r="AX13" s="37">
        <v>20</v>
      </c>
      <c r="AY13" s="37">
        <v>20</v>
      </c>
      <c r="AZ13" s="37">
        <v>20</v>
      </c>
      <c r="BA13" s="37">
        <v>20</v>
      </c>
      <c r="BB13" s="37">
        <v>20</v>
      </c>
      <c r="BC13" s="37">
        <v>20</v>
      </c>
      <c r="BD13" s="37">
        <v>20</v>
      </c>
      <c r="BE13" s="37">
        <v>20</v>
      </c>
      <c r="BF13" s="37">
        <v>20</v>
      </c>
      <c r="BG13" s="37">
        <v>20</v>
      </c>
      <c r="BH13" s="37">
        <v>20</v>
      </c>
      <c r="BI13" s="37">
        <v>20</v>
      </c>
      <c r="BJ13" s="37">
        <v>20</v>
      </c>
      <c r="BK13" s="37">
        <v>20</v>
      </c>
      <c r="BL13" s="37">
        <v>20</v>
      </c>
      <c r="BM13" s="37">
        <v>20</v>
      </c>
      <c r="BN13" s="37">
        <v>20</v>
      </c>
      <c r="BO13" s="37">
        <v>20</v>
      </c>
      <c r="BP13" s="37">
        <v>20</v>
      </c>
      <c r="BQ13" s="37">
        <v>20</v>
      </c>
      <c r="BR13" s="37">
        <v>20</v>
      </c>
      <c r="BS13" s="37">
        <v>20</v>
      </c>
      <c r="BT13" s="37">
        <v>20</v>
      </c>
      <c r="BU13" s="37">
        <v>20</v>
      </c>
      <c r="BV13" s="37">
        <v>20</v>
      </c>
      <c r="BW13" s="37">
        <v>20</v>
      </c>
      <c r="BX13" s="37">
        <v>20</v>
      </c>
      <c r="BY13" s="37">
        <v>20</v>
      </c>
      <c r="BZ13" s="37">
        <v>20</v>
      </c>
      <c r="CA13" s="37">
        <v>0</v>
      </c>
      <c r="CB13" s="37">
        <v>0</v>
      </c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  <c r="AMD13" s="37"/>
      <c r="AME13" s="37"/>
      <c r="AMF13" s="37"/>
      <c r="AMG13" s="37"/>
      <c r="AMH13" s="37"/>
      <c r="AMI13" s="37"/>
      <c r="AMJ13" s="37"/>
      <c r="AMK13" s="37"/>
      <c r="AML13" s="37"/>
      <c r="AMM13" s="37"/>
      <c r="AMN13" s="37"/>
      <c r="AMO13" s="37"/>
      <c r="AMP13" s="37"/>
      <c r="AMQ13" s="37"/>
      <c r="AMR13" s="37"/>
      <c r="AMS13" s="37"/>
      <c r="AMT13" s="37"/>
      <c r="AMU13" s="37"/>
      <c r="AMV13" s="37"/>
      <c r="AMW13" s="37"/>
      <c r="AMX13" s="37"/>
      <c r="AMY13" s="37"/>
      <c r="AMZ13" s="37"/>
      <c r="ANA13" s="37"/>
      <c r="ANB13" s="37"/>
      <c r="ANC13" s="37"/>
      <c r="AND13" s="37"/>
      <c r="ANE13" s="37"/>
      <c r="ANF13" s="37"/>
      <c r="ANG13" s="37"/>
      <c r="ANH13" s="37"/>
      <c r="ANI13" s="37"/>
      <c r="ANJ13" s="37"/>
      <c r="ANK13" s="37"/>
      <c r="ANL13" s="37"/>
      <c r="ANM13" s="37"/>
      <c r="ANN13" s="37"/>
      <c r="ANO13" s="37"/>
      <c r="ANP13" s="37"/>
      <c r="ANQ13" s="37"/>
      <c r="ANR13" s="37"/>
      <c r="ANS13" s="37"/>
      <c r="ANT13" s="37"/>
      <c r="ANU13" s="37"/>
      <c r="ANV13" s="37"/>
      <c r="ANW13" s="37"/>
      <c r="ANX13" s="37"/>
      <c r="ANY13" s="37"/>
      <c r="ANZ13" s="37"/>
      <c r="AOA13" s="37"/>
      <c r="AOB13" s="37"/>
      <c r="AOC13" s="37"/>
      <c r="AOD13" s="37"/>
      <c r="AOE13" s="37"/>
      <c r="AOF13" s="37"/>
      <c r="AOG13" s="37"/>
      <c r="AOH13" s="37"/>
      <c r="AOI13" s="37"/>
      <c r="AOJ13" s="37"/>
      <c r="AOK13" s="37"/>
      <c r="AOL13" s="37"/>
      <c r="AOM13" s="37"/>
      <c r="AON13" s="37"/>
      <c r="AOO13" s="37"/>
      <c r="AOP13" s="37"/>
      <c r="AOQ13" s="37"/>
      <c r="AOR13" s="37"/>
      <c r="AOS13" s="37"/>
      <c r="AOT13" s="37"/>
      <c r="AOU13" s="37"/>
      <c r="AOV13" s="37"/>
      <c r="AOW13" s="37"/>
      <c r="AOX13" s="37"/>
      <c r="AOY13" s="37"/>
      <c r="AOZ13" s="37"/>
      <c r="APA13" s="37"/>
      <c r="APB13" s="37"/>
      <c r="APC13" s="37"/>
      <c r="APD13" s="37"/>
      <c r="APE13" s="37"/>
      <c r="APF13" s="37"/>
      <c r="APG13" s="37"/>
      <c r="APH13" s="37"/>
      <c r="API13" s="37"/>
      <c r="APJ13" s="37"/>
      <c r="APK13" s="37"/>
      <c r="APL13" s="37"/>
      <c r="APM13" s="37"/>
      <c r="APN13" s="37"/>
      <c r="APO13" s="37"/>
      <c r="APP13" s="37"/>
      <c r="APQ13" s="37"/>
      <c r="APR13" s="37"/>
      <c r="APS13" s="37"/>
      <c r="APT13" s="37"/>
      <c r="APU13" s="37"/>
      <c r="APV13" s="37"/>
      <c r="APW13" s="37"/>
      <c r="APX13" s="37"/>
      <c r="APY13" s="37"/>
      <c r="APZ13" s="37"/>
      <c r="AQA13" s="37"/>
      <c r="AQB13" s="37"/>
      <c r="AQC13" s="37"/>
      <c r="AQD13" s="37"/>
      <c r="AQE13" s="37"/>
      <c r="AQF13" s="37"/>
      <c r="AQG13" s="37"/>
      <c r="AQH13" s="37"/>
      <c r="AQI13" s="37"/>
      <c r="AQJ13" s="37"/>
      <c r="AQK13" s="37"/>
      <c r="AQL13" s="37"/>
      <c r="AQM13" s="37"/>
      <c r="AQN13" s="37"/>
      <c r="AQO13" s="37"/>
      <c r="AQP13" s="37"/>
      <c r="AQQ13" s="37"/>
      <c r="AQR13" s="37"/>
      <c r="AQS13" s="37"/>
      <c r="AQT13" s="37"/>
      <c r="AQU13" s="37"/>
      <c r="AQV13" s="37"/>
      <c r="AQW13" s="37"/>
      <c r="AQX13" s="37"/>
      <c r="AQY13" s="37"/>
      <c r="AQZ13" s="37"/>
      <c r="ARA13" s="37"/>
      <c r="ARB13" s="37"/>
      <c r="ARC13" s="37"/>
      <c r="ARD13" s="37"/>
      <c r="ARE13" s="37"/>
      <c r="ARF13" s="37"/>
      <c r="ARG13" s="37"/>
      <c r="ARH13" s="37"/>
      <c r="ARI13" s="37"/>
      <c r="ARJ13" s="37"/>
      <c r="ARK13" s="37"/>
      <c r="ARL13" s="37"/>
      <c r="ARM13" s="37"/>
      <c r="ARN13" s="37"/>
      <c r="ARO13" s="37"/>
      <c r="ARP13" s="37"/>
      <c r="ARQ13" s="37"/>
      <c r="ARR13" s="37"/>
      <c r="ARS13" s="37"/>
      <c r="ART13" s="37"/>
      <c r="ARU13" s="37"/>
      <c r="ARV13" s="37"/>
      <c r="ARW13" s="37"/>
      <c r="ARX13" s="37"/>
      <c r="ARY13" s="37"/>
      <c r="ARZ13" s="37"/>
      <c r="ASA13" s="37"/>
      <c r="ASB13" s="37"/>
      <c r="ASC13" s="37"/>
      <c r="ASD13" s="37"/>
      <c r="ASE13" s="37"/>
      <c r="ASF13" s="37"/>
      <c r="ASG13" s="37"/>
      <c r="ASH13" s="37"/>
      <c r="ASI13" s="37"/>
      <c r="ASJ13" s="37"/>
      <c r="ASK13" s="37"/>
      <c r="ASL13" s="37"/>
      <c r="ASM13" s="37"/>
      <c r="ASN13" s="37"/>
      <c r="ASO13" s="37"/>
      <c r="ASP13" s="37"/>
      <c r="ASQ13" s="37"/>
      <c r="ASR13" s="37"/>
      <c r="ASS13" s="37"/>
      <c r="AST13" s="37"/>
      <c r="ASU13" s="37"/>
      <c r="ASV13" s="37"/>
      <c r="ASW13" s="37"/>
      <c r="ASX13" s="37"/>
      <c r="ASY13" s="37"/>
      <c r="ASZ13" s="37"/>
      <c r="ATA13" s="37"/>
      <c r="ATB13" s="37"/>
      <c r="ATC13" s="37"/>
      <c r="ATD13" s="37"/>
      <c r="ATE13" s="37"/>
      <c r="ATF13" s="37"/>
      <c r="ATG13" s="37"/>
      <c r="ATH13" s="37"/>
      <c r="ATI13" s="37"/>
      <c r="ATJ13" s="37"/>
      <c r="ATK13" s="37"/>
      <c r="ATL13" s="37"/>
      <c r="ATM13" s="37"/>
      <c r="ATN13" s="37"/>
      <c r="ATO13" s="37"/>
      <c r="ATP13" s="37"/>
      <c r="ATQ13" s="37"/>
      <c r="ATR13" s="37"/>
      <c r="ATS13" s="37"/>
      <c r="ATT13" s="37"/>
      <c r="ATU13" s="37"/>
      <c r="ATV13" s="37"/>
      <c r="ATW13" s="37"/>
      <c r="ATX13" s="37"/>
      <c r="ATY13" s="37"/>
      <c r="ATZ13" s="37"/>
      <c r="AUA13" s="37"/>
      <c r="AUB13" s="37"/>
      <c r="AUC13" s="37"/>
      <c r="AUD13" s="37"/>
      <c r="AUE13" s="37"/>
      <c r="AUF13" s="37"/>
      <c r="AUG13" s="37"/>
      <c r="AUH13" s="37"/>
      <c r="AUI13" s="37"/>
      <c r="AUJ13" s="37"/>
      <c r="AUK13" s="37"/>
      <c r="AUL13" s="37"/>
      <c r="AUM13" s="37"/>
      <c r="AUN13" s="37"/>
      <c r="AUO13" s="37"/>
      <c r="AUP13" s="37"/>
      <c r="AUQ13" s="37"/>
      <c r="AUR13" s="37"/>
      <c r="AUS13" s="37"/>
      <c r="AUT13" s="37"/>
      <c r="AUU13" s="37"/>
      <c r="AUV13" s="37"/>
      <c r="AUW13" s="37"/>
      <c r="AUX13" s="37"/>
      <c r="AUY13" s="37"/>
      <c r="AUZ13" s="37"/>
      <c r="AVA13" s="37"/>
      <c r="AVB13" s="37"/>
      <c r="AVC13" s="37"/>
      <c r="AVD13" s="37"/>
      <c r="AVE13" s="37"/>
      <c r="AVF13" s="37"/>
      <c r="AVG13" s="37"/>
      <c r="AVH13" s="37"/>
      <c r="AVI13" s="37"/>
      <c r="AVJ13" s="37"/>
      <c r="AVK13" s="37"/>
      <c r="AVL13" s="37"/>
      <c r="AVM13" s="37"/>
      <c r="AVN13" s="37"/>
      <c r="AVO13" s="37"/>
      <c r="AVP13" s="37"/>
      <c r="AVQ13" s="37"/>
      <c r="AVR13" s="37"/>
      <c r="AVS13" s="37"/>
      <c r="AVT13" s="37"/>
      <c r="AVU13" s="37"/>
      <c r="AVV13" s="37"/>
      <c r="AVW13" s="37"/>
      <c r="AVX13" s="37"/>
      <c r="AVY13" s="37"/>
      <c r="AVZ13" s="37"/>
      <c r="AWA13" s="37"/>
      <c r="AWB13" s="37"/>
      <c r="AWC13" s="37"/>
      <c r="AWD13" s="37"/>
      <c r="AWE13" s="37"/>
      <c r="AWF13" s="37"/>
      <c r="AWG13" s="37"/>
      <c r="AWH13" s="37"/>
      <c r="AWI13" s="37"/>
      <c r="AWJ13" s="37"/>
      <c r="AWK13" s="37"/>
      <c r="AWL13" s="37"/>
      <c r="AWM13" s="37"/>
      <c r="AWN13" s="37"/>
      <c r="AWO13" s="37"/>
      <c r="AWP13" s="37"/>
      <c r="AWQ13" s="37"/>
      <c r="AWR13" s="37"/>
      <c r="AWS13" s="37"/>
      <c r="AWT13" s="37"/>
      <c r="AWU13" s="37"/>
      <c r="AWV13" s="37"/>
      <c r="AWW13" s="37"/>
      <c r="AWX13" s="37"/>
      <c r="AWY13" s="37"/>
      <c r="AWZ13" s="37"/>
      <c r="AXA13" s="37"/>
      <c r="AXB13" s="37"/>
      <c r="AXC13" s="37"/>
      <c r="AXD13" s="37"/>
      <c r="AXE13" s="37"/>
      <c r="AXF13" s="37"/>
      <c r="AXG13" s="37"/>
      <c r="AXH13" s="37"/>
      <c r="AXI13" s="37"/>
      <c r="AXJ13" s="37"/>
      <c r="AXK13" s="37"/>
      <c r="AXL13" s="37"/>
      <c r="AXM13" s="37"/>
      <c r="AXN13" s="37"/>
      <c r="AXO13" s="37"/>
      <c r="AXP13" s="37"/>
      <c r="AXQ13" s="37"/>
      <c r="AXR13" s="37"/>
      <c r="AXS13" s="37"/>
      <c r="AXT13" s="37"/>
      <c r="AXU13" s="37"/>
      <c r="AXV13" s="37"/>
      <c r="AXW13" s="37"/>
      <c r="AXX13" s="37"/>
      <c r="AXY13" s="37"/>
      <c r="AXZ13" s="37"/>
      <c r="AYA13" s="37"/>
      <c r="AYB13" s="37"/>
      <c r="AYC13" s="37"/>
      <c r="AYD13" s="37"/>
      <c r="AYE13" s="37"/>
      <c r="AYF13" s="37"/>
      <c r="AYG13" s="37"/>
      <c r="AYH13" s="37"/>
      <c r="AYI13" s="37"/>
      <c r="AYJ13" s="37"/>
      <c r="AYK13" s="37"/>
      <c r="AYL13" s="37"/>
      <c r="AYM13" s="37"/>
      <c r="AYN13" s="37"/>
      <c r="AYO13" s="37"/>
      <c r="AYP13" s="37"/>
      <c r="AYQ13" s="37"/>
      <c r="AYR13" s="37"/>
      <c r="AYS13" s="37"/>
      <c r="AYT13" s="37"/>
      <c r="AYU13" s="37"/>
      <c r="AYV13" s="37"/>
      <c r="AYW13" s="37"/>
      <c r="AYX13" s="37"/>
      <c r="AYY13" s="37"/>
      <c r="AYZ13" s="37"/>
      <c r="AZA13" s="37"/>
      <c r="AZB13" s="37"/>
      <c r="AZC13" s="37"/>
      <c r="AZD13" s="37"/>
      <c r="AZE13" s="37"/>
      <c r="AZF13" s="37"/>
      <c r="AZG13" s="37"/>
      <c r="AZH13" s="37"/>
      <c r="AZI13" s="37"/>
      <c r="AZJ13" s="37"/>
      <c r="AZK13" s="37"/>
      <c r="AZL13" s="37"/>
      <c r="AZM13" s="37"/>
      <c r="AZN13" s="37"/>
      <c r="AZO13" s="37"/>
      <c r="AZP13" s="37"/>
      <c r="AZQ13" s="37"/>
      <c r="AZR13" s="37"/>
      <c r="AZS13" s="37"/>
      <c r="AZT13" s="37"/>
      <c r="AZU13" s="37"/>
      <c r="AZV13" s="37"/>
      <c r="AZW13" s="37"/>
      <c r="AZX13" s="37"/>
      <c r="AZY13" s="37"/>
      <c r="AZZ13" s="37"/>
      <c r="BAA13" s="37"/>
      <c r="BAB13" s="37"/>
      <c r="BAC13" s="37"/>
      <c r="BAD13" s="37"/>
      <c r="BAE13" s="37"/>
      <c r="BAF13" s="37"/>
      <c r="BAG13" s="37"/>
      <c r="BAH13" s="37"/>
      <c r="BAI13" s="37"/>
      <c r="BAJ13" s="37"/>
      <c r="BAK13" s="37"/>
      <c r="BAL13" s="37"/>
      <c r="BAM13" s="37"/>
      <c r="BAN13" s="37"/>
      <c r="BAO13" s="37"/>
      <c r="BAP13" s="37"/>
      <c r="BAQ13" s="37"/>
      <c r="BAR13" s="37"/>
      <c r="BAS13" s="37"/>
      <c r="BAT13" s="37"/>
      <c r="BAU13" s="37"/>
      <c r="BAV13" s="37"/>
      <c r="BAW13" s="37"/>
      <c r="BAX13" s="37"/>
      <c r="BAY13" s="37"/>
      <c r="BAZ13" s="37"/>
      <c r="BBA13" s="37"/>
      <c r="BBB13" s="37"/>
      <c r="BBC13" s="37"/>
      <c r="BBD13" s="37"/>
      <c r="BBE13" s="37"/>
      <c r="BBF13" s="37"/>
      <c r="BBG13" s="37"/>
      <c r="BBH13" s="37"/>
      <c r="BBI13" s="37"/>
      <c r="BBJ13" s="37"/>
      <c r="BBK13" s="37"/>
      <c r="BBL13" s="37"/>
      <c r="BBM13" s="37"/>
      <c r="BBN13" s="37"/>
      <c r="BBO13" s="37"/>
      <c r="BBP13" s="37"/>
      <c r="BBQ13" s="37"/>
      <c r="BBR13" s="37"/>
      <c r="BBS13" s="37"/>
      <c r="BBT13" s="37"/>
      <c r="BBU13" s="37"/>
      <c r="BBV13" s="37"/>
      <c r="BBW13" s="37"/>
      <c r="BBX13" s="37"/>
      <c r="BBY13" s="37"/>
      <c r="BBZ13" s="37"/>
      <c r="BCA13" s="37"/>
      <c r="BCB13" s="37"/>
      <c r="BCC13" s="37"/>
      <c r="BCD13" s="37"/>
      <c r="BCE13" s="37"/>
      <c r="BCF13" s="37"/>
      <c r="BCG13" s="37"/>
      <c r="BCH13" s="37"/>
      <c r="BCI13" s="37"/>
      <c r="BCJ13" s="37"/>
      <c r="BCK13" s="37"/>
      <c r="BCL13" s="37"/>
      <c r="BCM13" s="37"/>
      <c r="BCN13" s="37"/>
      <c r="BCO13" s="37"/>
      <c r="BCP13" s="37"/>
      <c r="BCQ13" s="37"/>
      <c r="BCR13" s="37"/>
      <c r="BCS13" s="37"/>
      <c r="BCT13" s="37"/>
      <c r="BCU13" s="37"/>
      <c r="BCV13" s="37"/>
      <c r="BCW13" s="37"/>
      <c r="BCX13" s="37"/>
      <c r="BCY13" s="37"/>
      <c r="BCZ13" s="37"/>
      <c r="BDA13" s="37"/>
      <c r="BDB13" s="37"/>
      <c r="BDC13" s="37"/>
      <c r="BDD13" s="37"/>
      <c r="BDE13" s="37"/>
      <c r="BDF13" s="37"/>
      <c r="BDG13" s="37"/>
      <c r="BDH13" s="37"/>
      <c r="BDI13" s="37"/>
      <c r="BDJ13" s="37"/>
      <c r="BDK13" s="37"/>
      <c r="BDL13" s="37"/>
      <c r="BDM13" s="37"/>
      <c r="BDN13" s="37"/>
      <c r="BDO13" s="37"/>
      <c r="BDP13" s="37"/>
      <c r="BDQ13" s="37"/>
      <c r="BDR13" s="37"/>
      <c r="BDS13" s="37"/>
      <c r="BDT13" s="37"/>
      <c r="BDU13" s="37"/>
      <c r="BDV13" s="37"/>
      <c r="BDW13" s="37"/>
      <c r="BDX13" s="37"/>
      <c r="BDY13" s="37"/>
      <c r="BDZ13" s="37"/>
      <c r="BEA13" s="37"/>
      <c r="BEB13" s="37"/>
      <c r="BEC13" s="37"/>
      <c r="BED13" s="37"/>
      <c r="BEE13" s="37"/>
      <c r="BEF13" s="37"/>
      <c r="BEG13" s="37"/>
      <c r="BEH13" s="37"/>
      <c r="BEI13" s="37"/>
      <c r="BEJ13" s="37"/>
      <c r="BEK13" s="37"/>
      <c r="BEL13" s="37"/>
      <c r="BEM13" s="37"/>
      <c r="BEN13" s="37"/>
      <c r="BEO13" s="37"/>
      <c r="BEP13" s="37"/>
      <c r="BEQ13" s="37"/>
      <c r="BER13" s="37"/>
      <c r="BES13" s="37"/>
      <c r="BET13" s="37"/>
      <c r="BEU13" s="37"/>
      <c r="BEV13" s="37"/>
      <c r="BEW13" s="37"/>
      <c r="BEX13" s="37"/>
      <c r="BEY13" s="37"/>
      <c r="BEZ13" s="37"/>
      <c r="BFA13" s="37"/>
      <c r="BFB13" s="37"/>
      <c r="BFC13" s="37"/>
      <c r="BFD13" s="37"/>
      <c r="BFE13" s="37"/>
      <c r="BFF13" s="37"/>
      <c r="BFG13" s="37"/>
      <c r="BFH13" s="37"/>
      <c r="BFI13" s="37"/>
      <c r="BFJ13" s="37"/>
      <c r="BFK13" s="37"/>
      <c r="BFL13" s="37"/>
      <c r="BFM13" s="37"/>
      <c r="BFN13" s="37"/>
      <c r="BFO13" s="37"/>
      <c r="BFP13" s="37"/>
      <c r="BFQ13" s="37"/>
      <c r="BFR13" s="37"/>
      <c r="BFS13" s="37"/>
      <c r="BFT13" s="37"/>
      <c r="BFU13" s="37"/>
      <c r="BFV13" s="37"/>
      <c r="BFW13" s="37"/>
      <c r="BFX13" s="37"/>
      <c r="BFY13" s="37"/>
      <c r="BFZ13" s="37"/>
      <c r="BGA13" s="37"/>
      <c r="BGB13" s="37"/>
      <c r="BGC13" s="37"/>
      <c r="BGD13" s="37"/>
      <c r="BGE13" s="37"/>
      <c r="BGF13" s="37"/>
      <c r="BGG13" s="37"/>
      <c r="BGH13" s="37"/>
      <c r="BGI13" s="37"/>
      <c r="BGJ13" s="37"/>
      <c r="BGK13" s="37"/>
      <c r="BGL13" s="37"/>
      <c r="BGM13" s="37"/>
      <c r="BGN13" s="37"/>
      <c r="BGO13" s="37"/>
      <c r="BGP13" s="37"/>
      <c r="BGQ13" s="37"/>
      <c r="BGR13" s="37"/>
      <c r="BGS13" s="37"/>
      <c r="BGT13" s="37"/>
      <c r="BGU13" s="37"/>
      <c r="BGV13" s="37"/>
      <c r="BGW13" s="37"/>
      <c r="BGX13" s="37"/>
      <c r="BGY13" s="37"/>
      <c r="BGZ13" s="37"/>
      <c r="BHA13" s="37"/>
      <c r="BHB13" s="37"/>
      <c r="BHC13" s="37"/>
      <c r="BHD13" s="37"/>
      <c r="BHE13" s="37"/>
      <c r="BHF13" s="37"/>
      <c r="BHG13" s="37"/>
      <c r="BHH13" s="37"/>
      <c r="BHI13" s="37"/>
      <c r="BHJ13" s="37"/>
      <c r="BHK13" s="37"/>
      <c r="BHL13" s="37"/>
      <c r="BHM13" s="37"/>
      <c r="BHN13" s="37"/>
      <c r="BHO13" s="37"/>
      <c r="BHP13" s="37"/>
      <c r="BHQ13" s="37"/>
      <c r="BHR13" s="37"/>
      <c r="BHS13" s="37"/>
      <c r="BHT13" s="37"/>
      <c r="BHU13" s="37"/>
      <c r="BHV13" s="37"/>
      <c r="BHW13" s="37"/>
      <c r="BHX13" s="37"/>
      <c r="BHY13" s="37"/>
      <c r="BHZ13" s="37"/>
      <c r="BIA13" s="37"/>
      <c r="BIB13" s="37"/>
      <c r="BIC13" s="37"/>
      <c r="BID13" s="37"/>
      <c r="BIE13" s="37"/>
      <c r="BIF13" s="37"/>
      <c r="BIG13" s="37"/>
      <c r="BIH13" s="37"/>
      <c r="BII13" s="37"/>
      <c r="BIJ13" s="37"/>
      <c r="BIK13" s="37"/>
      <c r="BIL13" s="37"/>
      <c r="BIM13" s="37"/>
      <c r="BIN13" s="37"/>
      <c r="BIO13" s="37"/>
      <c r="BIP13" s="37"/>
      <c r="BIQ13" s="37"/>
      <c r="BIR13" s="37"/>
      <c r="BIS13" s="37"/>
      <c r="BIT13" s="37"/>
      <c r="BIU13" s="37"/>
      <c r="BIV13" s="37"/>
      <c r="BIW13" s="37"/>
      <c r="BIX13" s="37"/>
      <c r="BIY13" s="37"/>
      <c r="BIZ13" s="37"/>
      <c r="BJA13" s="37"/>
      <c r="BJB13" s="37"/>
      <c r="BJC13" s="37"/>
      <c r="BJD13" s="37"/>
      <c r="BJE13" s="37"/>
      <c r="BJF13" s="37"/>
      <c r="BJG13" s="37"/>
      <c r="BJH13" s="37"/>
      <c r="BJI13" s="37"/>
      <c r="BJJ13" s="37"/>
      <c r="BJK13" s="37"/>
      <c r="BJL13" s="37"/>
      <c r="BJM13" s="37"/>
      <c r="BJN13" s="37"/>
      <c r="BJO13" s="37"/>
      <c r="BJP13" s="37"/>
      <c r="BJQ13" s="37"/>
      <c r="BJR13" s="37"/>
      <c r="BJS13" s="37"/>
      <c r="BJT13" s="37"/>
      <c r="BJU13" s="37"/>
      <c r="BJV13" s="37"/>
      <c r="BJW13" s="37"/>
      <c r="BJX13" s="37"/>
      <c r="BJY13" s="37"/>
      <c r="BJZ13" s="37"/>
      <c r="BKA13" s="37"/>
      <c r="BKB13" s="37"/>
      <c r="BKC13" s="37"/>
      <c r="BKD13" s="37"/>
      <c r="BKE13" s="37"/>
      <c r="BKF13" s="37"/>
      <c r="BKG13" s="37"/>
      <c r="BKH13" s="37"/>
      <c r="BKI13" s="37"/>
      <c r="BKJ13" s="37"/>
      <c r="BKK13" s="37"/>
      <c r="BKL13" s="37"/>
      <c r="BKM13" s="37"/>
      <c r="BKN13" s="37"/>
      <c r="BKO13" s="37"/>
      <c r="BKP13" s="37"/>
      <c r="BKQ13" s="37"/>
      <c r="BKR13" s="37"/>
      <c r="BKS13" s="37"/>
      <c r="BKT13" s="37"/>
      <c r="BKU13" s="37"/>
      <c r="BKV13" s="37"/>
      <c r="BKW13" s="37"/>
      <c r="BKX13" s="37"/>
      <c r="BKY13" s="37"/>
      <c r="BKZ13" s="37"/>
      <c r="BLA13" s="37"/>
      <c r="BLB13" s="37"/>
      <c r="BLC13" s="37"/>
      <c r="BLD13" s="37"/>
      <c r="BLE13" s="37"/>
      <c r="BLF13" s="37"/>
      <c r="BLG13" s="37"/>
      <c r="BLH13" s="37"/>
      <c r="BLI13" s="37"/>
      <c r="BLJ13" s="37"/>
      <c r="BLK13" s="37"/>
      <c r="BLL13" s="37"/>
      <c r="BLM13" s="37"/>
      <c r="BLN13" s="37"/>
      <c r="BLO13" s="37"/>
      <c r="BLP13" s="37"/>
      <c r="BLQ13" s="37"/>
      <c r="BLR13" s="37"/>
      <c r="BLS13" s="37"/>
      <c r="BLT13" s="37"/>
      <c r="BLU13" s="37"/>
      <c r="BLV13" s="37"/>
      <c r="BLW13" s="37"/>
      <c r="BLX13" s="37"/>
      <c r="BLY13" s="37"/>
      <c r="BLZ13" s="37"/>
      <c r="BMA13" s="37"/>
      <c r="BMB13" s="37"/>
      <c r="BMC13" s="37"/>
      <c r="BMD13" s="37"/>
      <c r="BME13" s="37"/>
      <c r="BMF13" s="37"/>
      <c r="BMG13" s="37"/>
      <c r="BMH13" s="37"/>
      <c r="BMI13" s="37"/>
      <c r="BMJ13" s="37"/>
      <c r="BMK13" s="37"/>
      <c r="BML13" s="37"/>
      <c r="BMM13" s="37"/>
      <c r="BMN13" s="37"/>
      <c r="BMO13" s="37"/>
      <c r="BMP13" s="37"/>
      <c r="BMQ13" s="37"/>
      <c r="BMR13" s="37"/>
      <c r="BMS13" s="37"/>
      <c r="BMT13" s="37"/>
      <c r="BMU13" s="37"/>
      <c r="BMV13" s="37"/>
      <c r="BMW13" s="37"/>
      <c r="BMX13" s="37"/>
      <c r="BMY13" s="37"/>
      <c r="BMZ13" s="37"/>
      <c r="BNA13" s="37"/>
      <c r="BNB13" s="37"/>
      <c r="BNC13" s="37"/>
      <c r="BND13" s="37"/>
      <c r="BNE13" s="37"/>
      <c r="BNF13" s="37"/>
      <c r="BNG13" s="37"/>
      <c r="BNH13" s="37"/>
      <c r="BNI13" s="37"/>
      <c r="BNJ13" s="37"/>
      <c r="BNK13" s="37"/>
      <c r="BNL13" s="37"/>
      <c r="BNM13" s="37"/>
      <c r="BNN13" s="37"/>
      <c r="BNO13" s="37"/>
      <c r="BNP13" s="37"/>
      <c r="BNQ13" s="37"/>
      <c r="BNR13" s="37"/>
      <c r="BNS13" s="37"/>
      <c r="BNT13" s="37"/>
      <c r="BNU13" s="37"/>
      <c r="BNV13" s="37"/>
      <c r="BNW13" s="37"/>
      <c r="BNX13" s="37"/>
      <c r="BNY13" s="37"/>
      <c r="BNZ13" s="37"/>
      <c r="BOA13" s="37"/>
      <c r="BOB13" s="37"/>
      <c r="BOC13" s="37"/>
      <c r="BOD13" s="37"/>
      <c r="BOE13" s="37"/>
      <c r="BOF13" s="37"/>
      <c r="BOG13" s="37"/>
      <c r="BOH13" s="37"/>
      <c r="BOI13" s="37"/>
      <c r="BOJ13" s="37"/>
      <c r="BOK13" s="37"/>
      <c r="BOL13" s="37"/>
      <c r="BOM13" s="37"/>
      <c r="BON13" s="37"/>
      <c r="BOO13" s="37"/>
      <c r="BOP13" s="37"/>
      <c r="BOQ13" s="37"/>
      <c r="BOR13" s="37"/>
      <c r="BOS13" s="37"/>
      <c r="BOT13" s="37"/>
      <c r="BOU13" s="37"/>
      <c r="BOV13" s="37"/>
      <c r="BOW13" s="37"/>
      <c r="BOX13" s="37"/>
      <c r="BOY13" s="37"/>
      <c r="BOZ13" s="37"/>
      <c r="BPA13" s="37"/>
      <c r="BPB13" s="37"/>
      <c r="BPC13" s="37"/>
      <c r="BPD13" s="37"/>
      <c r="BPE13" s="37"/>
      <c r="BPF13" s="37"/>
      <c r="BPG13" s="37"/>
      <c r="BPH13" s="37"/>
      <c r="BPI13" s="37"/>
      <c r="BPJ13" s="37"/>
      <c r="BPK13" s="37"/>
      <c r="BPL13" s="37"/>
      <c r="BPM13" s="37"/>
      <c r="BPN13" s="37"/>
      <c r="BPO13" s="37"/>
      <c r="BPP13" s="37"/>
      <c r="BPQ13" s="37"/>
      <c r="BPR13" s="37"/>
      <c r="BPS13" s="37"/>
      <c r="BPT13" s="37"/>
      <c r="BPU13" s="37"/>
      <c r="BPV13" s="37"/>
      <c r="BPW13" s="37"/>
      <c r="BPX13" s="37"/>
      <c r="BPY13" s="37"/>
      <c r="BPZ13" s="37"/>
      <c r="BQA13" s="37"/>
      <c r="BQB13" s="37"/>
      <c r="BQC13" s="37"/>
      <c r="BQD13" s="37"/>
      <c r="BQE13" s="37"/>
      <c r="BQF13" s="37"/>
      <c r="BQG13" s="37"/>
      <c r="BQH13" s="37"/>
      <c r="BQI13" s="37"/>
      <c r="BQJ13" s="37"/>
      <c r="BQK13" s="37"/>
      <c r="BQL13" s="37"/>
      <c r="BQM13" s="37"/>
      <c r="BQN13" s="37"/>
      <c r="BQO13" s="37"/>
      <c r="BQP13" s="37"/>
      <c r="BQQ13" s="37"/>
      <c r="BQR13" s="37"/>
      <c r="BQS13" s="37"/>
      <c r="BQT13" s="37"/>
      <c r="BQU13" s="37"/>
      <c r="BQV13" s="37"/>
      <c r="BQW13" s="37"/>
      <c r="BQX13" s="37"/>
      <c r="BQY13" s="37"/>
      <c r="BQZ13" s="37"/>
      <c r="BRA13" s="37"/>
      <c r="BRB13" s="37"/>
      <c r="BRC13" s="37"/>
      <c r="BRD13" s="37"/>
      <c r="BRE13" s="37"/>
      <c r="BRF13" s="37"/>
      <c r="BRG13" s="37"/>
      <c r="BRH13" s="37"/>
      <c r="BRI13" s="37"/>
      <c r="BRJ13" s="37"/>
      <c r="BRK13" s="37"/>
      <c r="BRL13" s="37"/>
      <c r="BRM13" s="37"/>
      <c r="BRN13" s="37"/>
      <c r="BRO13" s="37"/>
      <c r="BRP13" s="37"/>
      <c r="BRQ13" s="37"/>
      <c r="BRR13" s="37"/>
      <c r="BRS13" s="37"/>
      <c r="BRT13" s="37"/>
      <c r="BRU13" s="37"/>
      <c r="BRV13" s="37"/>
      <c r="BRW13" s="37"/>
      <c r="BRX13" s="37"/>
      <c r="BRY13" s="37"/>
      <c r="BRZ13" s="37"/>
      <c r="BSA13" s="37"/>
      <c r="BSB13" s="37"/>
      <c r="BSC13" s="37"/>
      <c r="BSD13" s="37"/>
      <c r="BSE13" s="37"/>
      <c r="BSF13" s="37"/>
      <c r="BSG13" s="37"/>
      <c r="BSH13" s="37"/>
      <c r="BSI13" s="37"/>
      <c r="BSJ13" s="37"/>
      <c r="BSK13" s="37"/>
      <c r="BSL13" s="37"/>
      <c r="BSM13" s="37"/>
      <c r="BSN13" s="37"/>
      <c r="BSO13" s="37"/>
      <c r="BSP13" s="37"/>
      <c r="BSQ13" s="37"/>
      <c r="BSR13" s="37"/>
      <c r="BSS13" s="37"/>
      <c r="BST13" s="37"/>
      <c r="BSU13" s="37"/>
      <c r="BSV13" s="37"/>
      <c r="BSW13" s="37"/>
      <c r="BSX13" s="37"/>
      <c r="BSY13" s="37"/>
      <c r="BSZ13" s="37"/>
      <c r="BTA13" s="37"/>
      <c r="BTB13" s="37"/>
      <c r="BTC13" s="37"/>
      <c r="BTD13" s="37"/>
      <c r="BTE13" s="37"/>
      <c r="BTF13" s="37"/>
      <c r="BTG13" s="37"/>
      <c r="BTH13" s="37"/>
      <c r="BTI13" s="37"/>
      <c r="BTJ13" s="37"/>
      <c r="BTK13" s="37"/>
      <c r="BTL13" s="37"/>
      <c r="BTM13" s="37"/>
      <c r="BTN13" s="37"/>
      <c r="BTO13" s="37"/>
      <c r="BTP13" s="37"/>
      <c r="BTQ13" s="37"/>
      <c r="BTR13" s="37"/>
      <c r="BTS13" s="37"/>
      <c r="BTT13" s="37"/>
      <c r="BTU13" s="37"/>
      <c r="BTV13" s="37"/>
      <c r="BTW13" s="37"/>
      <c r="BTX13" s="37"/>
      <c r="BTY13" s="37"/>
      <c r="BTZ13" s="37"/>
      <c r="BUA13" s="37"/>
      <c r="BUB13" s="37"/>
      <c r="BUC13" s="37"/>
      <c r="BUD13" s="37"/>
      <c r="BUE13" s="37"/>
      <c r="BUF13" s="37"/>
      <c r="BUG13" s="37"/>
      <c r="BUH13" s="37"/>
      <c r="BUI13" s="37"/>
      <c r="BUJ13" s="37"/>
      <c r="BUK13" s="37"/>
      <c r="BUL13" s="37"/>
      <c r="BUM13" s="37"/>
      <c r="BUN13" s="37"/>
      <c r="BUO13" s="37"/>
      <c r="BUP13" s="37"/>
      <c r="BUQ13" s="37"/>
      <c r="BUR13" s="37"/>
      <c r="BUS13" s="37"/>
      <c r="BUT13" s="37"/>
      <c r="BUU13" s="37"/>
      <c r="BUV13" s="37"/>
      <c r="BUW13" s="37"/>
      <c r="BUX13" s="37"/>
      <c r="BUY13" s="37"/>
      <c r="BUZ13" s="37"/>
      <c r="BVA13" s="37"/>
      <c r="BVB13" s="37"/>
      <c r="BVC13" s="37"/>
      <c r="BVD13" s="37"/>
      <c r="BVE13" s="37"/>
      <c r="BVF13" s="37"/>
      <c r="BVG13" s="37"/>
      <c r="BVH13" s="37"/>
      <c r="BVI13" s="37"/>
      <c r="BVJ13" s="37"/>
      <c r="BVK13" s="37"/>
      <c r="BVL13" s="37"/>
      <c r="BVM13" s="37"/>
      <c r="BVN13" s="37"/>
      <c r="BVO13" s="37"/>
      <c r="BVP13" s="37"/>
      <c r="BVQ13" s="37"/>
      <c r="BVR13" s="37"/>
      <c r="BVS13" s="37"/>
      <c r="BVT13" s="37"/>
      <c r="BVU13" s="37"/>
      <c r="BVV13" s="37"/>
      <c r="BVW13" s="37"/>
      <c r="BVX13" s="37"/>
      <c r="BVY13" s="37"/>
      <c r="BVZ13" s="37"/>
      <c r="BWA13" s="37"/>
      <c r="BWB13" s="37"/>
      <c r="BWC13" s="37"/>
      <c r="BWD13" s="37"/>
      <c r="BWE13" s="37"/>
      <c r="BWF13" s="37"/>
      <c r="BWG13" s="37"/>
      <c r="BWH13" s="37"/>
      <c r="BWI13" s="37"/>
      <c r="BWJ13" s="37"/>
    </row>
    <row r="14" spans="1:1960" x14ac:dyDescent="0.25">
      <c r="A14" s="38">
        <v>9</v>
      </c>
      <c r="B14" s="39">
        <v>20</v>
      </c>
      <c r="C14" s="40">
        <v>1000</v>
      </c>
      <c r="D14" s="41" t="s">
        <v>23</v>
      </c>
      <c r="E14" s="271">
        <f ca="1"/>
        <v>69</v>
      </c>
      <c r="F14" s="33">
        <v>-100</v>
      </c>
      <c r="G14" s="33">
        <v>1000</v>
      </c>
      <c r="H14" s="43">
        <f ca="1"/>
        <v>-100</v>
      </c>
      <c r="I14" s="33">
        <f ca="1"/>
        <v>43.9</v>
      </c>
      <c r="J14" s="35">
        <v>9</v>
      </c>
      <c r="K14" s="36">
        <v>20</v>
      </c>
      <c r="L14" s="37">
        <v>20</v>
      </c>
      <c r="M14" s="37">
        <v>20</v>
      </c>
      <c r="N14" s="37">
        <v>20</v>
      </c>
      <c r="O14" s="37">
        <v>20</v>
      </c>
      <c r="P14" s="37">
        <v>20</v>
      </c>
      <c r="Q14" s="37">
        <v>20</v>
      </c>
      <c r="R14" s="44">
        <v>20</v>
      </c>
      <c r="S14" s="37">
        <v>20</v>
      </c>
      <c r="T14" s="37">
        <v>20</v>
      </c>
      <c r="U14" s="37">
        <v>20</v>
      </c>
      <c r="V14" s="37">
        <v>20</v>
      </c>
      <c r="W14" s="37">
        <v>20</v>
      </c>
      <c r="X14" s="37">
        <v>20</v>
      </c>
      <c r="Y14" s="37">
        <v>20</v>
      </c>
      <c r="Z14" s="37">
        <v>20</v>
      </c>
      <c r="AA14" s="37">
        <v>20</v>
      </c>
      <c r="AB14" s="37">
        <v>20</v>
      </c>
      <c r="AC14" s="37">
        <v>20</v>
      </c>
      <c r="AD14" s="37">
        <v>20</v>
      </c>
      <c r="AE14" s="37">
        <v>20</v>
      </c>
      <c r="AF14" s="37">
        <v>20</v>
      </c>
      <c r="AG14" s="37">
        <v>20</v>
      </c>
      <c r="AH14" s="37">
        <v>20</v>
      </c>
      <c r="AI14" s="37">
        <v>20</v>
      </c>
      <c r="AJ14" s="37">
        <v>20</v>
      </c>
      <c r="AK14" s="37">
        <v>20</v>
      </c>
      <c r="AL14" s="37">
        <v>20</v>
      </c>
      <c r="AM14" s="37">
        <v>20</v>
      </c>
      <c r="AN14" s="37">
        <v>20</v>
      </c>
      <c r="AO14" s="37">
        <v>20</v>
      </c>
      <c r="AP14" s="37">
        <v>20</v>
      </c>
      <c r="AQ14" s="37">
        <v>20</v>
      </c>
      <c r="AR14" s="37">
        <v>20</v>
      </c>
      <c r="AS14" s="37">
        <v>20</v>
      </c>
      <c r="AT14" s="37">
        <v>20</v>
      </c>
      <c r="AU14" s="37">
        <v>20</v>
      </c>
      <c r="AV14" s="37">
        <v>20</v>
      </c>
      <c r="AW14" s="37">
        <v>20</v>
      </c>
      <c r="AX14" s="37">
        <v>20</v>
      </c>
      <c r="AY14" s="37">
        <v>20</v>
      </c>
      <c r="AZ14" s="37">
        <v>20</v>
      </c>
      <c r="BA14" s="37">
        <v>20</v>
      </c>
      <c r="BB14" s="37">
        <v>20</v>
      </c>
      <c r="BC14" s="37">
        <v>20</v>
      </c>
      <c r="BD14" s="37">
        <v>20</v>
      </c>
      <c r="BE14" s="37">
        <v>20</v>
      </c>
      <c r="BF14" s="37">
        <v>20</v>
      </c>
      <c r="BG14" s="37">
        <v>20</v>
      </c>
      <c r="BH14" s="37">
        <v>20</v>
      </c>
      <c r="BI14" s="37">
        <v>20</v>
      </c>
      <c r="BJ14" s="37">
        <v>20</v>
      </c>
      <c r="BK14" s="37">
        <v>20</v>
      </c>
      <c r="BL14" s="37">
        <v>20</v>
      </c>
      <c r="BM14" s="37">
        <v>20</v>
      </c>
      <c r="BN14" s="37">
        <v>20</v>
      </c>
      <c r="BO14" s="37">
        <v>20</v>
      </c>
      <c r="BP14" s="37">
        <v>20</v>
      </c>
      <c r="BQ14" s="37">
        <v>20</v>
      </c>
      <c r="BR14" s="37">
        <v>20</v>
      </c>
      <c r="BS14" s="37">
        <v>20</v>
      </c>
      <c r="BT14" s="37">
        <v>20</v>
      </c>
      <c r="BU14" s="37">
        <v>20</v>
      </c>
      <c r="BV14" s="37">
        <v>20</v>
      </c>
      <c r="BW14" s="37">
        <v>20</v>
      </c>
      <c r="BX14" s="37">
        <v>20</v>
      </c>
      <c r="BY14" s="37">
        <v>20</v>
      </c>
      <c r="BZ14" s="37">
        <v>20</v>
      </c>
      <c r="CA14" s="37">
        <v>0</v>
      </c>
      <c r="CB14" s="37">
        <v>0</v>
      </c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  <c r="AMD14" s="37"/>
      <c r="AME14" s="37"/>
      <c r="AMF14" s="37"/>
      <c r="AMG14" s="37"/>
      <c r="AMH14" s="37"/>
      <c r="AMI14" s="37"/>
      <c r="AMJ14" s="37"/>
      <c r="AMK14" s="37"/>
      <c r="AML14" s="37"/>
      <c r="AMM14" s="37"/>
      <c r="AMN14" s="37"/>
      <c r="AMO14" s="37"/>
      <c r="AMP14" s="37"/>
      <c r="AMQ14" s="37"/>
      <c r="AMR14" s="37"/>
      <c r="AMS14" s="37"/>
      <c r="AMT14" s="37"/>
      <c r="AMU14" s="37"/>
      <c r="AMV14" s="37"/>
      <c r="AMW14" s="37"/>
      <c r="AMX14" s="37"/>
      <c r="AMY14" s="37"/>
      <c r="AMZ14" s="37"/>
      <c r="ANA14" s="37"/>
      <c r="ANB14" s="37"/>
      <c r="ANC14" s="37"/>
      <c r="AND14" s="37"/>
      <c r="ANE14" s="37"/>
      <c r="ANF14" s="37"/>
      <c r="ANG14" s="37"/>
      <c r="ANH14" s="37"/>
      <c r="ANI14" s="37"/>
      <c r="ANJ14" s="37"/>
      <c r="ANK14" s="37"/>
      <c r="ANL14" s="37"/>
      <c r="ANM14" s="37"/>
      <c r="ANN14" s="37"/>
      <c r="ANO14" s="37"/>
      <c r="ANP14" s="37"/>
      <c r="ANQ14" s="37"/>
      <c r="ANR14" s="37"/>
      <c r="ANS14" s="37"/>
      <c r="ANT14" s="37"/>
      <c r="ANU14" s="37"/>
      <c r="ANV14" s="37"/>
      <c r="ANW14" s="37"/>
      <c r="ANX14" s="37"/>
      <c r="ANY14" s="37"/>
      <c r="ANZ14" s="37"/>
      <c r="AOA14" s="37"/>
      <c r="AOB14" s="37"/>
      <c r="AOC14" s="37"/>
      <c r="AOD14" s="37"/>
      <c r="AOE14" s="37"/>
      <c r="AOF14" s="37"/>
      <c r="AOG14" s="37"/>
      <c r="AOH14" s="37"/>
      <c r="AOI14" s="37"/>
      <c r="AOJ14" s="37"/>
      <c r="AOK14" s="37"/>
      <c r="AOL14" s="37"/>
      <c r="AOM14" s="37"/>
      <c r="AON14" s="37"/>
      <c r="AOO14" s="37"/>
      <c r="AOP14" s="37"/>
      <c r="AOQ14" s="37"/>
      <c r="AOR14" s="37"/>
      <c r="AOS14" s="37"/>
      <c r="AOT14" s="37"/>
      <c r="AOU14" s="37"/>
      <c r="AOV14" s="37"/>
      <c r="AOW14" s="37"/>
      <c r="AOX14" s="37"/>
      <c r="AOY14" s="37"/>
      <c r="AOZ14" s="37"/>
      <c r="APA14" s="37"/>
      <c r="APB14" s="37"/>
      <c r="APC14" s="37"/>
      <c r="APD14" s="37"/>
      <c r="APE14" s="37"/>
      <c r="APF14" s="37"/>
      <c r="APG14" s="37"/>
      <c r="APH14" s="37"/>
      <c r="API14" s="37"/>
      <c r="APJ14" s="37"/>
      <c r="APK14" s="37"/>
      <c r="APL14" s="37"/>
      <c r="APM14" s="37"/>
      <c r="APN14" s="37"/>
      <c r="APO14" s="37"/>
      <c r="APP14" s="37"/>
      <c r="APQ14" s="37"/>
      <c r="APR14" s="37"/>
      <c r="APS14" s="37"/>
      <c r="APT14" s="37"/>
      <c r="APU14" s="37"/>
      <c r="APV14" s="37"/>
      <c r="APW14" s="37"/>
      <c r="APX14" s="37"/>
      <c r="APY14" s="37"/>
      <c r="APZ14" s="37"/>
      <c r="AQA14" s="37"/>
      <c r="AQB14" s="37"/>
      <c r="AQC14" s="37"/>
      <c r="AQD14" s="37"/>
      <c r="AQE14" s="37"/>
      <c r="AQF14" s="37"/>
      <c r="AQG14" s="37"/>
      <c r="AQH14" s="37"/>
      <c r="AQI14" s="37"/>
      <c r="AQJ14" s="37"/>
      <c r="AQK14" s="37"/>
      <c r="AQL14" s="37"/>
      <c r="AQM14" s="37"/>
      <c r="AQN14" s="37"/>
      <c r="AQO14" s="37"/>
      <c r="AQP14" s="37"/>
      <c r="AQQ14" s="37"/>
      <c r="AQR14" s="37"/>
      <c r="AQS14" s="37"/>
      <c r="AQT14" s="37"/>
      <c r="AQU14" s="37"/>
      <c r="AQV14" s="37"/>
      <c r="AQW14" s="37"/>
      <c r="AQX14" s="37"/>
      <c r="AQY14" s="37"/>
      <c r="AQZ14" s="37"/>
      <c r="ARA14" s="37"/>
      <c r="ARB14" s="37"/>
      <c r="ARC14" s="37"/>
      <c r="ARD14" s="37"/>
      <c r="ARE14" s="37"/>
      <c r="ARF14" s="37"/>
      <c r="ARG14" s="37"/>
      <c r="ARH14" s="37"/>
      <c r="ARI14" s="37"/>
      <c r="ARJ14" s="37"/>
      <c r="ARK14" s="37"/>
      <c r="ARL14" s="37"/>
      <c r="ARM14" s="37"/>
      <c r="ARN14" s="37"/>
      <c r="ARO14" s="37"/>
      <c r="ARP14" s="37"/>
      <c r="ARQ14" s="37"/>
      <c r="ARR14" s="37"/>
      <c r="ARS14" s="37"/>
      <c r="ART14" s="37"/>
      <c r="ARU14" s="37"/>
      <c r="ARV14" s="37"/>
      <c r="ARW14" s="37"/>
      <c r="ARX14" s="37"/>
      <c r="ARY14" s="37"/>
      <c r="ARZ14" s="37"/>
      <c r="ASA14" s="37"/>
      <c r="ASB14" s="37"/>
      <c r="ASC14" s="37"/>
      <c r="ASD14" s="37"/>
      <c r="ASE14" s="37"/>
      <c r="ASF14" s="37"/>
      <c r="ASG14" s="37"/>
      <c r="ASH14" s="37"/>
      <c r="ASI14" s="37"/>
      <c r="ASJ14" s="37"/>
      <c r="ASK14" s="37"/>
      <c r="ASL14" s="37"/>
      <c r="ASM14" s="37"/>
      <c r="ASN14" s="37"/>
      <c r="ASO14" s="37"/>
      <c r="ASP14" s="37"/>
      <c r="ASQ14" s="37"/>
      <c r="ASR14" s="37"/>
      <c r="ASS14" s="37"/>
      <c r="AST14" s="37"/>
      <c r="ASU14" s="37"/>
      <c r="ASV14" s="37"/>
      <c r="ASW14" s="37"/>
      <c r="ASX14" s="37"/>
      <c r="ASY14" s="37"/>
      <c r="ASZ14" s="37"/>
      <c r="ATA14" s="37"/>
      <c r="ATB14" s="37"/>
      <c r="ATC14" s="37"/>
      <c r="ATD14" s="37"/>
      <c r="ATE14" s="37"/>
      <c r="ATF14" s="37"/>
      <c r="ATG14" s="37"/>
      <c r="ATH14" s="37"/>
      <c r="ATI14" s="37"/>
      <c r="ATJ14" s="37"/>
      <c r="ATK14" s="37"/>
      <c r="ATL14" s="37"/>
      <c r="ATM14" s="37"/>
      <c r="ATN14" s="37"/>
      <c r="ATO14" s="37"/>
      <c r="ATP14" s="37"/>
      <c r="ATQ14" s="37"/>
      <c r="ATR14" s="37"/>
      <c r="ATS14" s="37"/>
      <c r="ATT14" s="37"/>
      <c r="ATU14" s="37"/>
      <c r="ATV14" s="37"/>
      <c r="ATW14" s="37"/>
      <c r="ATX14" s="37"/>
      <c r="ATY14" s="37"/>
      <c r="ATZ14" s="37"/>
      <c r="AUA14" s="37"/>
      <c r="AUB14" s="37"/>
      <c r="AUC14" s="37"/>
      <c r="AUD14" s="37"/>
      <c r="AUE14" s="37"/>
      <c r="AUF14" s="37"/>
      <c r="AUG14" s="37"/>
      <c r="AUH14" s="37"/>
      <c r="AUI14" s="37"/>
      <c r="AUJ14" s="37"/>
      <c r="AUK14" s="37"/>
      <c r="AUL14" s="37"/>
      <c r="AUM14" s="37"/>
      <c r="AUN14" s="37"/>
      <c r="AUO14" s="37"/>
      <c r="AUP14" s="37"/>
      <c r="AUQ14" s="37"/>
      <c r="AUR14" s="37"/>
      <c r="AUS14" s="37"/>
      <c r="AUT14" s="37"/>
      <c r="AUU14" s="37"/>
      <c r="AUV14" s="37"/>
      <c r="AUW14" s="37"/>
      <c r="AUX14" s="37"/>
      <c r="AUY14" s="37"/>
      <c r="AUZ14" s="37"/>
      <c r="AVA14" s="37"/>
      <c r="AVB14" s="37"/>
      <c r="AVC14" s="37"/>
      <c r="AVD14" s="37"/>
      <c r="AVE14" s="37"/>
      <c r="AVF14" s="37"/>
      <c r="AVG14" s="37"/>
      <c r="AVH14" s="37"/>
      <c r="AVI14" s="37"/>
      <c r="AVJ14" s="37"/>
      <c r="AVK14" s="37"/>
      <c r="AVL14" s="37"/>
      <c r="AVM14" s="37"/>
      <c r="AVN14" s="37"/>
      <c r="AVO14" s="37"/>
      <c r="AVP14" s="37"/>
      <c r="AVQ14" s="37"/>
      <c r="AVR14" s="37"/>
      <c r="AVS14" s="37"/>
      <c r="AVT14" s="37"/>
      <c r="AVU14" s="37"/>
      <c r="AVV14" s="37"/>
      <c r="AVW14" s="37"/>
      <c r="AVX14" s="37"/>
      <c r="AVY14" s="37"/>
      <c r="AVZ14" s="37"/>
      <c r="AWA14" s="37"/>
      <c r="AWB14" s="37"/>
      <c r="AWC14" s="37"/>
      <c r="AWD14" s="37"/>
      <c r="AWE14" s="37"/>
      <c r="AWF14" s="37"/>
      <c r="AWG14" s="37"/>
      <c r="AWH14" s="37"/>
      <c r="AWI14" s="37"/>
      <c r="AWJ14" s="37"/>
      <c r="AWK14" s="37"/>
      <c r="AWL14" s="37"/>
      <c r="AWM14" s="37"/>
      <c r="AWN14" s="37"/>
      <c r="AWO14" s="37"/>
      <c r="AWP14" s="37"/>
      <c r="AWQ14" s="37"/>
      <c r="AWR14" s="37"/>
      <c r="AWS14" s="37"/>
      <c r="AWT14" s="37"/>
      <c r="AWU14" s="37"/>
      <c r="AWV14" s="37"/>
      <c r="AWW14" s="37"/>
      <c r="AWX14" s="37"/>
      <c r="AWY14" s="37"/>
      <c r="AWZ14" s="37"/>
      <c r="AXA14" s="37"/>
      <c r="AXB14" s="37"/>
      <c r="AXC14" s="37"/>
      <c r="AXD14" s="37"/>
      <c r="AXE14" s="37"/>
      <c r="AXF14" s="37"/>
      <c r="AXG14" s="37"/>
      <c r="AXH14" s="37"/>
      <c r="AXI14" s="37"/>
      <c r="AXJ14" s="37"/>
      <c r="AXK14" s="37"/>
      <c r="AXL14" s="37"/>
      <c r="AXM14" s="37"/>
      <c r="AXN14" s="37"/>
      <c r="AXO14" s="37"/>
      <c r="AXP14" s="37"/>
      <c r="AXQ14" s="37"/>
      <c r="AXR14" s="37"/>
      <c r="AXS14" s="37"/>
      <c r="AXT14" s="37"/>
      <c r="AXU14" s="37"/>
      <c r="AXV14" s="37"/>
      <c r="AXW14" s="37"/>
      <c r="AXX14" s="37"/>
      <c r="AXY14" s="37"/>
      <c r="AXZ14" s="37"/>
      <c r="AYA14" s="37"/>
      <c r="AYB14" s="37"/>
      <c r="AYC14" s="37"/>
      <c r="AYD14" s="37"/>
      <c r="AYE14" s="37"/>
      <c r="AYF14" s="37"/>
      <c r="AYG14" s="37"/>
      <c r="AYH14" s="37"/>
      <c r="AYI14" s="37"/>
      <c r="AYJ14" s="37"/>
      <c r="AYK14" s="37"/>
      <c r="AYL14" s="37"/>
      <c r="AYM14" s="37"/>
      <c r="AYN14" s="37"/>
      <c r="AYO14" s="37"/>
      <c r="AYP14" s="37"/>
      <c r="AYQ14" s="37"/>
      <c r="AYR14" s="37"/>
      <c r="AYS14" s="37"/>
      <c r="AYT14" s="37"/>
      <c r="AYU14" s="37"/>
      <c r="AYV14" s="37"/>
      <c r="AYW14" s="37"/>
      <c r="AYX14" s="37"/>
      <c r="AYY14" s="37"/>
      <c r="AYZ14" s="37"/>
      <c r="AZA14" s="37"/>
      <c r="AZB14" s="37"/>
      <c r="AZC14" s="37"/>
      <c r="AZD14" s="37"/>
      <c r="AZE14" s="37"/>
      <c r="AZF14" s="37"/>
      <c r="AZG14" s="37"/>
      <c r="AZH14" s="37"/>
      <c r="AZI14" s="37"/>
      <c r="AZJ14" s="37"/>
      <c r="AZK14" s="37"/>
      <c r="AZL14" s="37"/>
      <c r="AZM14" s="37"/>
      <c r="AZN14" s="37"/>
      <c r="AZO14" s="37"/>
      <c r="AZP14" s="37"/>
      <c r="AZQ14" s="37"/>
      <c r="AZR14" s="37"/>
      <c r="AZS14" s="37"/>
      <c r="AZT14" s="37"/>
      <c r="AZU14" s="37"/>
      <c r="AZV14" s="37"/>
      <c r="AZW14" s="37"/>
      <c r="AZX14" s="37"/>
      <c r="AZY14" s="37"/>
      <c r="AZZ14" s="37"/>
      <c r="BAA14" s="37"/>
      <c r="BAB14" s="37"/>
      <c r="BAC14" s="37"/>
      <c r="BAD14" s="37"/>
      <c r="BAE14" s="37"/>
      <c r="BAF14" s="37"/>
      <c r="BAG14" s="37"/>
      <c r="BAH14" s="37"/>
      <c r="BAI14" s="37"/>
      <c r="BAJ14" s="37"/>
      <c r="BAK14" s="37"/>
      <c r="BAL14" s="37"/>
      <c r="BAM14" s="37"/>
      <c r="BAN14" s="37"/>
      <c r="BAO14" s="37"/>
      <c r="BAP14" s="37"/>
      <c r="BAQ14" s="37"/>
      <c r="BAR14" s="37"/>
      <c r="BAS14" s="37"/>
      <c r="BAT14" s="37"/>
      <c r="BAU14" s="37"/>
      <c r="BAV14" s="37"/>
      <c r="BAW14" s="37"/>
      <c r="BAX14" s="37"/>
      <c r="BAY14" s="37"/>
      <c r="BAZ14" s="37"/>
      <c r="BBA14" s="37"/>
      <c r="BBB14" s="37"/>
      <c r="BBC14" s="37"/>
      <c r="BBD14" s="37"/>
      <c r="BBE14" s="37"/>
      <c r="BBF14" s="37"/>
      <c r="BBG14" s="37"/>
      <c r="BBH14" s="37"/>
      <c r="BBI14" s="37"/>
      <c r="BBJ14" s="37"/>
      <c r="BBK14" s="37"/>
      <c r="BBL14" s="37"/>
      <c r="BBM14" s="37"/>
      <c r="BBN14" s="37"/>
      <c r="BBO14" s="37"/>
      <c r="BBP14" s="37"/>
      <c r="BBQ14" s="37"/>
      <c r="BBR14" s="37"/>
      <c r="BBS14" s="37"/>
      <c r="BBT14" s="37"/>
      <c r="BBU14" s="37"/>
      <c r="BBV14" s="37"/>
      <c r="BBW14" s="37"/>
      <c r="BBX14" s="37"/>
      <c r="BBY14" s="37"/>
      <c r="BBZ14" s="37"/>
      <c r="BCA14" s="37"/>
      <c r="BCB14" s="37"/>
      <c r="BCC14" s="37"/>
      <c r="BCD14" s="37"/>
      <c r="BCE14" s="37"/>
      <c r="BCF14" s="37"/>
      <c r="BCG14" s="37"/>
      <c r="BCH14" s="37"/>
      <c r="BCI14" s="37"/>
      <c r="BCJ14" s="37"/>
      <c r="BCK14" s="37"/>
      <c r="BCL14" s="37"/>
      <c r="BCM14" s="37"/>
      <c r="BCN14" s="37"/>
      <c r="BCO14" s="37"/>
      <c r="BCP14" s="37"/>
      <c r="BCQ14" s="37"/>
      <c r="BCR14" s="37"/>
      <c r="BCS14" s="37"/>
      <c r="BCT14" s="37"/>
      <c r="BCU14" s="37"/>
      <c r="BCV14" s="37"/>
      <c r="BCW14" s="37"/>
      <c r="BCX14" s="37"/>
      <c r="BCY14" s="37"/>
      <c r="BCZ14" s="37"/>
      <c r="BDA14" s="37"/>
      <c r="BDB14" s="37"/>
      <c r="BDC14" s="37"/>
      <c r="BDD14" s="37"/>
      <c r="BDE14" s="37"/>
      <c r="BDF14" s="37"/>
      <c r="BDG14" s="37"/>
      <c r="BDH14" s="37"/>
      <c r="BDI14" s="37"/>
      <c r="BDJ14" s="37"/>
      <c r="BDK14" s="37"/>
      <c r="BDL14" s="37"/>
      <c r="BDM14" s="37"/>
      <c r="BDN14" s="37"/>
      <c r="BDO14" s="37"/>
      <c r="BDP14" s="37"/>
      <c r="BDQ14" s="37"/>
      <c r="BDR14" s="37"/>
      <c r="BDS14" s="37"/>
      <c r="BDT14" s="37"/>
      <c r="BDU14" s="37"/>
      <c r="BDV14" s="37"/>
      <c r="BDW14" s="37"/>
      <c r="BDX14" s="37"/>
      <c r="BDY14" s="37"/>
      <c r="BDZ14" s="37"/>
      <c r="BEA14" s="37"/>
      <c r="BEB14" s="37"/>
      <c r="BEC14" s="37"/>
      <c r="BED14" s="37"/>
      <c r="BEE14" s="37"/>
      <c r="BEF14" s="37"/>
      <c r="BEG14" s="37"/>
      <c r="BEH14" s="37"/>
      <c r="BEI14" s="37"/>
      <c r="BEJ14" s="37"/>
      <c r="BEK14" s="37"/>
      <c r="BEL14" s="37"/>
      <c r="BEM14" s="37"/>
      <c r="BEN14" s="37"/>
      <c r="BEO14" s="37"/>
      <c r="BEP14" s="37"/>
      <c r="BEQ14" s="37"/>
      <c r="BER14" s="37"/>
      <c r="BES14" s="37"/>
      <c r="BET14" s="37"/>
      <c r="BEU14" s="37"/>
      <c r="BEV14" s="37"/>
      <c r="BEW14" s="37"/>
      <c r="BEX14" s="37"/>
      <c r="BEY14" s="37"/>
      <c r="BEZ14" s="37"/>
      <c r="BFA14" s="37"/>
      <c r="BFB14" s="37"/>
      <c r="BFC14" s="37"/>
      <c r="BFD14" s="37"/>
      <c r="BFE14" s="37"/>
      <c r="BFF14" s="37"/>
      <c r="BFG14" s="37"/>
      <c r="BFH14" s="37"/>
      <c r="BFI14" s="37"/>
      <c r="BFJ14" s="37"/>
      <c r="BFK14" s="37"/>
      <c r="BFL14" s="37"/>
      <c r="BFM14" s="37"/>
      <c r="BFN14" s="37"/>
      <c r="BFO14" s="37"/>
      <c r="BFP14" s="37"/>
      <c r="BFQ14" s="37"/>
      <c r="BFR14" s="37"/>
      <c r="BFS14" s="37"/>
      <c r="BFT14" s="37"/>
      <c r="BFU14" s="37"/>
      <c r="BFV14" s="37"/>
      <c r="BFW14" s="37"/>
      <c r="BFX14" s="37"/>
      <c r="BFY14" s="37"/>
      <c r="BFZ14" s="37"/>
      <c r="BGA14" s="37"/>
      <c r="BGB14" s="37"/>
      <c r="BGC14" s="37"/>
      <c r="BGD14" s="37"/>
      <c r="BGE14" s="37"/>
      <c r="BGF14" s="37"/>
      <c r="BGG14" s="37"/>
      <c r="BGH14" s="37"/>
      <c r="BGI14" s="37"/>
      <c r="BGJ14" s="37"/>
      <c r="BGK14" s="37"/>
      <c r="BGL14" s="37"/>
      <c r="BGM14" s="37"/>
      <c r="BGN14" s="37"/>
      <c r="BGO14" s="37"/>
      <c r="BGP14" s="37"/>
      <c r="BGQ14" s="37"/>
      <c r="BGR14" s="37"/>
      <c r="BGS14" s="37"/>
      <c r="BGT14" s="37"/>
      <c r="BGU14" s="37"/>
      <c r="BGV14" s="37"/>
      <c r="BGW14" s="37"/>
      <c r="BGX14" s="37"/>
      <c r="BGY14" s="37"/>
      <c r="BGZ14" s="37"/>
      <c r="BHA14" s="37"/>
      <c r="BHB14" s="37"/>
      <c r="BHC14" s="37"/>
      <c r="BHD14" s="37"/>
      <c r="BHE14" s="37"/>
      <c r="BHF14" s="37"/>
      <c r="BHG14" s="37"/>
      <c r="BHH14" s="37"/>
      <c r="BHI14" s="37"/>
      <c r="BHJ14" s="37"/>
      <c r="BHK14" s="37"/>
      <c r="BHL14" s="37"/>
      <c r="BHM14" s="37"/>
      <c r="BHN14" s="37"/>
      <c r="BHO14" s="37"/>
      <c r="BHP14" s="37"/>
      <c r="BHQ14" s="37"/>
      <c r="BHR14" s="37"/>
      <c r="BHS14" s="37"/>
      <c r="BHT14" s="37"/>
      <c r="BHU14" s="37"/>
      <c r="BHV14" s="37"/>
      <c r="BHW14" s="37"/>
      <c r="BHX14" s="37"/>
      <c r="BHY14" s="37"/>
      <c r="BHZ14" s="37"/>
      <c r="BIA14" s="37"/>
      <c r="BIB14" s="37"/>
      <c r="BIC14" s="37"/>
      <c r="BID14" s="37"/>
      <c r="BIE14" s="37"/>
      <c r="BIF14" s="37"/>
      <c r="BIG14" s="37"/>
      <c r="BIH14" s="37"/>
      <c r="BII14" s="37"/>
      <c r="BIJ14" s="37"/>
      <c r="BIK14" s="37"/>
      <c r="BIL14" s="37"/>
      <c r="BIM14" s="37"/>
      <c r="BIN14" s="37"/>
      <c r="BIO14" s="37"/>
      <c r="BIP14" s="37"/>
      <c r="BIQ14" s="37"/>
      <c r="BIR14" s="37"/>
      <c r="BIS14" s="37"/>
      <c r="BIT14" s="37"/>
      <c r="BIU14" s="37"/>
      <c r="BIV14" s="37"/>
      <c r="BIW14" s="37"/>
      <c r="BIX14" s="37"/>
      <c r="BIY14" s="37"/>
      <c r="BIZ14" s="37"/>
      <c r="BJA14" s="37"/>
      <c r="BJB14" s="37"/>
      <c r="BJC14" s="37"/>
      <c r="BJD14" s="37"/>
      <c r="BJE14" s="37"/>
      <c r="BJF14" s="37"/>
      <c r="BJG14" s="37"/>
      <c r="BJH14" s="37"/>
      <c r="BJI14" s="37"/>
      <c r="BJJ14" s="37"/>
      <c r="BJK14" s="37"/>
      <c r="BJL14" s="37"/>
      <c r="BJM14" s="37"/>
      <c r="BJN14" s="37"/>
      <c r="BJO14" s="37"/>
      <c r="BJP14" s="37"/>
      <c r="BJQ14" s="37"/>
      <c r="BJR14" s="37"/>
      <c r="BJS14" s="37"/>
      <c r="BJT14" s="37"/>
      <c r="BJU14" s="37"/>
      <c r="BJV14" s="37"/>
      <c r="BJW14" s="37"/>
      <c r="BJX14" s="37"/>
      <c r="BJY14" s="37"/>
      <c r="BJZ14" s="37"/>
      <c r="BKA14" s="37"/>
      <c r="BKB14" s="37"/>
      <c r="BKC14" s="37"/>
      <c r="BKD14" s="37"/>
      <c r="BKE14" s="37"/>
      <c r="BKF14" s="37"/>
      <c r="BKG14" s="37"/>
      <c r="BKH14" s="37"/>
      <c r="BKI14" s="37"/>
      <c r="BKJ14" s="37"/>
      <c r="BKK14" s="37"/>
      <c r="BKL14" s="37"/>
      <c r="BKM14" s="37"/>
      <c r="BKN14" s="37"/>
      <c r="BKO14" s="37"/>
      <c r="BKP14" s="37"/>
      <c r="BKQ14" s="37"/>
      <c r="BKR14" s="37"/>
      <c r="BKS14" s="37"/>
      <c r="BKT14" s="37"/>
      <c r="BKU14" s="37"/>
      <c r="BKV14" s="37"/>
      <c r="BKW14" s="37"/>
      <c r="BKX14" s="37"/>
      <c r="BKY14" s="37"/>
      <c r="BKZ14" s="37"/>
      <c r="BLA14" s="37"/>
      <c r="BLB14" s="37"/>
      <c r="BLC14" s="37"/>
      <c r="BLD14" s="37"/>
      <c r="BLE14" s="37"/>
      <c r="BLF14" s="37"/>
      <c r="BLG14" s="37"/>
      <c r="BLH14" s="37"/>
      <c r="BLI14" s="37"/>
      <c r="BLJ14" s="37"/>
      <c r="BLK14" s="37"/>
      <c r="BLL14" s="37"/>
      <c r="BLM14" s="37"/>
      <c r="BLN14" s="37"/>
      <c r="BLO14" s="37"/>
      <c r="BLP14" s="37"/>
      <c r="BLQ14" s="37"/>
      <c r="BLR14" s="37"/>
      <c r="BLS14" s="37"/>
      <c r="BLT14" s="37"/>
      <c r="BLU14" s="37"/>
      <c r="BLV14" s="37"/>
      <c r="BLW14" s="37"/>
      <c r="BLX14" s="37"/>
      <c r="BLY14" s="37"/>
      <c r="BLZ14" s="37"/>
      <c r="BMA14" s="37"/>
      <c r="BMB14" s="37"/>
      <c r="BMC14" s="37"/>
      <c r="BMD14" s="37"/>
      <c r="BME14" s="37"/>
      <c r="BMF14" s="37"/>
      <c r="BMG14" s="37"/>
      <c r="BMH14" s="37"/>
      <c r="BMI14" s="37"/>
      <c r="BMJ14" s="37"/>
      <c r="BMK14" s="37"/>
      <c r="BML14" s="37"/>
      <c r="BMM14" s="37"/>
      <c r="BMN14" s="37"/>
      <c r="BMO14" s="37"/>
      <c r="BMP14" s="37"/>
      <c r="BMQ14" s="37"/>
      <c r="BMR14" s="37"/>
      <c r="BMS14" s="37"/>
      <c r="BMT14" s="37"/>
      <c r="BMU14" s="37"/>
      <c r="BMV14" s="37"/>
      <c r="BMW14" s="37"/>
      <c r="BMX14" s="37"/>
      <c r="BMY14" s="37"/>
      <c r="BMZ14" s="37"/>
      <c r="BNA14" s="37"/>
      <c r="BNB14" s="37"/>
      <c r="BNC14" s="37"/>
      <c r="BND14" s="37"/>
      <c r="BNE14" s="37"/>
      <c r="BNF14" s="37"/>
      <c r="BNG14" s="37"/>
      <c r="BNH14" s="37"/>
      <c r="BNI14" s="37"/>
      <c r="BNJ14" s="37"/>
      <c r="BNK14" s="37"/>
      <c r="BNL14" s="37"/>
      <c r="BNM14" s="37"/>
      <c r="BNN14" s="37"/>
      <c r="BNO14" s="37"/>
      <c r="BNP14" s="37"/>
      <c r="BNQ14" s="37"/>
      <c r="BNR14" s="37"/>
      <c r="BNS14" s="37"/>
      <c r="BNT14" s="37"/>
      <c r="BNU14" s="37"/>
      <c r="BNV14" s="37"/>
      <c r="BNW14" s="37"/>
      <c r="BNX14" s="37"/>
      <c r="BNY14" s="37"/>
      <c r="BNZ14" s="37"/>
      <c r="BOA14" s="37"/>
      <c r="BOB14" s="37"/>
      <c r="BOC14" s="37"/>
      <c r="BOD14" s="37"/>
      <c r="BOE14" s="37"/>
      <c r="BOF14" s="37"/>
      <c r="BOG14" s="37"/>
      <c r="BOH14" s="37"/>
      <c r="BOI14" s="37"/>
      <c r="BOJ14" s="37"/>
      <c r="BOK14" s="37"/>
      <c r="BOL14" s="37"/>
      <c r="BOM14" s="37"/>
      <c r="BON14" s="37"/>
      <c r="BOO14" s="37"/>
      <c r="BOP14" s="37"/>
      <c r="BOQ14" s="37"/>
      <c r="BOR14" s="37"/>
      <c r="BOS14" s="37"/>
      <c r="BOT14" s="37"/>
      <c r="BOU14" s="37"/>
      <c r="BOV14" s="37"/>
      <c r="BOW14" s="37"/>
      <c r="BOX14" s="37"/>
      <c r="BOY14" s="37"/>
      <c r="BOZ14" s="37"/>
      <c r="BPA14" s="37"/>
      <c r="BPB14" s="37"/>
      <c r="BPC14" s="37"/>
      <c r="BPD14" s="37"/>
      <c r="BPE14" s="37"/>
      <c r="BPF14" s="37"/>
      <c r="BPG14" s="37"/>
      <c r="BPH14" s="37"/>
      <c r="BPI14" s="37"/>
      <c r="BPJ14" s="37"/>
      <c r="BPK14" s="37"/>
      <c r="BPL14" s="37"/>
      <c r="BPM14" s="37"/>
      <c r="BPN14" s="37"/>
      <c r="BPO14" s="37"/>
      <c r="BPP14" s="37"/>
      <c r="BPQ14" s="37"/>
      <c r="BPR14" s="37"/>
      <c r="BPS14" s="37"/>
      <c r="BPT14" s="37"/>
      <c r="BPU14" s="37"/>
      <c r="BPV14" s="37"/>
      <c r="BPW14" s="37"/>
      <c r="BPX14" s="37"/>
      <c r="BPY14" s="37"/>
      <c r="BPZ14" s="37"/>
      <c r="BQA14" s="37"/>
      <c r="BQB14" s="37"/>
      <c r="BQC14" s="37"/>
      <c r="BQD14" s="37"/>
      <c r="BQE14" s="37"/>
      <c r="BQF14" s="37"/>
      <c r="BQG14" s="37"/>
      <c r="BQH14" s="37"/>
      <c r="BQI14" s="37"/>
      <c r="BQJ14" s="37"/>
      <c r="BQK14" s="37"/>
      <c r="BQL14" s="37"/>
      <c r="BQM14" s="37"/>
      <c r="BQN14" s="37"/>
      <c r="BQO14" s="37"/>
      <c r="BQP14" s="37"/>
      <c r="BQQ14" s="37"/>
      <c r="BQR14" s="37"/>
      <c r="BQS14" s="37"/>
      <c r="BQT14" s="37"/>
      <c r="BQU14" s="37"/>
      <c r="BQV14" s="37"/>
      <c r="BQW14" s="37"/>
      <c r="BQX14" s="37"/>
      <c r="BQY14" s="37"/>
      <c r="BQZ14" s="37"/>
      <c r="BRA14" s="37"/>
      <c r="BRB14" s="37"/>
      <c r="BRC14" s="37"/>
      <c r="BRD14" s="37"/>
      <c r="BRE14" s="37"/>
      <c r="BRF14" s="37"/>
      <c r="BRG14" s="37"/>
      <c r="BRH14" s="37"/>
      <c r="BRI14" s="37"/>
      <c r="BRJ14" s="37"/>
      <c r="BRK14" s="37"/>
      <c r="BRL14" s="37"/>
      <c r="BRM14" s="37"/>
      <c r="BRN14" s="37"/>
      <c r="BRO14" s="37"/>
      <c r="BRP14" s="37"/>
      <c r="BRQ14" s="37"/>
      <c r="BRR14" s="37"/>
      <c r="BRS14" s="37"/>
      <c r="BRT14" s="37"/>
      <c r="BRU14" s="37"/>
      <c r="BRV14" s="37"/>
      <c r="BRW14" s="37"/>
      <c r="BRX14" s="37"/>
      <c r="BRY14" s="37"/>
      <c r="BRZ14" s="37"/>
      <c r="BSA14" s="37"/>
      <c r="BSB14" s="37"/>
      <c r="BSC14" s="37"/>
      <c r="BSD14" s="37"/>
      <c r="BSE14" s="37"/>
      <c r="BSF14" s="37"/>
      <c r="BSG14" s="37"/>
      <c r="BSH14" s="37"/>
      <c r="BSI14" s="37"/>
      <c r="BSJ14" s="37"/>
      <c r="BSK14" s="37"/>
      <c r="BSL14" s="37"/>
      <c r="BSM14" s="37"/>
      <c r="BSN14" s="37"/>
      <c r="BSO14" s="37"/>
      <c r="BSP14" s="37"/>
      <c r="BSQ14" s="37"/>
      <c r="BSR14" s="37"/>
      <c r="BSS14" s="37"/>
      <c r="BST14" s="37"/>
      <c r="BSU14" s="37"/>
      <c r="BSV14" s="37"/>
      <c r="BSW14" s="37"/>
      <c r="BSX14" s="37"/>
      <c r="BSY14" s="37"/>
      <c r="BSZ14" s="37"/>
      <c r="BTA14" s="37"/>
      <c r="BTB14" s="37"/>
      <c r="BTC14" s="37"/>
      <c r="BTD14" s="37"/>
      <c r="BTE14" s="37"/>
      <c r="BTF14" s="37"/>
      <c r="BTG14" s="37"/>
      <c r="BTH14" s="37"/>
      <c r="BTI14" s="37"/>
      <c r="BTJ14" s="37"/>
      <c r="BTK14" s="37"/>
      <c r="BTL14" s="37"/>
      <c r="BTM14" s="37"/>
      <c r="BTN14" s="37"/>
      <c r="BTO14" s="37"/>
      <c r="BTP14" s="37"/>
      <c r="BTQ14" s="37"/>
      <c r="BTR14" s="37"/>
      <c r="BTS14" s="37"/>
      <c r="BTT14" s="37"/>
      <c r="BTU14" s="37"/>
      <c r="BTV14" s="37"/>
      <c r="BTW14" s="37"/>
      <c r="BTX14" s="37"/>
      <c r="BTY14" s="37"/>
      <c r="BTZ14" s="37"/>
      <c r="BUA14" s="37"/>
      <c r="BUB14" s="37"/>
      <c r="BUC14" s="37"/>
      <c r="BUD14" s="37"/>
      <c r="BUE14" s="37"/>
      <c r="BUF14" s="37"/>
      <c r="BUG14" s="37"/>
      <c r="BUH14" s="37"/>
      <c r="BUI14" s="37"/>
      <c r="BUJ14" s="37"/>
      <c r="BUK14" s="37"/>
      <c r="BUL14" s="37"/>
      <c r="BUM14" s="37"/>
      <c r="BUN14" s="37"/>
      <c r="BUO14" s="37"/>
      <c r="BUP14" s="37"/>
      <c r="BUQ14" s="37"/>
      <c r="BUR14" s="37"/>
      <c r="BUS14" s="37"/>
      <c r="BUT14" s="37"/>
      <c r="BUU14" s="37"/>
      <c r="BUV14" s="37"/>
      <c r="BUW14" s="37"/>
      <c r="BUX14" s="37"/>
      <c r="BUY14" s="37"/>
      <c r="BUZ14" s="37"/>
      <c r="BVA14" s="37"/>
      <c r="BVB14" s="37"/>
      <c r="BVC14" s="37"/>
      <c r="BVD14" s="37"/>
      <c r="BVE14" s="37"/>
      <c r="BVF14" s="37"/>
      <c r="BVG14" s="37"/>
      <c r="BVH14" s="37"/>
      <c r="BVI14" s="37"/>
      <c r="BVJ14" s="37"/>
      <c r="BVK14" s="37"/>
      <c r="BVL14" s="37"/>
      <c r="BVM14" s="37"/>
      <c r="BVN14" s="37"/>
      <c r="BVO14" s="37"/>
      <c r="BVP14" s="37"/>
      <c r="BVQ14" s="37"/>
      <c r="BVR14" s="37"/>
      <c r="BVS14" s="37"/>
      <c r="BVT14" s="37"/>
      <c r="BVU14" s="37"/>
      <c r="BVV14" s="37"/>
      <c r="BVW14" s="37"/>
      <c r="BVX14" s="37"/>
      <c r="BVY14" s="37"/>
      <c r="BVZ14" s="37"/>
      <c r="BWA14" s="37"/>
      <c r="BWB14" s="37"/>
      <c r="BWC14" s="37"/>
      <c r="BWD14" s="37"/>
      <c r="BWE14" s="37"/>
      <c r="BWF14" s="37"/>
      <c r="BWG14" s="37"/>
      <c r="BWH14" s="37"/>
      <c r="BWI14" s="37"/>
      <c r="BWJ14" s="37"/>
    </row>
    <row r="15" spans="1:1960" x14ac:dyDescent="0.25">
      <c r="A15" s="38">
        <v>10</v>
      </c>
      <c r="B15" s="39">
        <v>20</v>
      </c>
      <c r="C15" s="40">
        <v>1000</v>
      </c>
      <c r="D15" s="41" t="s">
        <v>23</v>
      </c>
      <c r="E15" s="271">
        <f ca="1"/>
        <v>69</v>
      </c>
      <c r="F15" s="33">
        <v>-100</v>
      </c>
      <c r="G15" s="33">
        <v>1000</v>
      </c>
      <c r="H15" s="43">
        <f ca="1"/>
        <v>-100</v>
      </c>
      <c r="I15" s="33">
        <f ca="1"/>
        <v>44</v>
      </c>
      <c r="J15" s="35">
        <v>10</v>
      </c>
      <c r="K15" s="36">
        <v>20</v>
      </c>
      <c r="L15" s="37">
        <v>20</v>
      </c>
      <c r="M15" s="37">
        <v>20</v>
      </c>
      <c r="N15" s="37">
        <v>20</v>
      </c>
      <c r="O15" s="37">
        <v>20</v>
      </c>
      <c r="P15" s="37">
        <v>20</v>
      </c>
      <c r="Q15" s="37">
        <v>20</v>
      </c>
      <c r="R15" s="37">
        <v>20</v>
      </c>
      <c r="S15" s="37">
        <v>20</v>
      </c>
      <c r="T15" s="37">
        <v>20</v>
      </c>
      <c r="U15" s="37">
        <v>20</v>
      </c>
      <c r="V15" s="37">
        <v>20</v>
      </c>
      <c r="W15" s="37">
        <v>20</v>
      </c>
      <c r="X15" s="37">
        <v>20</v>
      </c>
      <c r="Y15" s="37">
        <v>20</v>
      </c>
      <c r="Z15" s="37">
        <v>20</v>
      </c>
      <c r="AA15" s="37">
        <v>20</v>
      </c>
      <c r="AB15" s="37">
        <v>20</v>
      </c>
      <c r="AC15" s="37">
        <v>20</v>
      </c>
      <c r="AD15" s="37">
        <v>20</v>
      </c>
      <c r="AE15" s="37">
        <v>20</v>
      </c>
      <c r="AF15" s="37">
        <v>20</v>
      </c>
      <c r="AG15" s="37">
        <v>20</v>
      </c>
      <c r="AH15" s="37">
        <v>20</v>
      </c>
      <c r="AI15" s="37">
        <v>20</v>
      </c>
      <c r="AJ15" s="37">
        <v>20</v>
      </c>
      <c r="AK15" s="37">
        <v>20</v>
      </c>
      <c r="AL15" s="37">
        <v>20</v>
      </c>
      <c r="AM15" s="37">
        <v>20</v>
      </c>
      <c r="AN15" s="37">
        <v>20</v>
      </c>
      <c r="AO15" s="37">
        <v>20</v>
      </c>
      <c r="AP15" s="37">
        <v>20</v>
      </c>
      <c r="AQ15" s="37">
        <v>20</v>
      </c>
      <c r="AR15" s="37">
        <v>20</v>
      </c>
      <c r="AS15" s="37">
        <v>20</v>
      </c>
      <c r="AT15" s="37">
        <v>20</v>
      </c>
      <c r="AU15" s="37">
        <v>20</v>
      </c>
      <c r="AV15" s="37">
        <v>20</v>
      </c>
      <c r="AW15" s="37">
        <v>20</v>
      </c>
      <c r="AX15" s="37">
        <v>20</v>
      </c>
      <c r="AY15" s="37">
        <v>20</v>
      </c>
      <c r="AZ15" s="37">
        <v>20</v>
      </c>
      <c r="BA15" s="37">
        <v>20</v>
      </c>
      <c r="BB15" s="37">
        <v>20</v>
      </c>
      <c r="BC15" s="37">
        <v>20</v>
      </c>
      <c r="BD15" s="37">
        <v>20</v>
      </c>
      <c r="BE15" s="37">
        <v>20</v>
      </c>
      <c r="BF15" s="37">
        <v>20</v>
      </c>
      <c r="BG15" s="37">
        <v>20</v>
      </c>
      <c r="BH15" s="37">
        <v>20</v>
      </c>
      <c r="BI15" s="37">
        <v>20</v>
      </c>
      <c r="BJ15" s="37">
        <v>20</v>
      </c>
      <c r="BK15" s="37">
        <v>20</v>
      </c>
      <c r="BL15" s="37">
        <v>20</v>
      </c>
      <c r="BM15" s="37">
        <v>20</v>
      </c>
      <c r="BN15" s="37">
        <v>20</v>
      </c>
      <c r="BO15" s="37">
        <v>20</v>
      </c>
      <c r="BP15" s="37">
        <v>20</v>
      </c>
      <c r="BQ15" s="37">
        <v>20</v>
      </c>
      <c r="BR15" s="37">
        <v>20</v>
      </c>
      <c r="BS15" s="37">
        <v>20</v>
      </c>
      <c r="BT15" s="37">
        <v>20</v>
      </c>
      <c r="BU15" s="37">
        <v>20</v>
      </c>
      <c r="BV15" s="37">
        <v>20</v>
      </c>
      <c r="BW15" s="37">
        <v>20</v>
      </c>
      <c r="BX15" s="37">
        <v>20</v>
      </c>
      <c r="BY15" s="37">
        <v>20</v>
      </c>
      <c r="BZ15" s="37">
        <v>20</v>
      </c>
      <c r="CA15" s="37">
        <v>0</v>
      </c>
      <c r="CB15" s="37">
        <v>0</v>
      </c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  <c r="AMD15" s="37"/>
      <c r="AME15" s="37"/>
      <c r="AMF15" s="37"/>
      <c r="AMG15" s="37"/>
      <c r="AMH15" s="37"/>
      <c r="AMI15" s="37"/>
      <c r="AMJ15" s="37"/>
      <c r="AMK15" s="37"/>
      <c r="AML15" s="37"/>
      <c r="AMM15" s="37"/>
      <c r="AMN15" s="37"/>
      <c r="AMO15" s="37"/>
      <c r="AMP15" s="37"/>
      <c r="AMQ15" s="37"/>
      <c r="AMR15" s="37"/>
      <c r="AMS15" s="37"/>
      <c r="AMT15" s="37"/>
      <c r="AMU15" s="37"/>
      <c r="AMV15" s="37"/>
      <c r="AMW15" s="37"/>
      <c r="AMX15" s="37"/>
      <c r="AMY15" s="37"/>
      <c r="AMZ15" s="37"/>
      <c r="ANA15" s="37"/>
      <c r="ANB15" s="37"/>
      <c r="ANC15" s="37"/>
      <c r="AND15" s="37"/>
      <c r="ANE15" s="37"/>
      <c r="ANF15" s="37"/>
      <c r="ANG15" s="37"/>
      <c r="ANH15" s="37"/>
      <c r="ANI15" s="37"/>
      <c r="ANJ15" s="37"/>
      <c r="ANK15" s="37"/>
      <c r="ANL15" s="37"/>
      <c r="ANM15" s="37"/>
      <c r="ANN15" s="37"/>
      <c r="ANO15" s="37"/>
      <c r="ANP15" s="37"/>
      <c r="ANQ15" s="37"/>
      <c r="ANR15" s="37"/>
      <c r="ANS15" s="37"/>
      <c r="ANT15" s="37"/>
      <c r="ANU15" s="37"/>
      <c r="ANV15" s="37"/>
      <c r="ANW15" s="37"/>
      <c r="ANX15" s="37"/>
      <c r="ANY15" s="37"/>
      <c r="ANZ15" s="37"/>
      <c r="AOA15" s="37"/>
      <c r="AOB15" s="37"/>
      <c r="AOC15" s="37"/>
      <c r="AOD15" s="37"/>
      <c r="AOE15" s="37"/>
      <c r="AOF15" s="37"/>
      <c r="AOG15" s="37"/>
      <c r="AOH15" s="37"/>
      <c r="AOI15" s="37"/>
      <c r="AOJ15" s="37"/>
      <c r="AOK15" s="37"/>
      <c r="AOL15" s="37"/>
      <c r="AOM15" s="37"/>
      <c r="AON15" s="37"/>
      <c r="AOO15" s="37"/>
      <c r="AOP15" s="37"/>
      <c r="AOQ15" s="37"/>
      <c r="AOR15" s="37"/>
      <c r="AOS15" s="37"/>
      <c r="AOT15" s="37"/>
      <c r="AOU15" s="37"/>
      <c r="AOV15" s="37"/>
      <c r="AOW15" s="37"/>
      <c r="AOX15" s="37"/>
      <c r="AOY15" s="37"/>
      <c r="AOZ15" s="37"/>
      <c r="APA15" s="37"/>
      <c r="APB15" s="37"/>
      <c r="APC15" s="37"/>
      <c r="APD15" s="37"/>
      <c r="APE15" s="37"/>
      <c r="APF15" s="37"/>
      <c r="APG15" s="37"/>
      <c r="APH15" s="37"/>
      <c r="API15" s="37"/>
      <c r="APJ15" s="37"/>
      <c r="APK15" s="37"/>
      <c r="APL15" s="37"/>
      <c r="APM15" s="37"/>
      <c r="APN15" s="37"/>
      <c r="APO15" s="37"/>
      <c r="APP15" s="37"/>
      <c r="APQ15" s="37"/>
      <c r="APR15" s="37"/>
      <c r="APS15" s="37"/>
      <c r="APT15" s="37"/>
      <c r="APU15" s="37"/>
      <c r="APV15" s="37"/>
      <c r="APW15" s="37"/>
      <c r="APX15" s="37"/>
      <c r="APY15" s="37"/>
      <c r="APZ15" s="37"/>
      <c r="AQA15" s="37"/>
      <c r="AQB15" s="37"/>
      <c r="AQC15" s="37"/>
      <c r="AQD15" s="37"/>
      <c r="AQE15" s="37"/>
      <c r="AQF15" s="37"/>
      <c r="AQG15" s="37"/>
      <c r="AQH15" s="37"/>
      <c r="AQI15" s="37"/>
      <c r="AQJ15" s="37"/>
      <c r="AQK15" s="37"/>
      <c r="AQL15" s="37"/>
      <c r="AQM15" s="37"/>
      <c r="AQN15" s="37"/>
      <c r="AQO15" s="37"/>
      <c r="AQP15" s="37"/>
      <c r="AQQ15" s="37"/>
      <c r="AQR15" s="37"/>
      <c r="AQS15" s="37"/>
      <c r="AQT15" s="37"/>
      <c r="AQU15" s="37"/>
      <c r="AQV15" s="37"/>
      <c r="AQW15" s="37"/>
      <c r="AQX15" s="37"/>
      <c r="AQY15" s="37"/>
      <c r="AQZ15" s="37"/>
      <c r="ARA15" s="37"/>
      <c r="ARB15" s="37"/>
      <c r="ARC15" s="37"/>
      <c r="ARD15" s="37"/>
      <c r="ARE15" s="37"/>
      <c r="ARF15" s="37"/>
      <c r="ARG15" s="37"/>
      <c r="ARH15" s="37"/>
      <c r="ARI15" s="37"/>
      <c r="ARJ15" s="37"/>
      <c r="ARK15" s="37"/>
      <c r="ARL15" s="37"/>
      <c r="ARM15" s="37"/>
      <c r="ARN15" s="37"/>
      <c r="ARO15" s="37"/>
      <c r="ARP15" s="37"/>
      <c r="ARQ15" s="37"/>
      <c r="ARR15" s="37"/>
      <c r="ARS15" s="37"/>
      <c r="ART15" s="37"/>
      <c r="ARU15" s="37"/>
      <c r="ARV15" s="37"/>
      <c r="ARW15" s="37"/>
      <c r="ARX15" s="37"/>
      <c r="ARY15" s="37"/>
      <c r="ARZ15" s="37"/>
      <c r="ASA15" s="37"/>
      <c r="ASB15" s="37"/>
      <c r="ASC15" s="37"/>
      <c r="ASD15" s="37"/>
      <c r="ASE15" s="37"/>
      <c r="ASF15" s="37"/>
      <c r="ASG15" s="37"/>
      <c r="ASH15" s="37"/>
      <c r="ASI15" s="37"/>
      <c r="ASJ15" s="37"/>
      <c r="ASK15" s="37"/>
      <c r="ASL15" s="37"/>
      <c r="ASM15" s="37"/>
      <c r="ASN15" s="37"/>
      <c r="ASO15" s="37"/>
      <c r="ASP15" s="37"/>
      <c r="ASQ15" s="37"/>
      <c r="ASR15" s="37"/>
      <c r="ASS15" s="37"/>
      <c r="AST15" s="37"/>
      <c r="ASU15" s="37"/>
      <c r="ASV15" s="37"/>
      <c r="ASW15" s="37"/>
      <c r="ASX15" s="37"/>
      <c r="ASY15" s="37"/>
      <c r="ASZ15" s="37"/>
      <c r="ATA15" s="37"/>
      <c r="ATB15" s="37"/>
      <c r="ATC15" s="37"/>
      <c r="ATD15" s="37"/>
      <c r="ATE15" s="37"/>
      <c r="ATF15" s="37"/>
      <c r="ATG15" s="37"/>
      <c r="ATH15" s="37"/>
      <c r="ATI15" s="37"/>
      <c r="ATJ15" s="37"/>
      <c r="ATK15" s="37"/>
      <c r="ATL15" s="37"/>
      <c r="ATM15" s="37"/>
      <c r="ATN15" s="37"/>
      <c r="ATO15" s="37"/>
      <c r="ATP15" s="37"/>
      <c r="ATQ15" s="37"/>
      <c r="ATR15" s="37"/>
      <c r="ATS15" s="37"/>
      <c r="ATT15" s="37"/>
      <c r="ATU15" s="37"/>
      <c r="ATV15" s="37"/>
      <c r="ATW15" s="37"/>
      <c r="ATX15" s="37"/>
      <c r="ATY15" s="37"/>
      <c r="ATZ15" s="37"/>
      <c r="AUA15" s="37"/>
      <c r="AUB15" s="37"/>
      <c r="AUC15" s="37"/>
      <c r="AUD15" s="37"/>
      <c r="AUE15" s="37"/>
      <c r="AUF15" s="37"/>
      <c r="AUG15" s="37"/>
      <c r="AUH15" s="37"/>
      <c r="AUI15" s="37"/>
      <c r="AUJ15" s="37"/>
      <c r="AUK15" s="37"/>
      <c r="AUL15" s="37"/>
      <c r="AUM15" s="37"/>
      <c r="AUN15" s="37"/>
      <c r="AUO15" s="37"/>
      <c r="AUP15" s="37"/>
      <c r="AUQ15" s="37"/>
      <c r="AUR15" s="37"/>
      <c r="AUS15" s="37"/>
      <c r="AUT15" s="37"/>
      <c r="AUU15" s="37"/>
      <c r="AUV15" s="37"/>
      <c r="AUW15" s="37"/>
      <c r="AUX15" s="37"/>
      <c r="AUY15" s="37"/>
      <c r="AUZ15" s="37"/>
      <c r="AVA15" s="37"/>
      <c r="AVB15" s="37"/>
      <c r="AVC15" s="37"/>
      <c r="AVD15" s="37"/>
      <c r="AVE15" s="37"/>
      <c r="AVF15" s="37"/>
      <c r="AVG15" s="37"/>
      <c r="AVH15" s="37"/>
      <c r="AVI15" s="37"/>
      <c r="AVJ15" s="37"/>
      <c r="AVK15" s="37"/>
      <c r="AVL15" s="37"/>
      <c r="AVM15" s="37"/>
      <c r="AVN15" s="37"/>
      <c r="AVO15" s="37"/>
      <c r="AVP15" s="37"/>
      <c r="AVQ15" s="37"/>
      <c r="AVR15" s="37"/>
      <c r="AVS15" s="37"/>
      <c r="AVT15" s="37"/>
      <c r="AVU15" s="37"/>
      <c r="AVV15" s="37"/>
      <c r="AVW15" s="37"/>
      <c r="AVX15" s="37"/>
      <c r="AVY15" s="37"/>
      <c r="AVZ15" s="37"/>
      <c r="AWA15" s="37"/>
      <c r="AWB15" s="37"/>
      <c r="AWC15" s="37"/>
      <c r="AWD15" s="37"/>
      <c r="AWE15" s="37"/>
      <c r="AWF15" s="37"/>
      <c r="AWG15" s="37"/>
      <c r="AWH15" s="37"/>
      <c r="AWI15" s="37"/>
      <c r="AWJ15" s="37"/>
      <c r="AWK15" s="37"/>
      <c r="AWL15" s="37"/>
      <c r="AWM15" s="37"/>
      <c r="AWN15" s="37"/>
      <c r="AWO15" s="37"/>
      <c r="AWP15" s="37"/>
      <c r="AWQ15" s="37"/>
      <c r="AWR15" s="37"/>
      <c r="AWS15" s="37"/>
      <c r="AWT15" s="37"/>
      <c r="AWU15" s="37"/>
      <c r="AWV15" s="37"/>
      <c r="AWW15" s="37"/>
      <c r="AWX15" s="37"/>
      <c r="AWY15" s="37"/>
      <c r="AWZ15" s="37"/>
      <c r="AXA15" s="37"/>
      <c r="AXB15" s="37"/>
      <c r="AXC15" s="37"/>
      <c r="AXD15" s="37"/>
      <c r="AXE15" s="37"/>
      <c r="AXF15" s="37"/>
      <c r="AXG15" s="37"/>
      <c r="AXH15" s="37"/>
      <c r="AXI15" s="37"/>
      <c r="AXJ15" s="37"/>
      <c r="AXK15" s="37"/>
      <c r="AXL15" s="37"/>
      <c r="AXM15" s="37"/>
      <c r="AXN15" s="37"/>
      <c r="AXO15" s="37"/>
      <c r="AXP15" s="37"/>
      <c r="AXQ15" s="37"/>
      <c r="AXR15" s="37"/>
      <c r="AXS15" s="37"/>
      <c r="AXT15" s="37"/>
      <c r="AXU15" s="37"/>
      <c r="AXV15" s="37"/>
      <c r="AXW15" s="37"/>
      <c r="AXX15" s="37"/>
      <c r="AXY15" s="37"/>
      <c r="AXZ15" s="37"/>
      <c r="AYA15" s="37"/>
      <c r="AYB15" s="37"/>
      <c r="AYC15" s="37"/>
      <c r="AYD15" s="37"/>
      <c r="AYE15" s="37"/>
      <c r="AYF15" s="37"/>
      <c r="AYG15" s="37"/>
      <c r="AYH15" s="37"/>
      <c r="AYI15" s="37"/>
      <c r="AYJ15" s="37"/>
      <c r="AYK15" s="37"/>
      <c r="AYL15" s="37"/>
      <c r="AYM15" s="37"/>
      <c r="AYN15" s="37"/>
      <c r="AYO15" s="37"/>
      <c r="AYP15" s="37"/>
      <c r="AYQ15" s="37"/>
      <c r="AYR15" s="37"/>
      <c r="AYS15" s="37"/>
      <c r="AYT15" s="37"/>
      <c r="AYU15" s="37"/>
      <c r="AYV15" s="37"/>
      <c r="AYW15" s="37"/>
      <c r="AYX15" s="37"/>
      <c r="AYY15" s="37"/>
      <c r="AYZ15" s="37"/>
      <c r="AZA15" s="37"/>
      <c r="AZB15" s="37"/>
      <c r="AZC15" s="37"/>
      <c r="AZD15" s="37"/>
      <c r="AZE15" s="37"/>
      <c r="AZF15" s="37"/>
      <c r="AZG15" s="37"/>
      <c r="AZH15" s="37"/>
      <c r="AZI15" s="37"/>
      <c r="AZJ15" s="37"/>
      <c r="AZK15" s="37"/>
      <c r="AZL15" s="37"/>
      <c r="AZM15" s="37"/>
      <c r="AZN15" s="37"/>
      <c r="AZO15" s="37"/>
      <c r="AZP15" s="37"/>
      <c r="AZQ15" s="37"/>
      <c r="AZR15" s="37"/>
      <c r="AZS15" s="37"/>
      <c r="AZT15" s="37"/>
      <c r="AZU15" s="37"/>
      <c r="AZV15" s="37"/>
      <c r="AZW15" s="37"/>
      <c r="AZX15" s="37"/>
      <c r="AZY15" s="37"/>
      <c r="AZZ15" s="37"/>
      <c r="BAA15" s="37"/>
      <c r="BAB15" s="37"/>
      <c r="BAC15" s="37"/>
      <c r="BAD15" s="37"/>
      <c r="BAE15" s="37"/>
      <c r="BAF15" s="37"/>
      <c r="BAG15" s="37"/>
      <c r="BAH15" s="37"/>
      <c r="BAI15" s="37"/>
      <c r="BAJ15" s="37"/>
      <c r="BAK15" s="37"/>
      <c r="BAL15" s="37"/>
      <c r="BAM15" s="37"/>
      <c r="BAN15" s="37"/>
      <c r="BAO15" s="37"/>
      <c r="BAP15" s="37"/>
      <c r="BAQ15" s="37"/>
      <c r="BAR15" s="37"/>
      <c r="BAS15" s="37"/>
      <c r="BAT15" s="37"/>
      <c r="BAU15" s="37"/>
      <c r="BAV15" s="37"/>
      <c r="BAW15" s="37"/>
      <c r="BAX15" s="37"/>
      <c r="BAY15" s="37"/>
      <c r="BAZ15" s="37"/>
      <c r="BBA15" s="37"/>
      <c r="BBB15" s="37"/>
      <c r="BBC15" s="37"/>
      <c r="BBD15" s="37"/>
      <c r="BBE15" s="37"/>
      <c r="BBF15" s="37"/>
      <c r="BBG15" s="37"/>
      <c r="BBH15" s="37"/>
      <c r="BBI15" s="37"/>
      <c r="BBJ15" s="37"/>
      <c r="BBK15" s="37"/>
      <c r="BBL15" s="37"/>
      <c r="BBM15" s="37"/>
      <c r="BBN15" s="37"/>
      <c r="BBO15" s="37"/>
      <c r="BBP15" s="37"/>
      <c r="BBQ15" s="37"/>
      <c r="BBR15" s="37"/>
      <c r="BBS15" s="37"/>
      <c r="BBT15" s="37"/>
      <c r="BBU15" s="37"/>
      <c r="BBV15" s="37"/>
      <c r="BBW15" s="37"/>
      <c r="BBX15" s="37"/>
      <c r="BBY15" s="37"/>
      <c r="BBZ15" s="37"/>
      <c r="BCA15" s="37"/>
      <c r="BCB15" s="37"/>
      <c r="BCC15" s="37"/>
      <c r="BCD15" s="37"/>
      <c r="BCE15" s="37"/>
      <c r="BCF15" s="37"/>
      <c r="BCG15" s="37"/>
      <c r="BCH15" s="37"/>
      <c r="BCI15" s="37"/>
      <c r="BCJ15" s="37"/>
      <c r="BCK15" s="37"/>
      <c r="BCL15" s="37"/>
      <c r="BCM15" s="37"/>
      <c r="BCN15" s="37"/>
      <c r="BCO15" s="37"/>
      <c r="BCP15" s="37"/>
      <c r="BCQ15" s="37"/>
      <c r="BCR15" s="37"/>
      <c r="BCS15" s="37"/>
      <c r="BCT15" s="37"/>
      <c r="BCU15" s="37"/>
      <c r="BCV15" s="37"/>
      <c r="BCW15" s="37"/>
      <c r="BCX15" s="37"/>
      <c r="BCY15" s="37"/>
      <c r="BCZ15" s="37"/>
      <c r="BDA15" s="37"/>
      <c r="BDB15" s="37"/>
      <c r="BDC15" s="37"/>
      <c r="BDD15" s="37"/>
      <c r="BDE15" s="37"/>
      <c r="BDF15" s="37"/>
      <c r="BDG15" s="37"/>
      <c r="BDH15" s="37"/>
      <c r="BDI15" s="37"/>
      <c r="BDJ15" s="37"/>
      <c r="BDK15" s="37"/>
      <c r="BDL15" s="37"/>
      <c r="BDM15" s="37"/>
      <c r="BDN15" s="37"/>
      <c r="BDO15" s="37"/>
      <c r="BDP15" s="37"/>
      <c r="BDQ15" s="37"/>
      <c r="BDR15" s="37"/>
      <c r="BDS15" s="37"/>
      <c r="BDT15" s="37"/>
      <c r="BDU15" s="37"/>
      <c r="BDV15" s="37"/>
      <c r="BDW15" s="37"/>
      <c r="BDX15" s="37"/>
      <c r="BDY15" s="37"/>
      <c r="BDZ15" s="37"/>
      <c r="BEA15" s="37"/>
      <c r="BEB15" s="37"/>
      <c r="BEC15" s="37"/>
      <c r="BED15" s="37"/>
      <c r="BEE15" s="37"/>
      <c r="BEF15" s="37"/>
      <c r="BEG15" s="37"/>
      <c r="BEH15" s="37"/>
      <c r="BEI15" s="37"/>
      <c r="BEJ15" s="37"/>
      <c r="BEK15" s="37"/>
      <c r="BEL15" s="37"/>
      <c r="BEM15" s="37"/>
      <c r="BEN15" s="37"/>
      <c r="BEO15" s="37"/>
      <c r="BEP15" s="37"/>
      <c r="BEQ15" s="37"/>
      <c r="BER15" s="37"/>
      <c r="BES15" s="37"/>
      <c r="BET15" s="37"/>
      <c r="BEU15" s="37"/>
      <c r="BEV15" s="37"/>
      <c r="BEW15" s="37"/>
      <c r="BEX15" s="37"/>
      <c r="BEY15" s="37"/>
      <c r="BEZ15" s="37"/>
      <c r="BFA15" s="37"/>
      <c r="BFB15" s="37"/>
      <c r="BFC15" s="37"/>
      <c r="BFD15" s="37"/>
      <c r="BFE15" s="37"/>
      <c r="BFF15" s="37"/>
      <c r="BFG15" s="37"/>
      <c r="BFH15" s="37"/>
      <c r="BFI15" s="37"/>
      <c r="BFJ15" s="37"/>
      <c r="BFK15" s="37"/>
      <c r="BFL15" s="37"/>
      <c r="BFM15" s="37"/>
      <c r="BFN15" s="37"/>
      <c r="BFO15" s="37"/>
      <c r="BFP15" s="37"/>
      <c r="BFQ15" s="37"/>
      <c r="BFR15" s="37"/>
      <c r="BFS15" s="37"/>
      <c r="BFT15" s="37"/>
      <c r="BFU15" s="37"/>
      <c r="BFV15" s="37"/>
      <c r="BFW15" s="37"/>
      <c r="BFX15" s="37"/>
      <c r="BFY15" s="37"/>
      <c r="BFZ15" s="37"/>
      <c r="BGA15" s="37"/>
      <c r="BGB15" s="37"/>
      <c r="BGC15" s="37"/>
      <c r="BGD15" s="37"/>
      <c r="BGE15" s="37"/>
      <c r="BGF15" s="37"/>
      <c r="BGG15" s="37"/>
      <c r="BGH15" s="37"/>
      <c r="BGI15" s="37"/>
      <c r="BGJ15" s="37"/>
      <c r="BGK15" s="37"/>
      <c r="BGL15" s="37"/>
      <c r="BGM15" s="37"/>
      <c r="BGN15" s="37"/>
      <c r="BGO15" s="37"/>
      <c r="BGP15" s="37"/>
      <c r="BGQ15" s="37"/>
      <c r="BGR15" s="37"/>
      <c r="BGS15" s="37"/>
      <c r="BGT15" s="37"/>
      <c r="BGU15" s="37"/>
      <c r="BGV15" s="37"/>
      <c r="BGW15" s="37"/>
      <c r="BGX15" s="37"/>
      <c r="BGY15" s="37"/>
      <c r="BGZ15" s="37"/>
      <c r="BHA15" s="37"/>
      <c r="BHB15" s="37"/>
      <c r="BHC15" s="37"/>
      <c r="BHD15" s="37"/>
      <c r="BHE15" s="37"/>
      <c r="BHF15" s="37"/>
      <c r="BHG15" s="37"/>
      <c r="BHH15" s="37"/>
      <c r="BHI15" s="37"/>
      <c r="BHJ15" s="37"/>
      <c r="BHK15" s="37"/>
      <c r="BHL15" s="37"/>
      <c r="BHM15" s="37"/>
      <c r="BHN15" s="37"/>
      <c r="BHO15" s="37"/>
      <c r="BHP15" s="37"/>
      <c r="BHQ15" s="37"/>
      <c r="BHR15" s="37"/>
      <c r="BHS15" s="37"/>
      <c r="BHT15" s="37"/>
      <c r="BHU15" s="37"/>
      <c r="BHV15" s="37"/>
      <c r="BHW15" s="37"/>
      <c r="BHX15" s="37"/>
      <c r="BHY15" s="37"/>
      <c r="BHZ15" s="37"/>
      <c r="BIA15" s="37"/>
      <c r="BIB15" s="37"/>
      <c r="BIC15" s="37"/>
      <c r="BID15" s="37"/>
      <c r="BIE15" s="37"/>
      <c r="BIF15" s="37"/>
      <c r="BIG15" s="37"/>
      <c r="BIH15" s="37"/>
      <c r="BII15" s="37"/>
      <c r="BIJ15" s="37"/>
      <c r="BIK15" s="37"/>
      <c r="BIL15" s="37"/>
      <c r="BIM15" s="37"/>
      <c r="BIN15" s="37"/>
      <c r="BIO15" s="37"/>
      <c r="BIP15" s="37"/>
      <c r="BIQ15" s="37"/>
      <c r="BIR15" s="37"/>
      <c r="BIS15" s="37"/>
      <c r="BIT15" s="37"/>
      <c r="BIU15" s="37"/>
      <c r="BIV15" s="37"/>
      <c r="BIW15" s="37"/>
      <c r="BIX15" s="37"/>
      <c r="BIY15" s="37"/>
      <c r="BIZ15" s="37"/>
      <c r="BJA15" s="37"/>
      <c r="BJB15" s="37"/>
      <c r="BJC15" s="37"/>
      <c r="BJD15" s="37"/>
      <c r="BJE15" s="37"/>
      <c r="BJF15" s="37"/>
      <c r="BJG15" s="37"/>
      <c r="BJH15" s="37"/>
      <c r="BJI15" s="37"/>
      <c r="BJJ15" s="37"/>
      <c r="BJK15" s="37"/>
      <c r="BJL15" s="37"/>
      <c r="BJM15" s="37"/>
      <c r="BJN15" s="37"/>
      <c r="BJO15" s="37"/>
      <c r="BJP15" s="37"/>
      <c r="BJQ15" s="37"/>
      <c r="BJR15" s="37"/>
      <c r="BJS15" s="37"/>
      <c r="BJT15" s="37"/>
      <c r="BJU15" s="37"/>
      <c r="BJV15" s="37"/>
      <c r="BJW15" s="37"/>
      <c r="BJX15" s="37"/>
      <c r="BJY15" s="37"/>
      <c r="BJZ15" s="37"/>
      <c r="BKA15" s="37"/>
      <c r="BKB15" s="37"/>
      <c r="BKC15" s="37"/>
      <c r="BKD15" s="37"/>
      <c r="BKE15" s="37"/>
      <c r="BKF15" s="37"/>
      <c r="BKG15" s="37"/>
      <c r="BKH15" s="37"/>
      <c r="BKI15" s="37"/>
      <c r="BKJ15" s="37"/>
      <c r="BKK15" s="37"/>
      <c r="BKL15" s="37"/>
      <c r="BKM15" s="37"/>
      <c r="BKN15" s="37"/>
      <c r="BKO15" s="37"/>
      <c r="BKP15" s="37"/>
      <c r="BKQ15" s="37"/>
      <c r="BKR15" s="37"/>
      <c r="BKS15" s="37"/>
      <c r="BKT15" s="37"/>
      <c r="BKU15" s="37"/>
      <c r="BKV15" s="37"/>
      <c r="BKW15" s="37"/>
      <c r="BKX15" s="37"/>
      <c r="BKY15" s="37"/>
      <c r="BKZ15" s="37"/>
      <c r="BLA15" s="37"/>
      <c r="BLB15" s="37"/>
      <c r="BLC15" s="37"/>
      <c r="BLD15" s="37"/>
      <c r="BLE15" s="37"/>
      <c r="BLF15" s="37"/>
      <c r="BLG15" s="37"/>
      <c r="BLH15" s="37"/>
      <c r="BLI15" s="37"/>
      <c r="BLJ15" s="37"/>
      <c r="BLK15" s="37"/>
      <c r="BLL15" s="37"/>
      <c r="BLM15" s="37"/>
      <c r="BLN15" s="37"/>
      <c r="BLO15" s="37"/>
      <c r="BLP15" s="37"/>
      <c r="BLQ15" s="37"/>
      <c r="BLR15" s="37"/>
      <c r="BLS15" s="37"/>
      <c r="BLT15" s="37"/>
      <c r="BLU15" s="37"/>
      <c r="BLV15" s="37"/>
      <c r="BLW15" s="37"/>
      <c r="BLX15" s="37"/>
      <c r="BLY15" s="37"/>
      <c r="BLZ15" s="37"/>
      <c r="BMA15" s="37"/>
      <c r="BMB15" s="37"/>
      <c r="BMC15" s="37"/>
      <c r="BMD15" s="37"/>
      <c r="BME15" s="37"/>
      <c r="BMF15" s="37"/>
      <c r="BMG15" s="37"/>
      <c r="BMH15" s="37"/>
      <c r="BMI15" s="37"/>
      <c r="BMJ15" s="37"/>
      <c r="BMK15" s="37"/>
      <c r="BML15" s="37"/>
      <c r="BMM15" s="37"/>
      <c r="BMN15" s="37"/>
      <c r="BMO15" s="37"/>
      <c r="BMP15" s="37"/>
      <c r="BMQ15" s="37"/>
      <c r="BMR15" s="37"/>
      <c r="BMS15" s="37"/>
      <c r="BMT15" s="37"/>
      <c r="BMU15" s="37"/>
      <c r="BMV15" s="37"/>
      <c r="BMW15" s="37"/>
      <c r="BMX15" s="37"/>
      <c r="BMY15" s="37"/>
      <c r="BMZ15" s="37"/>
      <c r="BNA15" s="37"/>
      <c r="BNB15" s="37"/>
      <c r="BNC15" s="37"/>
      <c r="BND15" s="37"/>
      <c r="BNE15" s="37"/>
      <c r="BNF15" s="37"/>
      <c r="BNG15" s="37"/>
      <c r="BNH15" s="37"/>
      <c r="BNI15" s="37"/>
      <c r="BNJ15" s="37"/>
      <c r="BNK15" s="37"/>
      <c r="BNL15" s="37"/>
      <c r="BNM15" s="37"/>
      <c r="BNN15" s="37"/>
      <c r="BNO15" s="37"/>
      <c r="BNP15" s="37"/>
      <c r="BNQ15" s="37"/>
      <c r="BNR15" s="37"/>
      <c r="BNS15" s="37"/>
      <c r="BNT15" s="37"/>
      <c r="BNU15" s="37"/>
      <c r="BNV15" s="37"/>
      <c r="BNW15" s="37"/>
      <c r="BNX15" s="37"/>
      <c r="BNY15" s="37"/>
      <c r="BNZ15" s="37"/>
      <c r="BOA15" s="37"/>
      <c r="BOB15" s="37"/>
      <c r="BOC15" s="37"/>
      <c r="BOD15" s="37"/>
      <c r="BOE15" s="37"/>
      <c r="BOF15" s="37"/>
      <c r="BOG15" s="37"/>
      <c r="BOH15" s="37"/>
      <c r="BOI15" s="37"/>
      <c r="BOJ15" s="37"/>
      <c r="BOK15" s="37"/>
      <c r="BOL15" s="37"/>
      <c r="BOM15" s="37"/>
      <c r="BON15" s="37"/>
      <c r="BOO15" s="37"/>
      <c r="BOP15" s="37"/>
      <c r="BOQ15" s="37"/>
      <c r="BOR15" s="37"/>
      <c r="BOS15" s="37"/>
      <c r="BOT15" s="37"/>
      <c r="BOU15" s="37"/>
      <c r="BOV15" s="37"/>
      <c r="BOW15" s="37"/>
      <c r="BOX15" s="37"/>
      <c r="BOY15" s="37"/>
      <c r="BOZ15" s="37"/>
      <c r="BPA15" s="37"/>
      <c r="BPB15" s="37"/>
      <c r="BPC15" s="37"/>
      <c r="BPD15" s="37"/>
      <c r="BPE15" s="37"/>
      <c r="BPF15" s="37"/>
      <c r="BPG15" s="37"/>
      <c r="BPH15" s="37"/>
      <c r="BPI15" s="37"/>
      <c r="BPJ15" s="37"/>
      <c r="BPK15" s="37"/>
      <c r="BPL15" s="37"/>
      <c r="BPM15" s="37"/>
      <c r="BPN15" s="37"/>
      <c r="BPO15" s="37"/>
      <c r="BPP15" s="37"/>
      <c r="BPQ15" s="37"/>
      <c r="BPR15" s="37"/>
      <c r="BPS15" s="37"/>
      <c r="BPT15" s="37"/>
      <c r="BPU15" s="37"/>
      <c r="BPV15" s="37"/>
      <c r="BPW15" s="37"/>
      <c r="BPX15" s="37"/>
      <c r="BPY15" s="37"/>
      <c r="BPZ15" s="37"/>
      <c r="BQA15" s="37"/>
      <c r="BQB15" s="37"/>
      <c r="BQC15" s="37"/>
      <c r="BQD15" s="37"/>
      <c r="BQE15" s="37"/>
      <c r="BQF15" s="37"/>
      <c r="BQG15" s="37"/>
      <c r="BQH15" s="37"/>
      <c r="BQI15" s="37"/>
      <c r="BQJ15" s="37"/>
      <c r="BQK15" s="37"/>
      <c r="BQL15" s="37"/>
      <c r="BQM15" s="37"/>
      <c r="BQN15" s="37"/>
      <c r="BQO15" s="37"/>
      <c r="BQP15" s="37"/>
      <c r="BQQ15" s="37"/>
      <c r="BQR15" s="37"/>
      <c r="BQS15" s="37"/>
      <c r="BQT15" s="37"/>
      <c r="BQU15" s="37"/>
      <c r="BQV15" s="37"/>
      <c r="BQW15" s="37"/>
      <c r="BQX15" s="37"/>
      <c r="BQY15" s="37"/>
      <c r="BQZ15" s="37"/>
      <c r="BRA15" s="37"/>
      <c r="BRB15" s="37"/>
      <c r="BRC15" s="37"/>
      <c r="BRD15" s="37"/>
      <c r="BRE15" s="37"/>
      <c r="BRF15" s="37"/>
      <c r="BRG15" s="37"/>
      <c r="BRH15" s="37"/>
      <c r="BRI15" s="37"/>
      <c r="BRJ15" s="37"/>
      <c r="BRK15" s="37"/>
      <c r="BRL15" s="37"/>
      <c r="BRM15" s="37"/>
      <c r="BRN15" s="37"/>
      <c r="BRO15" s="37"/>
      <c r="BRP15" s="37"/>
      <c r="BRQ15" s="37"/>
      <c r="BRR15" s="37"/>
      <c r="BRS15" s="37"/>
      <c r="BRT15" s="37"/>
      <c r="BRU15" s="37"/>
      <c r="BRV15" s="37"/>
      <c r="BRW15" s="37"/>
      <c r="BRX15" s="37"/>
      <c r="BRY15" s="37"/>
      <c r="BRZ15" s="37"/>
      <c r="BSA15" s="37"/>
      <c r="BSB15" s="37"/>
      <c r="BSC15" s="37"/>
      <c r="BSD15" s="37"/>
      <c r="BSE15" s="37"/>
      <c r="BSF15" s="37"/>
      <c r="BSG15" s="37"/>
      <c r="BSH15" s="37"/>
      <c r="BSI15" s="37"/>
      <c r="BSJ15" s="37"/>
      <c r="BSK15" s="37"/>
      <c r="BSL15" s="37"/>
      <c r="BSM15" s="37"/>
      <c r="BSN15" s="37"/>
      <c r="BSO15" s="37"/>
      <c r="BSP15" s="37"/>
      <c r="BSQ15" s="37"/>
      <c r="BSR15" s="37"/>
      <c r="BSS15" s="37"/>
      <c r="BST15" s="37"/>
      <c r="BSU15" s="37"/>
      <c r="BSV15" s="37"/>
      <c r="BSW15" s="37"/>
      <c r="BSX15" s="37"/>
      <c r="BSY15" s="37"/>
      <c r="BSZ15" s="37"/>
      <c r="BTA15" s="37"/>
      <c r="BTB15" s="37"/>
      <c r="BTC15" s="37"/>
      <c r="BTD15" s="37"/>
      <c r="BTE15" s="37"/>
      <c r="BTF15" s="37"/>
      <c r="BTG15" s="37"/>
      <c r="BTH15" s="37"/>
      <c r="BTI15" s="37"/>
      <c r="BTJ15" s="37"/>
      <c r="BTK15" s="37"/>
      <c r="BTL15" s="37"/>
      <c r="BTM15" s="37"/>
      <c r="BTN15" s="37"/>
      <c r="BTO15" s="37"/>
      <c r="BTP15" s="37"/>
      <c r="BTQ15" s="37"/>
      <c r="BTR15" s="37"/>
      <c r="BTS15" s="37"/>
      <c r="BTT15" s="37"/>
      <c r="BTU15" s="37"/>
      <c r="BTV15" s="37"/>
      <c r="BTW15" s="37"/>
      <c r="BTX15" s="37"/>
      <c r="BTY15" s="37"/>
      <c r="BTZ15" s="37"/>
      <c r="BUA15" s="37"/>
      <c r="BUB15" s="37"/>
      <c r="BUC15" s="37"/>
      <c r="BUD15" s="37"/>
      <c r="BUE15" s="37"/>
      <c r="BUF15" s="37"/>
      <c r="BUG15" s="37"/>
      <c r="BUH15" s="37"/>
      <c r="BUI15" s="37"/>
      <c r="BUJ15" s="37"/>
      <c r="BUK15" s="37"/>
      <c r="BUL15" s="37"/>
      <c r="BUM15" s="37"/>
      <c r="BUN15" s="37"/>
      <c r="BUO15" s="37"/>
      <c r="BUP15" s="37"/>
      <c r="BUQ15" s="37"/>
      <c r="BUR15" s="37"/>
      <c r="BUS15" s="37"/>
      <c r="BUT15" s="37"/>
      <c r="BUU15" s="37"/>
      <c r="BUV15" s="37"/>
      <c r="BUW15" s="37"/>
      <c r="BUX15" s="37"/>
      <c r="BUY15" s="37"/>
      <c r="BUZ15" s="37"/>
      <c r="BVA15" s="37"/>
      <c r="BVB15" s="37"/>
      <c r="BVC15" s="37"/>
      <c r="BVD15" s="37"/>
      <c r="BVE15" s="37"/>
      <c r="BVF15" s="37"/>
      <c r="BVG15" s="37"/>
      <c r="BVH15" s="37"/>
      <c r="BVI15" s="37"/>
      <c r="BVJ15" s="37"/>
      <c r="BVK15" s="37"/>
      <c r="BVL15" s="37"/>
      <c r="BVM15" s="37"/>
      <c r="BVN15" s="37"/>
      <c r="BVO15" s="37"/>
      <c r="BVP15" s="37"/>
      <c r="BVQ15" s="37"/>
      <c r="BVR15" s="37"/>
      <c r="BVS15" s="37"/>
      <c r="BVT15" s="37"/>
      <c r="BVU15" s="37"/>
      <c r="BVV15" s="37"/>
      <c r="BVW15" s="37"/>
      <c r="BVX15" s="37"/>
      <c r="BVY15" s="37"/>
      <c r="BVZ15" s="37"/>
      <c r="BWA15" s="37"/>
      <c r="BWB15" s="37"/>
      <c r="BWC15" s="37"/>
      <c r="BWD15" s="37"/>
      <c r="BWE15" s="37"/>
      <c r="BWF15" s="37"/>
      <c r="BWG15" s="37"/>
      <c r="BWH15" s="37"/>
      <c r="BWI15" s="37"/>
      <c r="BWJ15" s="37"/>
    </row>
    <row r="16" spans="1:1960" x14ac:dyDescent="0.25">
      <c r="A16" s="38">
        <v>11</v>
      </c>
      <c r="B16" s="39">
        <v>20</v>
      </c>
      <c r="C16" s="40">
        <v>1000</v>
      </c>
      <c r="D16" s="41" t="s">
        <v>23</v>
      </c>
      <c r="E16" s="271">
        <f ca="1"/>
        <v>69</v>
      </c>
      <c r="F16" s="33">
        <v>-100</v>
      </c>
      <c r="G16" s="33">
        <v>1000</v>
      </c>
      <c r="H16" s="43">
        <f ca="1"/>
        <v>-100</v>
      </c>
      <c r="I16" s="33">
        <f ca="1"/>
        <v>44.4</v>
      </c>
      <c r="J16" s="35">
        <v>11</v>
      </c>
      <c r="K16" s="36">
        <v>20</v>
      </c>
      <c r="L16" s="37">
        <v>20</v>
      </c>
      <c r="M16" s="37">
        <v>20</v>
      </c>
      <c r="N16" s="37">
        <v>20</v>
      </c>
      <c r="O16" s="37">
        <v>20</v>
      </c>
      <c r="P16" s="37">
        <v>20</v>
      </c>
      <c r="Q16" s="37">
        <v>20</v>
      </c>
      <c r="R16" s="37">
        <v>20</v>
      </c>
      <c r="S16" s="37">
        <v>20</v>
      </c>
      <c r="T16" s="37">
        <v>20</v>
      </c>
      <c r="U16" s="37">
        <v>20</v>
      </c>
      <c r="V16" s="37">
        <v>20</v>
      </c>
      <c r="W16" s="37">
        <v>20</v>
      </c>
      <c r="X16" s="37">
        <v>20</v>
      </c>
      <c r="Y16" s="37">
        <v>20</v>
      </c>
      <c r="Z16" s="37">
        <v>20</v>
      </c>
      <c r="AA16" s="37">
        <v>20</v>
      </c>
      <c r="AB16" s="37">
        <v>20</v>
      </c>
      <c r="AC16" s="37">
        <v>20</v>
      </c>
      <c r="AD16" s="37">
        <v>20</v>
      </c>
      <c r="AE16" s="37">
        <v>20</v>
      </c>
      <c r="AF16" s="37">
        <v>20</v>
      </c>
      <c r="AG16" s="37">
        <v>20</v>
      </c>
      <c r="AH16" s="37">
        <v>20</v>
      </c>
      <c r="AI16" s="37">
        <v>20</v>
      </c>
      <c r="AJ16" s="37">
        <v>20</v>
      </c>
      <c r="AK16" s="37">
        <v>20</v>
      </c>
      <c r="AL16" s="37">
        <v>20</v>
      </c>
      <c r="AM16" s="37">
        <v>20</v>
      </c>
      <c r="AN16" s="37">
        <v>20</v>
      </c>
      <c r="AO16" s="37">
        <v>20</v>
      </c>
      <c r="AP16" s="37">
        <v>20</v>
      </c>
      <c r="AQ16" s="37">
        <v>20</v>
      </c>
      <c r="AR16" s="37">
        <v>20</v>
      </c>
      <c r="AS16" s="37">
        <v>20</v>
      </c>
      <c r="AT16" s="37">
        <v>20</v>
      </c>
      <c r="AU16" s="37">
        <v>20</v>
      </c>
      <c r="AV16" s="37">
        <v>20</v>
      </c>
      <c r="AW16" s="37">
        <v>20</v>
      </c>
      <c r="AX16" s="37">
        <v>20</v>
      </c>
      <c r="AY16" s="37">
        <v>20</v>
      </c>
      <c r="AZ16" s="37">
        <v>20</v>
      </c>
      <c r="BA16" s="37">
        <v>20</v>
      </c>
      <c r="BB16" s="37">
        <v>20</v>
      </c>
      <c r="BC16" s="37">
        <v>20</v>
      </c>
      <c r="BD16" s="37">
        <v>20</v>
      </c>
      <c r="BE16" s="37">
        <v>20</v>
      </c>
      <c r="BF16" s="37">
        <v>20</v>
      </c>
      <c r="BG16" s="37">
        <v>20</v>
      </c>
      <c r="BH16" s="37">
        <v>20</v>
      </c>
      <c r="BI16" s="37">
        <v>20</v>
      </c>
      <c r="BJ16" s="37">
        <v>20</v>
      </c>
      <c r="BK16" s="37">
        <v>20</v>
      </c>
      <c r="BL16" s="37">
        <v>20</v>
      </c>
      <c r="BM16" s="37">
        <v>20</v>
      </c>
      <c r="BN16" s="37">
        <v>20</v>
      </c>
      <c r="BO16" s="37">
        <v>20</v>
      </c>
      <c r="BP16" s="37">
        <v>20</v>
      </c>
      <c r="BQ16" s="37">
        <v>20</v>
      </c>
      <c r="BR16" s="37">
        <v>20</v>
      </c>
      <c r="BS16" s="37">
        <v>20</v>
      </c>
      <c r="BT16" s="37">
        <v>20</v>
      </c>
      <c r="BU16" s="37">
        <v>20</v>
      </c>
      <c r="BV16" s="37">
        <v>20</v>
      </c>
      <c r="BW16" s="37">
        <v>20</v>
      </c>
      <c r="BX16" s="37">
        <v>20</v>
      </c>
      <c r="BY16" s="37">
        <v>20</v>
      </c>
      <c r="BZ16" s="37">
        <v>20</v>
      </c>
      <c r="CA16" s="37">
        <v>0</v>
      </c>
      <c r="CB16" s="37">
        <v>0</v>
      </c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  <c r="AMD16" s="37"/>
      <c r="AME16" s="37"/>
      <c r="AMF16" s="37"/>
      <c r="AMG16" s="37"/>
      <c r="AMH16" s="37"/>
      <c r="AMI16" s="37"/>
      <c r="AMJ16" s="37"/>
      <c r="AMK16" s="37"/>
      <c r="AML16" s="37"/>
      <c r="AMM16" s="37"/>
      <c r="AMN16" s="37"/>
      <c r="AMO16" s="37"/>
      <c r="AMP16" s="37"/>
      <c r="AMQ16" s="37"/>
      <c r="AMR16" s="37"/>
      <c r="AMS16" s="37"/>
      <c r="AMT16" s="37"/>
      <c r="AMU16" s="37"/>
      <c r="AMV16" s="37"/>
      <c r="AMW16" s="37"/>
      <c r="AMX16" s="37"/>
      <c r="AMY16" s="37"/>
      <c r="AMZ16" s="37"/>
      <c r="ANA16" s="37"/>
      <c r="ANB16" s="37"/>
      <c r="ANC16" s="37"/>
      <c r="AND16" s="37"/>
      <c r="ANE16" s="37"/>
      <c r="ANF16" s="37"/>
      <c r="ANG16" s="37"/>
      <c r="ANH16" s="37"/>
      <c r="ANI16" s="37"/>
      <c r="ANJ16" s="37"/>
      <c r="ANK16" s="37"/>
      <c r="ANL16" s="37"/>
      <c r="ANM16" s="37"/>
      <c r="ANN16" s="37"/>
      <c r="ANO16" s="37"/>
      <c r="ANP16" s="37"/>
      <c r="ANQ16" s="37"/>
      <c r="ANR16" s="37"/>
      <c r="ANS16" s="37"/>
      <c r="ANT16" s="37"/>
      <c r="ANU16" s="37"/>
      <c r="ANV16" s="37"/>
      <c r="ANW16" s="37"/>
      <c r="ANX16" s="37"/>
      <c r="ANY16" s="37"/>
      <c r="ANZ16" s="37"/>
      <c r="AOA16" s="37"/>
      <c r="AOB16" s="37"/>
      <c r="AOC16" s="37"/>
      <c r="AOD16" s="37"/>
      <c r="AOE16" s="37"/>
      <c r="AOF16" s="37"/>
      <c r="AOG16" s="37"/>
      <c r="AOH16" s="37"/>
      <c r="AOI16" s="37"/>
      <c r="AOJ16" s="37"/>
      <c r="AOK16" s="37"/>
      <c r="AOL16" s="37"/>
      <c r="AOM16" s="37"/>
      <c r="AON16" s="37"/>
      <c r="AOO16" s="37"/>
      <c r="AOP16" s="37"/>
      <c r="AOQ16" s="37"/>
      <c r="AOR16" s="37"/>
      <c r="AOS16" s="37"/>
      <c r="AOT16" s="37"/>
      <c r="AOU16" s="37"/>
      <c r="AOV16" s="37"/>
      <c r="AOW16" s="37"/>
      <c r="AOX16" s="37"/>
      <c r="AOY16" s="37"/>
      <c r="AOZ16" s="37"/>
      <c r="APA16" s="37"/>
      <c r="APB16" s="37"/>
      <c r="APC16" s="37"/>
      <c r="APD16" s="37"/>
      <c r="APE16" s="37"/>
      <c r="APF16" s="37"/>
      <c r="APG16" s="37"/>
      <c r="APH16" s="37"/>
      <c r="API16" s="37"/>
      <c r="APJ16" s="37"/>
      <c r="APK16" s="37"/>
      <c r="APL16" s="37"/>
      <c r="APM16" s="37"/>
      <c r="APN16" s="37"/>
      <c r="APO16" s="37"/>
      <c r="APP16" s="37"/>
      <c r="APQ16" s="37"/>
      <c r="APR16" s="37"/>
      <c r="APS16" s="37"/>
      <c r="APT16" s="37"/>
      <c r="APU16" s="37"/>
      <c r="APV16" s="37"/>
      <c r="APW16" s="37"/>
      <c r="APX16" s="37"/>
      <c r="APY16" s="37"/>
      <c r="APZ16" s="37"/>
      <c r="AQA16" s="37"/>
      <c r="AQB16" s="37"/>
      <c r="AQC16" s="37"/>
      <c r="AQD16" s="37"/>
      <c r="AQE16" s="37"/>
      <c r="AQF16" s="37"/>
      <c r="AQG16" s="37"/>
      <c r="AQH16" s="37"/>
      <c r="AQI16" s="37"/>
      <c r="AQJ16" s="37"/>
      <c r="AQK16" s="37"/>
      <c r="AQL16" s="37"/>
      <c r="AQM16" s="37"/>
      <c r="AQN16" s="37"/>
      <c r="AQO16" s="37"/>
      <c r="AQP16" s="37"/>
      <c r="AQQ16" s="37"/>
      <c r="AQR16" s="37"/>
      <c r="AQS16" s="37"/>
      <c r="AQT16" s="37"/>
      <c r="AQU16" s="37"/>
      <c r="AQV16" s="37"/>
      <c r="AQW16" s="37"/>
      <c r="AQX16" s="37"/>
      <c r="AQY16" s="37"/>
      <c r="AQZ16" s="37"/>
      <c r="ARA16" s="37"/>
      <c r="ARB16" s="37"/>
      <c r="ARC16" s="37"/>
      <c r="ARD16" s="37"/>
      <c r="ARE16" s="37"/>
      <c r="ARF16" s="37"/>
      <c r="ARG16" s="37"/>
      <c r="ARH16" s="37"/>
      <c r="ARI16" s="37"/>
      <c r="ARJ16" s="37"/>
      <c r="ARK16" s="37"/>
      <c r="ARL16" s="37"/>
      <c r="ARM16" s="37"/>
      <c r="ARN16" s="37"/>
      <c r="ARO16" s="37"/>
      <c r="ARP16" s="37"/>
      <c r="ARQ16" s="37"/>
      <c r="ARR16" s="37"/>
      <c r="ARS16" s="37"/>
      <c r="ART16" s="37"/>
      <c r="ARU16" s="37"/>
      <c r="ARV16" s="37"/>
      <c r="ARW16" s="37"/>
      <c r="ARX16" s="37"/>
      <c r="ARY16" s="37"/>
      <c r="ARZ16" s="37"/>
      <c r="ASA16" s="37"/>
      <c r="ASB16" s="37"/>
      <c r="ASC16" s="37"/>
      <c r="ASD16" s="37"/>
      <c r="ASE16" s="37"/>
      <c r="ASF16" s="37"/>
      <c r="ASG16" s="37"/>
      <c r="ASH16" s="37"/>
      <c r="ASI16" s="37"/>
      <c r="ASJ16" s="37"/>
      <c r="ASK16" s="37"/>
      <c r="ASL16" s="37"/>
      <c r="ASM16" s="37"/>
      <c r="ASN16" s="37"/>
      <c r="ASO16" s="37"/>
      <c r="ASP16" s="37"/>
      <c r="ASQ16" s="37"/>
      <c r="ASR16" s="37"/>
      <c r="ASS16" s="37"/>
      <c r="AST16" s="37"/>
      <c r="ASU16" s="37"/>
      <c r="ASV16" s="37"/>
      <c r="ASW16" s="37"/>
      <c r="ASX16" s="37"/>
      <c r="ASY16" s="37"/>
      <c r="ASZ16" s="37"/>
      <c r="ATA16" s="37"/>
      <c r="ATB16" s="37"/>
      <c r="ATC16" s="37"/>
      <c r="ATD16" s="37"/>
      <c r="ATE16" s="37"/>
      <c r="ATF16" s="37"/>
      <c r="ATG16" s="37"/>
      <c r="ATH16" s="37"/>
      <c r="ATI16" s="37"/>
      <c r="ATJ16" s="37"/>
      <c r="ATK16" s="37"/>
      <c r="ATL16" s="37"/>
      <c r="ATM16" s="37"/>
      <c r="ATN16" s="37"/>
      <c r="ATO16" s="37"/>
      <c r="ATP16" s="37"/>
      <c r="ATQ16" s="37"/>
      <c r="ATR16" s="37"/>
      <c r="ATS16" s="37"/>
      <c r="ATT16" s="37"/>
      <c r="ATU16" s="37"/>
      <c r="ATV16" s="37"/>
      <c r="ATW16" s="37"/>
      <c r="ATX16" s="37"/>
      <c r="ATY16" s="37"/>
      <c r="ATZ16" s="37"/>
      <c r="AUA16" s="37"/>
      <c r="AUB16" s="37"/>
      <c r="AUC16" s="37"/>
      <c r="AUD16" s="37"/>
      <c r="AUE16" s="37"/>
      <c r="AUF16" s="37"/>
      <c r="AUG16" s="37"/>
      <c r="AUH16" s="37"/>
      <c r="AUI16" s="37"/>
      <c r="AUJ16" s="37"/>
      <c r="AUK16" s="37"/>
      <c r="AUL16" s="37"/>
      <c r="AUM16" s="37"/>
      <c r="AUN16" s="37"/>
      <c r="AUO16" s="37"/>
      <c r="AUP16" s="37"/>
      <c r="AUQ16" s="37"/>
      <c r="AUR16" s="37"/>
      <c r="AUS16" s="37"/>
      <c r="AUT16" s="37"/>
      <c r="AUU16" s="37"/>
      <c r="AUV16" s="37"/>
      <c r="AUW16" s="37"/>
      <c r="AUX16" s="37"/>
      <c r="AUY16" s="37"/>
      <c r="AUZ16" s="37"/>
      <c r="AVA16" s="37"/>
      <c r="AVB16" s="37"/>
      <c r="AVC16" s="37"/>
      <c r="AVD16" s="37"/>
      <c r="AVE16" s="37"/>
      <c r="AVF16" s="37"/>
      <c r="AVG16" s="37"/>
      <c r="AVH16" s="37"/>
      <c r="AVI16" s="37"/>
      <c r="AVJ16" s="37"/>
      <c r="AVK16" s="37"/>
      <c r="AVL16" s="37"/>
      <c r="AVM16" s="37"/>
      <c r="AVN16" s="37"/>
      <c r="AVO16" s="37"/>
      <c r="AVP16" s="37"/>
      <c r="AVQ16" s="37"/>
      <c r="AVR16" s="37"/>
      <c r="AVS16" s="37"/>
      <c r="AVT16" s="37"/>
      <c r="AVU16" s="37"/>
      <c r="AVV16" s="37"/>
      <c r="AVW16" s="37"/>
      <c r="AVX16" s="37"/>
      <c r="AVY16" s="37"/>
      <c r="AVZ16" s="37"/>
      <c r="AWA16" s="37"/>
      <c r="AWB16" s="37"/>
      <c r="AWC16" s="37"/>
      <c r="AWD16" s="37"/>
      <c r="AWE16" s="37"/>
      <c r="AWF16" s="37"/>
      <c r="AWG16" s="37"/>
      <c r="AWH16" s="37"/>
      <c r="AWI16" s="37"/>
      <c r="AWJ16" s="37"/>
      <c r="AWK16" s="37"/>
      <c r="AWL16" s="37"/>
      <c r="AWM16" s="37"/>
      <c r="AWN16" s="37"/>
      <c r="AWO16" s="37"/>
      <c r="AWP16" s="37"/>
      <c r="AWQ16" s="37"/>
      <c r="AWR16" s="37"/>
      <c r="AWS16" s="37"/>
      <c r="AWT16" s="37"/>
      <c r="AWU16" s="37"/>
      <c r="AWV16" s="37"/>
      <c r="AWW16" s="37"/>
      <c r="AWX16" s="37"/>
      <c r="AWY16" s="37"/>
      <c r="AWZ16" s="37"/>
      <c r="AXA16" s="37"/>
      <c r="AXB16" s="37"/>
      <c r="AXC16" s="37"/>
      <c r="AXD16" s="37"/>
      <c r="AXE16" s="37"/>
      <c r="AXF16" s="37"/>
      <c r="AXG16" s="37"/>
      <c r="AXH16" s="37"/>
      <c r="AXI16" s="37"/>
      <c r="AXJ16" s="37"/>
      <c r="AXK16" s="37"/>
      <c r="AXL16" s="37"/>
      <c r="AXM16" s="37"/>
      <c r="AXN16" s="37"/>
      <c r="AXO16" s="37"/>
      <c r="AXP16" s="37"/>
      <c r="AXQ16" s="37"/>
      <c r="AXR16" s="37"/>
      <c r="AXS16" s="37"/>
      <c r="AXT16" s="37"/>
      <c r="AXU16" s="37"/>
      <c r="AXV16" s="37"/>
      <c r="AXW16" s="37"/>
      <c r="AXX16" s="37"/>
      <c r="AXY16" s="37"/>
      <c r="AXZ16" s="37"/>
      <c r="AYA16" s="37"/>
      <c r="AYB16" s="37"/>
      <c r="AYC16" s="37"/>
      <c r="AYD16" s="37"/>
      <c r="AYE16" s="37"/>
      <c r="AYF16" s="37"/>
      <c r="AYG16" s="37"/>
      <c r="AYH16" s="37"/>
      <c r="AYI16" s="37"/>
      <c r="AYJ16" s="37"/>
      <c r="AYK16" s="37"/>
      <c r="AYL16" s="37"/>
      <c r="AYM16" s="37"/>
      <c r="AYN16" s="37"/>
      <c r="AYO16" s="37"/>
      <c r="AYP16" s="37"/>
      <c r="AYQ16" s="37"/>
      <c r="AYR16" s="37"/>
      <c r="AYS16" s="37"/>
      <c r="AYT16" s="37"/>
      <c r="AYU16" s="37"/>
      <c r="AYV16" s="37"/>
      <c r="AYW16" s="37"/>
      <c r="AYX16" s="37"/>
      <c r="AYY16" s="37"/>
      <c r="AYZ16" s="37"/>
      <c r="AZA16" s="37"/>
      <c r="AZB16" s="37"/>
      <c r="AZC16" s="37"/>
      <c r="AZD16" s="37"/>
      <c r="AZE16" s="37"/>
      <c r="AZF16" s="37"/>
      <c r="AZG16" s="37"/>
      <c r="AZH16" s="37"/>
      <c r="AZI16" s="37"/>
      <c r="AZJ16" s="37"/>
      <c r="AZK16" s="37"/>
      <c r="AZL16" s="37"/>
      <c r="AZM16" s="37"/>
      <c r="AZN16" s="37"/>
      <c r="AZO16" s="37"/>
      <c r="AZP16" s="37"/>
      <c r="AZQ16" s="37"/>
      <c r="AZR16" s="37"/>
      <c r="AZS16" s="37"/>
      <c r="AZT16" s="37"/>
      <c r="AZU16" s="37"/>
      <c r="AZV16" s="37"/>
      <c r="AZW16" s="37"/>
      <c r="AZX16" s="37"/>
      <c r="AZY16" s="37"/>
      <c r="AZZ16" s="37"/>
      <c r="BAA16" s="37"/>
      <c r="BAB16" s="37"/>
      <c r="BAC16" s="37"/>
      <c r="BAD16" s="37"/>
      <c r="BAE16" s="37"/>
      <c r="BAF16" s="37"/>
      <c r="BAG16" s="37"/>
      <c r="BAH16" s="37"/>
      <c r="BAI16" s="37"/>
      <c r="BAJ16" s="37"/>
      <c r="BAK16" s="37"/>
      <c r="BAL16" s="37"/>
      <c r="BAM16" s="37"/>
      <c r="BAN16" s="37"/>
      <c r="BAO16" s="37"/>
      <c r="BAP16" s="37"/>
      <c r="BAQ16" s="37"/>
      <c r="BAR16" s="37"/>
      <c r="BAS16" s="37"/>
      <c r="BAT16" s="37"/>
      <c r="BAU16" s="37"/>
      <c r="BAV16" s="37"/>
      <c r="BAW16" s="37"/>
      <c r="BAX16" s="37"/>
      <c r="BAY16" s="37"/>
      <c r="BAZ16" s="37"/>
      <c r="BBA16" s="37"/>
      <c r="BBB16" s="37"/>
      <c r="BBC16" s="37"/>
      <c r="BBD16" s="37"/>
      <c r="BBE16" s="37"/>
      <c r="BBF16" s="37"/>
      <c r="BBG16" s="37"/>
      <c r="BBH16" s="37"/>
      <c r="BBI16" s="37"/>
      <c r="BBJ16" s="37"/>
      <c r="BBK16" s="37"/>
      <c r="BBL16" s="37"/>
      <c r="BBM16" s="37"/>
      <c r="BBN16" s="37"/>
      <c r="BBO16" s="37"/>
      <c r="BBP16" s="37"/>
      <c r="BBQ16" s="37"/>
      <c r="BBR16" s="37"/>
      <c r="BBS16" s="37"/>
      <c r="BBT16" s="37"/>
      <c r="BBU16" s="37"/>
      <c r="BBV16" s="37"/>
      <c r="BBW16" s="37"/>
      <c r="BBX16" s="37"/>
      <c r="BBY16" s="37"/>
      <c r="BBZ16" s="37"/>
      <c r="BCA16" s="37"/>
      <c r="BCB16" s="37"/>
      <c r="BCC16" s="37"/>
      <c r="BCD16" s="37"/>
      <c r="BCE16" s="37"/>
      <c r="BCF16" s="37"/>
      <c r="BCG16" s="37"/>
      <c r="BCH16" s="37"/>
      <c r="BCI16" s="37"/>
      <c r="BCJ16" s="37"/>
      <c r="BCK16" s="37"/>
      <c r="BCL16" s="37"/>
      <c r="BCM16" s="37"/>
      <c r="BCN16" s="37"/>
      <c r="BCO16" s="37"/>
      <c r="BCP16" s="37"/>
      <c r="BCQ16" s="37"/>
      <c r="BCR16" s="37"/>
      <c r="BCS16" s="37"/>
      <c r="BCT16" s="37"/>
      <c r="BCU16" s="37"/>
      <c r="BCV16" s="37"/>
      <c r="BCW16" s="37"/>
      <c r="BCX16" s="37"/>
      <c r="BCY16" s="37"/>
      <c r="BCZ16" s="37"/>
      <c r="BDA16" s="37"/>
      <c r="BDB16" s="37"/>
      <c r="BDC16" s="37"/>
      <c r="BDD16" s="37"/>
      <c r="BDE16" s="37"/>
      <c r="BDF16" s="37"/>
      <c r="BDG16" s="37"/>
      <c r="BDH16" s="37"/>
      <c r="BDI16" s="37"/>
      <c r="BDJ16" s="37"/>
      <c r="BDK16" s="37"/>
      <c r="BDL16" s="37"/>
      <c r="BDM16" s="37"/>
      <c r="BDN16" s="37"/>
      <c r="BDO16" s="37"/>
      <c r="BDP16" s="37"/>
      <c r="BDQ16" s="37"/>
      <c r="BDR16" s="37"/>
      <c r="BDS16" s="37"/>
      <c r="BDT16" s="37"/>
      <c r="BDU16" s="37"/>
      <c r="BDV16" s="37"/>
      <c r="BDW16" s="37"/>
      <c r="BDX16" s="37"/>
      <c r="BDY16" s="37"/>
      <c r="BDZ16" s="37"/>
      <c r="BEA16" s="37"/>
      <c r="BEB16" s="37"/>
      <c r="BEC16" s="37"/>
      <c r="BED16" s="37"/>
      <c r="BEE16" s="37"/>
      <c r="BEF16" s="37"/>
      <c r="BEG16" s="37"/>
      <c r="BEH16" s="37"/>
      <c r="BEI16" s="37"/>
      <c r="BEJ16" s="37"/>
      <c r="BEK16" s="37"/>
      <c r="BEL16" s="37"/>
      <c r="BEM16" s="37"/>
      <c r="BEN16" s="37"/>
      <c r="BEO16" s="37"/>
      <c r="BEP16" s="37"/>
      <c r="BEQ16" s="37"/>
      <c r="BER16" s="37"/>
      <c r="BES16" s="37"/>
      <c r="BET16" s="37"/>
      <c r="BEU16" s="37"/>
      <c r="BEV16" s="37"/>
      <c r="BEW16" s="37"/>
      <c r="BEX16" s="37"/>
      <c r="BEY16" s="37"/>
      <c r="BEZ16" s="37"/>
      <c r="BFA16" s="37"/>
      <c r="BFB16" s="37"/>
      <c r="BFC16" s="37"/>
      <c r="BFD16" s="37"/>
      <c r="BFE16" s="37"/>
      <c r="BFF16" s="37"/>
      <c r="BFG16" s="37"/>
      <c r="BFH16" s="37"/>
      <c r="BFI16" s="37"/>
      <c r="BFJ16" s="37"/>
      <c r="BFK16" s="37"/>
      <c r="BFL16" s="37"/>
      <c r="BFM16" s="37"/>
      <c r="BFN16" s="37"/>
      <c r="BFO16" s="37"/>
      <c r="BFP16" s="37"/>
      <c r="BFQ16" s="37"/>
      <c r="BFR16" s="37"/>
      <c r="BFS16" s="37"/>
      <c r="BFT16" s="37"/>
      <c r="BFU16" s="37"/>
      <c r="BFV16" s="37"/>
      <c r="BFW16" s="37"/>
      <c r="BFX16" s="37"/>
      <c r="BFY16" s="37"/>
      <c r="BFZ16" s="37"/>
      <c r="BGA16" s="37"/>
      <c r="BGB16" s="37"/>
      <c r="BGC16" s="37"/>
      <c r="BGD16" s="37"/>
      <c r="BGE16" s="37"/>
      <c r="BGF16" s="37"/>
      <c r="BGG16" s="37"/>
      <c r="BGH16" s="37"/>
      <c r="BGI16" s="37"/>
      <c r="BGJ16" s="37"/>
      <c r="BGK16" s="37"/>
      <c r="BGL16" s="37"/>
      <c r="BGM16" s="37"/>
      <c r="BGN16" s="37"/>
      <c r="BGO16" s="37"/>
      <c r="BGP16" s="37"/>
      <c r="BGQ16" s="37"/>
      <c r="BGR16" s="37"/>
      <c r="BGS16" s="37"/>
      <c r="BGT16" s="37"/>
      <c r="BGU16" s="37"/>
      <c r="BGV16" s="37"/>
      <c r="BGW16" s="37"/>
      <c r="BGX16" s="37"/>
      <c r="BGY16" s="37"/>
      <c r="BGZ16" s="37"/>
      <c r="BHA16" s="37"/>
      <c r="BHB16" s="37"/>
      <c r="BHC16" s="37"/>
      <c r="BHD16" s="37"/>
      <c r="BHE16" s="37"/>
      <c r="BHF16" s="37"/>
      <c r="BHG16" s="37"/>
      <c r="BHH16" s="37"/>
      <c r="BHI16" s="37"/>
      <c r="BHJ16" s="37"/>
      <c r="BHK16" s="37"/>
      <c r="BHL16" s="37"/>
      <c r="BHM16" s="37"/>
      <c r="BHN16" s="37"/>
      <c r="BHO16" s="37"/>
      <c r="BHP16" s="37"/>
      <c r="BHQ16" s="37"/>
      <c r="BHR16" s="37"/>
      <c r="BHS16" s="37"/>
      <c r="BHT16" s="37"/>
      <c r="BHU16" s="37"/>
      <c r="BHV16" s="37"/>
      <c r="BHW16" s="37"/>
      <c r="BHX16" s="37"/>
      <c r="BHY16" s="37"/>
      <c r="BHZ16" s="37"/>
      <c r="BIA16" s="37"/>
      <c r="BIB16" s="37"/>
      <c r="BIC16" s="37"/>
      <c r="BID16" s="37"/>
      <c r="BIE16" s="37"/>
      <c r="BIF16" s="37"/>
      <c r="BIG16" s="37"/>
      <c r="BIH16" s="37"/>
      <c r="BII16" s="37"/>
      <c r="BIJ16" s="37"/>
      <c r="BIK16" s="37"/>
      <c r="BIL16" s="37"/>
      <c r="BIM16" s="37"/>
      <c r="BIN16" s="37"/>
      <c r="BIO16" s="37"/>
      <c r="BIP16" s="37"/>
      <c r="BIQ16" s="37"/>
      <c r="BIR16" s="37"/>
      <c r="BIS16" s="37"/>
      <c r="BIT16" s="37"/>
      <c r="BIU16" s="37"/>
      <c r="BIV16" s="37"/>
      <c r="BIW16" s="37"/>
      <c r="BIX16" s="37"/>
      <c r="BIY16" s="37"/>
      <c r="BIZ16" s="37"/>
      <c r="BJA16" s="37"/>
      <c r="BJB16" s="37"/>
      <c r="BJC16" s="37"/>
      <c r="BJD16" s="37"/>
      <c r="BJE16" s="37"/>
      <c r="BJF16" s="37"/>
      <c r="BJG16" s="37"/>
      <c r="BJH16" s="37"/>
      <c r="BJI16" s="37"/>
      <c r="BJJ16" s="37"/>
      <c r="BJK16" s="37"/>
      <c r="BJL16" s="37"/>
      <c r="BJM16" s="37"/>
      <c r="BJN16" s="37"/>
      <c r="BJO16" s="37"/>
      <c r="BJP16" s="37"/>
      <c r="BJQ16" s="37"/>
      <c r="BJR16" s="37"/>
      <c r="BJS16" s="37"/>
      <c r="BJT16" s="37"/>
      <c r="BJU16" s="37"/>
      <c r="BJV16" s="37"/>
      <c r="BJW16" s="37"/>
      <c r="BJX16" s="37"/>
      <c r="BJY16" s="37"/>
      <c r="BJZ16" s="37"/>
      <c r="BKA16" s="37"/>
      <c r="BKB16" s="37"/>
      <c r="BKC16" s="37"/>
      <c r="BKD16" s="37"/>
      <c r="BKE16" s="37"/>
      <c r="BKF16" s="37"/>
      <c r="BKG16" s="37"/>
      <c r="BKH16" s="37"/>
      <c r="BKI16" s="37"/>
      <c r="BKJ16" s="37"/>
      <c r="BKK16" s="37"/>
      <c r="BKL16" s="37"/>
      <c r="BKM16" s="37"/>
      <c r="BKN16" s="37"/>
      <c r="BKO16" s="37"/>
      <c r="BKP16" s="37"/>
      <c r="BKQ16" s="37"/>
      <c r="BKR16" s="37"/>
      <c r="BKS16" s="37"/>
      <c r="BKT16" s="37"/>
      <c r="BKU16" s="37"/>
      <c r="BKV16" s="37"/>
      <c r="BKW16" s="37"/>
      <c r="BKX16" s="37"/>
      <c r="BKY16" s="37"/>
      <c r="BKZ16" s="37"/>
      <c r="BLA16" s="37"/>
      <c r="BLB16" s="37"/>
      <c r="BLC16" s="37"/>
      <c r="BLD16" s="37"/>
      <c r="BLE16" s="37"/>
      <c r="BLF16" s="37"/>
      <c r="BLG16" s="37"/>
      <c r="BLH16" s="37"/>
      <c r="BLI16" s="37"/>
      <c r="BLJ16" s="37"/>
      <c r="BLK16" s="37"/>
      <c r="BLL16" s="37"/>
      <c r="BLM16" s="37"/>
      <c r="BLN16" s="37"/>
      <c r="BLO16" s="37"/>
      <c r="BLP16" s="37"/>
      <c r="BLQ16" s="37"/>
      <c r="BLR16" s="37"/>
      <c r="BLS16" s="37"/>
      <c r="BLT16" s="37"/>
      <c r="BLU16" s="37"/>
      <c r="BLV16" s="37"/>
      <c r="BLW16" s="37"/>
      <c r="BLX16" s="37"/>
      <c r="BLY16" s="37"/>
      <c r="BLZ16" s="37"/>
      <c r="BMA16" s="37"/>
      <c r="BMB16" s="37"/>
      <c r="BMC16" s="37"/>
      <c r="BMD16" s="37"/>
      <c r="BME16" s="37"/>
      <c r="BMF16" s="37"/>
      <c r="BMG16" s="37"/>
      <c r="BMH16" s="37"/>
      <c r="BMI16" s="37"/>
      <c r="BMJ16" s="37"/>
      <c r="BMK16" s="37"/>
      <c r="BML16" s="37"/>
      <c r="BMM16" s="37"/>
      <c r="BMN16" s="37"/>
      <c r="BMO16" s="37"/>
      <c r="BMP16" s="37"/>
      <c r="BMQ16" s="37"/>
      <c r="BMR16" s="37"/>
      <c r="BMS16" s="37"/>
      <c r="BMT16" s="37"/>
      <c r="BMU16" s="37"/>
      <c r="BMV16" s="37"/>
      <c r="BMW16" s="37"/>
      <c r="BMX16" s="37"/>
      <c r="BMY16" s="37"/>
      <c r="BMZ16" s="37"/>
      <c r="BNA16" s="37"/>
      <c r="BNB16" s="37"/>
      <c r="BNC16" s="37"/>
      <c r="BND16" s="37"/>
      <c r="BNE16" s="37"/>
      <c r="BNF16" s="37"/>
      <c r="BNG16" s="37"/>
      <c r="BNH16" s="37"/>
      <c r="BNI16" s="37"/>
      <c r="BNJ16" s="37"/>
      <c r="BNK16" s="37"/>
      <c r="BNL16" s="37"/>
      <c r="BNM16" s="37"/>
      <c r="BNN16" s="37"/>
      <c r="BNO16" s="37"/>
      <c r="BNP16" s="37"/>
      <c r="BNQ16" s="37"/>
      <c r="BNR16" s="37"/>
      <c r="BNS16" s="37"/>
      <c r="BNT16" s="37"/>
      <c r="BNU16" s="37"/>
      <c r="BNV16" s="37"/>
      <c r="BNW16" s="37"/>
      <c r="BNX16" s="37"/>
      <c r="BNY16" s="37"/>
      <c r="BNZ16" s="37"/>
      <c r="BOA16" s="37"/>
      <c r="BOB16" s="37"/>
      <c r="BOC16" s="37"/>
      <c r="BOD16" s="37"/>
      <c r="BOE16" s="37"/>
      <c r="BOF16" s="37"/>
      <c r="BOG16" s="37"/>
      <c r="BOH16" s="37"/>
      <c r="BOI16" s="37"/>
      <c r="BOJ16" s="37"/>
      <c r="BOK16" s="37"/>
      <c r="BOL16" s="37"/>
      <c r="BOM16" s="37"/>
      <c r="BON16" s="37"/>
      <c r="BOO16" s="37"/>
      <c r="BOP16" s="37"/>
      <c r="BOQ16" s="37"/>
      <c r="BOR16" s="37"/>
      <c r="BOS16" s="37"/>
      <c r="BOT16" s="37"/>
      <c r="BOU16" s="37"/>
      <c r="BOV16" s="37"/>
      <c r="BOW16" s="37"/>
      <c r="BOX16" s="37"/>
      <c r="BOY16" s="37"/>
      <c r="BOZ16" s="37"/>
      <c r="BPA16" s="37"/>
      <c r="BPB16" s="37"/>
      <c r="BPC16" s="37"/>
      <c r="BPD16" s="37"/>
      <c r="BPE16" s="37"/>
      <c r="BPF16" s="37"/>
      <c r="BPG16" s="37"/>
      <c r="BPH16" s="37"/>
      <c r="BPI16" s="37"/>
      <c r="BPJ16" s="37"/>
      <c r="BPK16" s="37"/>
      <c r="BPL16" s="37"/>
      <c r="BPM16" s="37"/>
      <c r="BPN16" s="37"/>
      <c r="BPO16" s="37"/>
      <c r="BPP16" s="37"/>
      <c r="BPQ16" s="37"/>
      <c r="BPR16" s="37"/>
      <c r="BPS16" s="37"/>
      <c r="BPT16" s="37"/>
      <c r="BPU16" s="37"/>
      <c r="BPV16" s="37"/>
      <c r="BPW16" s="37"/>
      <c r="BPX16" s="37"/>
      <c r="BPY16" s="37"/>
      <c r="BPZ16" s="37"/>
      <c r="BQA16" s="37"/>
      <c r="BQB16" s="37"/>
      <c r="BQC16" s="37"/>
      <c r="BQD16" s="37"/>
      <c r="BQE16" s="37"/>
      <c r="BQF16" s="37"/>
      <c r="BQG16" s="37"/>
      <c r="BQH16" s="37"/>
      <c r="BQI16" s="37"/>
      <c r="BQJ16" s="37"/>
      <c r="BQK16" s="37"/>
      <c r="BQL16" s="37"/>
      <c r="BQM16" s="37"/>
      <c r="BQN16" s="37"/>
      <c r="BQO16" s="37"/>
      <c r="BQP16" s="37"/>
      <c r="BQQ16" s="37"/>
      <c r="BQR16" s="37"/>
      <c r="BQS16" s="37"/>
      <c r="BQT16" s="37"/>
      <c r="BQU16" s="37"/>
      <c r="BQV16" s="37"/>
      <c r="BQW16" s="37"/>
      <c r="BQX16" s="37"/>
      <c r="BQY16" s="37"/>
      <c r="BQZ16" s="37"/>
      <c r="BRA16" s="37"/>
      <c r="BRB16" s="37"/>
      <c r="BRC16" s="37"/>
      <c r="BRD16" s="37"/>
      <c r="BRE16" s="37"/>
      <c r="BRF16" s="37"/>
      <c r="BRG16" s="37"/>
      <c r="BRH16" s="37"/>
      <c r="BRI16" s="37"/>
      <c r="BRJ16" s="37"/>
      <c r="BRK16" s="37"/>
      <c r="BRL16" s="37"/>
      <c r="BRM16" s="37"/>
      <c r="BRN16" s="37"/>
      <c r="BRO16" s="37"/>
      <c r="BRP16" s="37"/>
      <c r="BRQ16" s="37"/>
      <c r="BRR16" s="37"/>
      <c r="BRS16" s="37"/>
      <c r="BRT16" s="37"/>
      <c r="BRU16" s="37"/>
      <c r="BRV16" s="37"/>
      <c r="BRW16" s="37"/>
      <c r="BRX16" s="37"/>
      <c r="BRY16" s="37"/>
      <c r="BRZ16" s="37"/>
      <c r="BSA16" s="37"/>
      <c r="BSB16" s="37"/>
      <c r="BSC16" s="37"/>
      <c r="BSD16" s="37"/>
      <c r="BSE16" s="37"/>
      <c r="BSF16" s="37"/>
      <c r="BSG16" s="37"/>
      <c r="BSH16" s="37"/>
      <c r="BSI16" s="37"/>
      <c r="BSJ16" s="37"/>
      <c r="BSK16" s="37"/>
      <c r="BSL16" s="37"/>
      <c r="BSM16" s="37"/>
      <c r="BSN16" s="37"/>
      <c r="BSO16" s="37"/>
      <c r="BSP16" s="37"/>
      <c r="BSQ16" s="37"/>
      <c r="BSR16" s="37"/>
      <c r="BSS16" s="37"/>
      <c r="BST16" s="37"/>
      <c r="BSU16" s="37"/>
      <c r="BSV16" s="37"/>
      <c r="BSW16" s="37"/>
      <c r="BSX16" s="37"/>
      <c r="BSY16" s="37"/>
      <c r="BSZ16" s="37"/>
      <c r="BTA16" s="37"/>
      <c r="BTB16" s="37"/>
      <c r="BTC16" s="37"/>
      <c r="BTD16" s="37"/>
      <c r="BTE16" s="37"/>
      <c r="BTF16" s="37"/>
      <c r="BTG16" s="37"/>
      <c r="BTH16" s="37"/>
      <c r="BTI16" s="37"/>
      <c r="BTJ16" s="37"/>
      <c r="BTK16" s="37"/>
      <c r="BTL16" s="37"/>
      <c r="BTM16" s="37"/>
      <c r="BTN16" s="37"/>
      <c r="BTO16" s="37"/>
      <c r="BTP16" s="37"/>
      <c r="BTQ16" s="37"/>
      <c r="BTR16" s="37"/>
      <c r="BTS16" s="37"/>
      <c r="BTT16" s="37"/>
      <c r="BTU16" s="37"/>
      <c r="BTV16" s="37"/>
      <c r="BTW16" s="37"/>
      <c r="BTX16" s="37"/>
      <c r="BTY16" s="37"/>
      <c r="BTZ16" s="37"/>
      <c r="BUA16" s="37"/>
      <c r="BUB16" s="37"/>
      <c r="BUC16" s="37"/>
      <c r="BUD16" s="37"/>
      <c r="BUE16" s="37"/>
      <c r="BUF16" s="37"/>
      <c r="BUG16" s="37"/>
      <c r="BUH16" s="37"/>
      <c r="BUI16" s="37"/>
      <c r="BUJ16" s="37"/>
      <c r="BUK16" s="37"/>
      <c r="BUL16" s="37"/>
      <c r="BUM16" s="37"/>
      <c r="BUN16" s="37"/>
      <c r="BUO16" s="37"/>
      <c r="BUP16" s="37"/>
      <c r="BUQ16" s="37"/>
      <c r="BUR16" s="37"/>
      <c r="BUS16" s="37"/>
      <c r="BUT16" s="37"/>
      <c r="BUU16" s="37"/>
      <c r="BUV16" s="37"/>
      <c r="BUW16" s="37"/>
      <c r="BUX16" s="37"/>
      <c r="BUY16" s="37"/>
      <c r="BUZ16" s="37"/>
      <c r="BVA16" s="37"/>
      <c r="BVB16" s="37"/>
      <c r="BVC16" s="37"/>
      <c r="BVD16" s="37"/>
      <c r="BVE16" s="37"/>
      <c r="BVF16" s="37"/>
      <c r="BVG16" s="37"/>
      <c r="BVH16" s="37"/>
      <c r="BVI16" s="37"/>
      <c r="BVJ16" s="37"/>
      <c r="BVK16" s="37"/>
      <c r="BVL16" s="37"/>
      <c r="BVM16" s="37"/>
      <c r="BVN16" s="37"/>
      <c r="BVO16" s="37"/>
      <c r="BVP16" s="37"/>
      <c r="BVQ16" s="37"/>
      <c r="BVR16" s="37"/>
      <c r="BVS16" s="37"/>
      <c r="BVT16" s="37"/>
      <c r="BVU16" s="37"/>
      <c r="BVV16" s="37"/>
      <c r="BVW16" s="37"/>
      <c r="BVX16" s="37"/>
      <c r="BVY16" s="37"/>
      <c r="BVZ16" s="37"/>
      <c r="BWA16" s="37"/>
      <c r="BWB16" s="37"/>
      <c r="BWC16" s="37"/>
      <c r="BWD16" s="37"/>
      <c r="BWE16" s="37"/>
      <c r="BWF16" s="37"/>
      <c r="BWG16" s="37"/>
      <c r="BWH16" s="37"/>
      <c r="BWI16" s="37"/>
      <c r="BWJ16" s="37"/>
    </row>
    <row r="17" spans="1:1960" x14ac:dyDescent="0.25">
      <c r="A17" s="38">
        <v>12</v>
      </c>
      <c r="B17" s="39">
        <v>20</v>
      </c>
      <c r="C17" s="40">
        <v>1000</v>
      </c>
      <c r="D17" s="41" t="s">
        <v>23</v>
      </c>
      <c r="E17" s="271">
        <f ca="1"/>
        <v>69</v>
      </c>
      <c r="F17" s="33">
        <v>-100</v>
      </c>
      <c r="G17" s="33">
        <v>1000</v>
      </c>
      <c r="H17" s="43">
        <f ca="1"/>
        <v>-100</v>
      </c>
      <c r="I17" s="33">
        <f ca="1"/>
        <v>44.5</v>
      </c>
      <c r="J17" s="35">
        <v>12</v>
      </c>
      <c r="K17" s="36">
        <v>20</v>
      </c>
      <c r="L17" s="37">
        <v>20</v>
      </c>
      <c r="M17" s="37">
        <v>20</v>
      </c>
      <c r="N17" s="37">
        <v>20</v>
      </c>
      <c r="O17" s="37">
        <v>20</v>
      </c>
      <c r="P17" s="37">
        <v>20</v>
      </c>
      <c r="Q17" s="37">
        <v>20</v>
      </c>
      <c r="R17" s="37">
        <v>20</v>
      </c>
      <c r="S17" s="37">
        <v>20</v>
      </c>
      <c r="T17" s="37">
        <v>20</v>
      </c>
      <c r="U17" s="37">
        <v>20</v>
      </c>
      <c r="V17" s="37">
        <v>20</v>
      </c>
      <c r="W17" s="37">
        <v>20</v>
      </c>
      <c r="X17" s="37">
        <v>20</v>
      </c>
      <c r="Y17" s="37">
        <v>20</v>
      </c>
      <c r="Z17" s="37">
        <v>20</v>
      </c>
      <c r="AA17" s="37">
        <v>20</v>
      </c>
      <c r="AB17" s="37">
        <v>20</v>
      </c>
      <c r="AC17" s="37">
        <v>20</v>
      </c>
      <c r="AD17" s="37">
        <v>20</v>
      </c>
      <c r="AE17" s="37">
        <v>20</v>
      </c>
      <c r="AF17" s="37">
        <v>20</v>
      </c>
      <c r="AG17" s="37">
        <v>20</v>
      </c>
      <c r="AH17" s="37">
        <v>20</v>
      </c>
      <c r="AI17" s="37">
        <v>20</v>
      </c>
      <c r="AJ17" s="37">
        <v>20</v>
      </c>
      <c r="AK17" s="37">
        <v>20</v>
      </c>
      <c r="AL17" s="37">
        <v>20</v>
      </c>
      <c r="AM17" s="37">
        <v>20</v>
      </c>
      <c r="AN17" s="37">
        <v>20</v>
      </c>
      <c r="AO17" s="37">
        <v>20</v>
      </c>
      <c r="AP17" s="37">
        <v>20</v>
      </c>
      <c r="AQ17" s="37">
        <v>20</v>
      </c>
      <c r="AR17" s="37">
        <v>20</v>
      </c>
      <c r="AS17" s="37">
        <v>20</v>
      </c>
      <c r="AT17" s="37">
        <v>20</v>
      </c>
      <c r="AU17" s="37">
        <v>20</v>
      </c>
      <c r="AV17" s="37">
        <v>20</v>
      </c>
      <c r="AW17" s="37">
        <v>20</v>
      </c>
      <c r="AX17" s="37">
        <v>20</v>
      </c>
      <c r="AY17" s="37">
        <v>20</v>
      </c>
      <c r="AZ17" s="37">
        <v>20</v>
      </c>
      <c r="BA17" s="37">
        <v>20</v>
      </c>
      <c r="BB17" s="37">
        <v>20</v>
      </c>
      <c r="BC17" s="37">
        <v>20</v>
      </c>
      <c r="BD17" s="37">
        <v>20</v>
      </c>
      <c r="BE17" s="37">
        <v>20</v>
      </c>
      <c r="BF17" s="37">
        <v>20</v>
      </c>
      <c r="BG17" s="37">
        <v>20</v>
      </c>
      <c r="BH17" s="37">
        <v>20</v>
      </c>
      <c r="BI17" s="37">
        <v>20</v>
      </c>
      <c r="BJ17" s="37">
        <v>20</v>
      </c>
      <c r="BK17" s="37">
        <v>20</v>
      </c>
      <c r="BL17" s="37">
        <v>20</v>
      </c>
      <c r="BM17" s="37">
        <v>20</v>
      </c>
      <c r="BN17" s="37">
        <v>20</v>
      </c>
      <c r="BO17" s="37">
        <v>20</v>
      </c>
      <c r="BP17" s="37">
        <v>20</v>
      </c>
      <c r="BQ17" s="37">
        <v>20</v>
      </c>
      <c r="BR17" s="37">
        <v>20</v>
      </c>
      <c r="BS17" s="37">
        <v>20</v>
      </c>
      <c r="BT17" s="37">
        <v>20</v>
      </c>
      <c r="BU17" s="37">
        <v>20</v>
      </c>
      <c r="BV17" s="37">
        <v>20</v>
      </c>
      <c r="BW17" s="37">
        <v>20</v>
      </c>
      <c r="BX17" s="37">
        <v>20</v>
      </c>
      <c r="BY17" s="37">
        <v>20</v>
      </c>
      <c r="BZ17" s="37">
        <v>20</v>
      </c>
      <c r="CA17" s="37">
        <v>0</v>
      </c>
      <c r="CB17" s="37">
        <v>0</v>
      </c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</row>
    <row r="18" spans="1:1960" x14ac:dyDescent="0.25">
      <c r="A18" s="38">
        <v>13</v>
      </c>
      <c r="B18" s="39">
        <v>20</v>
      </c>
      <c r="C18" s="40">
        <v>1000</v>
      </c>
      <c r="D18" s="41" t="s">
        <v>23</v>
      </c>
      <c r="E18" s="271">
        <f ca="1"/>
        <v>69</v>
      </c>
      <c r="F18" s="33">
        <v>-100</v>
      </c>
      <c r="G18" s="33">
        <v>1000</v>
      </c>
      <c r="H18" s="43">
        <f ca="1"/>
        <v>-100</v>
      </c>
      <c r="I18" s="33">
        <f ca="1"/>
        <v>44.9</v>
      </c>
      <c r="J18" s="35">
        <v>13</v>
      </c>
      <c r="K18" s="36">
        <v>20</v>
      </c>
      <c r="L18" s="37">
        <v>20</v>
      </c>
      <c r="M18" s="37">
        <v>20</v>
      </c>
      <c r="N18" s="37">
        <v>20</v>
      </c>
      <c r="O18" s="37">
        <v>20</v>
      </c>
      <c r="P18" s="37">
        <v>20</v>
      </c>
      <c r="Q18" s="37">
        <v>20</v>
      </c>
      <c r="R18" s="37">
        <v>20</v>
      </c>
      <c r="S18" s="37">
        <v>20</v>
      </c>
      <c r="T18" s="37">
        <v>20</v>
      </c>
      <c r="U18" s="37">
        <v>20</v>
      </c>
      <c r="V18" s="37">
        <v>20</v>
      </c>
      <c r="W18" s="37">
        <v>20</v>
      </c>
      <c r="X18" s="37">
        <v>20</v>
      </c>
      <c r="Y18" s="37">
        <v>20</v>
      </c>
      <c r="Z18" s="37">
        <v>20</v>
      </c>
      <c r="AA18" s="37">
        <v>20</v>
      </c>
      <c r="AB18" s="37">
        <v>20</v>
      </c>
      <c r="AC18" s="37">
        <v>20</v>
      </c>
      <c r="AD18" s="37">
        <v>20</v>
      </c>
      <c r="AE18" s="37">
        <v>20</v>
      </c>
      <c r="AF18" s="37">
        <v>20</v>
      </c>
      <c r="AG18" s="37">
        <v>20</v>
      </c>
      <c r="AH18" s="37">
        <v>20</v>
      </c>
      <c r="AI18" s="37">
        <v>20</v>
      </c>
      <c r="AJ18" s="37">
        <v>20</v>
      </c>
      <c r="AK18" s="37">
        <v>20</v>
      </c>
      <c r="AL18" s="37">
        <v>20</v>
      </c>
      <c r="AM18" s="37">
        <v>20</v>
      </c>
      <c r="AN18" s="37">
        <v>20</v>
      </c>
      <c r="AO18" s="37">
        <v>20</v>
      </c>
      <c r="AP18" s="37">
        <v>20</v>
      </c>
      <c r="AQ18" s="37">
        <v>20</v>
      </c>
      <c r="AR18" s="37">
        <v>20</v>
      </c>
      <c r="AS18" s="37">
        <v>20</v>
      </c>
      <c r="AT18" s="37">
        <v>20</v>
      </c>
      <c r="AU18" s="37">
        <v>20</v>
      </c>
      <c r="AV18" s="37">
        <v>20</v>
      </c>
      <c r="AW18" s="37">
        <v>20</v>
      </c>
      <c r="AX18" s="37">
        <v>20</v>
      </c>
      <c r="AY18" s="37">
        <v>20</v>
      </c>
      <c r="AZ18" s="37">
        <v>20</v>
      </c>
      <c r="BA18" s="37">
        <v>20</v>
      </c>
      <c r="BB18" s="37">
        <v>20</v>
      </c>
      <c r="BC18" s="37">
        <v>20</v>
      </c>
      <c r="BD18" s="37">
        <v>20</v>
      </c>
      <c r="BE18" s="37">
        <v>20</v>
      </c>
      <c r="BF18" s="37">
        <v>20</v>
      </c>
      <c r="BG18" s="37">
        <v>20</v>
      </c>
      <c r="BH18" s="37">
        <v>20</v>
      </c>
      <c r="BI18" s="37">
        <v>20</v>
      </c>
      <c r="BJ18" s="37">
        <v>20</v>
      </c>
      <c r="BK18" s="37">
        <v>20</v>
      </c>
      <c r="BL18" s="37">
        <v>20</v>
      </c>
      <c r="BM18" s="37">
        <v>20</v>
      </c>
      <c r="BN18" s="37">
        <v>20</v>
      </c>
      <c r="BO18" s="37">
        <v>20</v>
      </c>
      <c r="BP18" s="37">
        <v>20</v>
      </c>
      <c r="BQ18" s="37">
        <v>20</v>
      </c>
      <c r="BR18" s="37">
        <v>20</v>
      </c>
      <c r="BS18" s="37">
        <v>20</v>
      </c>
      <c r="BT18" s="37">
        <v>20</v>
      </c>
      <c r="BU18" s="37">
        <v>20</v>
      </c>
      <c r="BV18" s="37">
        <v>20</v>
      </c>
      <c r="BW18" s="37">
        <v>20</v>
      </c>
      <c r="BX18" s="37">
        <v>20</v>
      </c>
      <c r="BY18" s="37">
        <v>20</v>
      </c>
      <c r="BZ18" s="37">
        <v>20</v>
      </c>
      <c r="CA18" s="37">
        <v>0</v>
      </c>
      <c r="CB18" s="37">
        <v>0</v>
      </c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  <c r="AMD18" s="37"/>
      <c r="AME18" s="37"/>
      <c r="AMF18" s="37"/>
      <c r="AMG18" s="37"/>
      <c r="AMH18" s="37"/>
      <c r="AMI18" s="37"/>
      <c r="AMJ18" s="37"/>
      <c r="AMK18" s="37"/>
      <c r="AML18" s="37"/>
      <c r="AMM18" s="37"/>
      <c r="AMN18" s="37"/>
      <c r="AMO18" s="37"/>
      <c r="AMP18" s="37"/>
      <c r="AMQ18" s="37"/>
      <c r="AMR18" s="37"/>
      <c r="AMS18" s="37"/>
      <c r="AMT18" s="37"/>
      <c r="AMU18" s="37"/>
      <c r="AMV18" s="37"/>
      <c r="AMW18" s="37"/>
      <c r="AMX18" s="37"/>
      <c r="AMY18" s="37"/>
      <c r="AMZ18" s="37"/>
      <c r="ANA18" s="37"/>
      <c r="ANB18" s="37"/>
      <c r="ANC18" s="37"/>
      <c r="AND18" s="37"/>
      <c r="ANE18" s="37"/>
      <c r="ANF18" s="37"/>
      <c r="ANG18" s="37"/>
      <c r="ANH18" s="37"/>
      <c r="ANI18" s="37"/>
      <c r="ANJ18" s="37"/>
      <c r="ANK18" s="37"/>
      <c r="ANL18" s="37"/>
      <c r="ANM18" s="37"/>
      <c r="ANN18" s="37"/>
      <c r="ANO18" s="37"/>
      <c r="ANP18" s="37"/>
      <c r="ANQ18" s="37"/>
      <c r="ANR18" s="37"/>
      <c r="ANS18" s="37"/>
      <c r="ANT18" s="37"/>
      <c r="ANU18" s="37"/>
      <c r="ANV18" s="37"/>
      <c r="ANW18" s="37"/>
      <c r="ANX18" s="37"/>
      <c r="ANY18" s="37"/>
      <c r="ANZ18" s="37"/>
      <c r="AOA18" s="37"/>
      <c r="AOB18" s="37"/>
      <c r="AOC18" s="37"/>
      <c r="AOD18" s="37"/>
      <c r="AOE18" s="37"/>
      <c r="AOF18" s="37"/>
      <c r="AOG18" s="37"/>
      <c r="AOH18" s="37"/>
      <c r="AOI18" s="37"/>
      <c r="AOJ18" s="37"/>
      <c r="AOK18" s="37"/>
      <c r="AOL18" s="37"/>
      <c r="AOM18" s="37"/>
      <c r="AON18" s="37"/>
      <c r="AOO18" s="37"/>
      <c r="AOP18" s="37"/>
      <c r="AOQ18" s="37"/>
      <c r="AOR18" s="37"/>
      <c r="AOS18" s="37"/>
      <c r="AOT18" s="37"/>
      <c r="AOU18" s="37"/>
      <c r="AOV18" s="37"/>
      <c r="AOW18" s="37"/>
      <c r="AOX18" s="37"/>
      <c r="AOY18" s="37"/>
      <c r="AOZ18" s="37"/>
      <c r="APA18" s="37"/>
      <c r="APB18" s="37"/>
      <c r="APC18" s="37"/>
      <c r="APD18" s="37"/>
      <c r="APE18" s="37"/>
      <c r="APF18" s="37"/>
      <c r="APG18" s="37"/>
      <c r="APH18" s="37"/>
      <c r="API18" s="37"/>
      <c r="APJ18" s="37"/>
      <c r="APK18" s="37"/>
      <c r="APL18" s="37"/>
      <c r="APM18" s="37"/>
      <c r="APN18" s="37"/>
      <c r="APO18" s="37"/>
      <c r="APP18" s="37"/>
      <c r="APQ18" s="37"/>
      <c r="APR18" s="37"/>
      <c r="APS18" s="37"/>
      <c r="APT18" s="37"/>
      <c r="APU18" s="37"/>
      <c r="APV18" s="37"/>
      <c r="APW18" s="37"/>
      <c r="APX18" s="37"/>
      <c r="APY18" s="37"/>
      <c r="APZ18" s="37"/>
      <c r="AQA18" s="37"/>
      <c r="AQB18" s="37"/>
      <c r="AQC18" s="37"/>
      <c r="AQD18" s="37"/>
      <c r="AQE18" s="37"/>
      <c r="AQF18" s="37"/>
      <c r="AQG18" s="37"/>
      <c r="AQH18" s="37"/>
      <c r="AQI18" s="37"/>
      <c r="AQJ18" s="37"/>
      <c r="AQK18" s="37"/>
      <c r="AQL18" s="37"/>
      <c r="AQM18" s="37"/>
      <c r="AQN18" s="37"/>
      <c r="AQO18" s="37"/>
      <c r="AQP18" s="37"/>
      <c r="AQQ18" s="37"/>
      <c r="AQR18" s="37"/>
      <c r="AQS18" s="37"/>
      <c r="AQT18" s="37"/>
      <c r="AQU18" s="37"/>
      <c r="AQV18" s="37"/>
      <c r="AQW18" s="37"/>
      <c r="AQX18" s="37"/>
      <c r="AQY18" s="37"/>
      <c r="AQZ18" s="37"/>
      <c r="ARA18" s="37"/>
      <c r="ARB18" s="37"/>
      <c r="ARC18" s="37"/>
      <c r="ARD18" s="37"/>
      <c r="ARE18" s="37"/>
      <c r="ARF18" s="37"/>
      <c r="ARG18" s="37"/>
      <c r="ARH18" s="37"/>
      <c r="ARI18" s="37"/>
      <c r="ARJ18" s="37"/>
      <c r="ARK18" s="37"/>
      <c r="ARL18" s="37"/>
      <c r="ARM18" s="37"/>
      <c r="ARN18" s="37"/>
      <c r="ARO18" s="37"/>
      <c r="ARP18" s="37"/>
      <c r="ARQ18" s="37"/>
      <c r="ARR18" s="37"/>
      <c r="ARS18" s="37"/>
      <c r="ART18" s="37"/>
      <c r="ARU18" s="37"/>
      <c r="ARV18" s="37"/>
      <c r="ARW18" s="37"/>
      <c r="ARX18" s="37"/>
      <c r="ARY18" s="37"/>
      <c r="ARZ18" s="37"/>
      <c r="ASA18" s="37"/>
      <c r="ASB18" s="37"/>
      <c r="ASC18" s="37"/>
      <c r="ASD18" s="37"/>
      <c r="ASE18" s="37"/>
      <c r="ASF18" s="37"/>
      <c r="ASG18" s="37"/>
      <c r="ASH18" s="37"/>
      <c r="ASI18" s="37"/>
      <c r="ASJ18" s="37"/>
      <c r="ASK18" s="37"/>
      <c r="ASL18" s="37"/>
      <c r="ASM18" s="37"/>
      <c r="ASN18" s="37"/>
      <c r="ASO18" s="37"/>
      <c r="ASP18" s="37"/>
      <c r="ASQ18" s="37"/>
      <c r="ASR18" s="37"/>
      <c r="ASS18" s="37"/>
      <c r="AST18" s="37"/>
      <c r="ASU18" s="37"/>
      <c r="ASV18" s="37"/>
      <c r="ASW18" s="37"/>
      <c r="ASX18" s="37"/>
      <c r="ASY18" s="37"/>
      <c r="ASZ18" s="37"/>
      <c r="ATA18" s="37"/>
      <c r="ATB18" s="37"/>
      <c r="ATC18" s="37"/>
      <c r="ATD18" s="37"/>
      <c r="ATE18" s="37"/>
      <c r="ATF18" s="37"/>
      <c r="ATG18" s="37"/>
      <c r="ATH18" s="37"/>
      <c r="ATI18" s="37"/>
      <c r="ATJ18" s="37"/>
      <c r="ATK18" s="37"/>
      <c r="ATL18" s="37"/>
      <c r="ATM18" s="37"/>
      <c r="ATN18" s="37"/>
      <c r="ATO18" s="37"/>
      <c r="ATP18" s="37"/>
      <c r="ATQ18" s="37"/>
      <c r="ATR18" s="37"/>
      <c r="ATS18" s="37"/>
      <c r="ATT18" s="37"/>
      <c r="ATU18" s="37"/>
      <c r="ATV18" s="37"/>
      <c r="ATW18" s="37"/>
      <c r="ATX18" s="37"/>
      <c r="ATY18" s="37"/>
      <c r="ATZ18" s="37"/>
      <c r="AUA18" s="37"/>
      <c r="AUB18" s="37"/>
      <c r="AUC18" s="37"/>
      <c r="AUD18" s="37"/>
      <c r="AUE18" s="37"/>
      <c r="AUF18" s="37"/>
      <c r="AUG18" s="37"/>
      <c r="AUH18" s="37"/>
      <c r="AUI18" s="37"/>
      <c r="AUJ18" s="37"/>
      <c r="AUK18" s="37"/>
      <c r="AUL18" s="37"/>
      <c r="AUM18" s="37"/>
      <c r="AUN18" s="37"/>
      <c r="AUO18" s="37"/>
      <c r="AUP18" s="37"/>
      <c r="AUQ18" s="37"/>
      <c r="AUR18" s="37"/>
      <c r="AUS18" s="37"/>
      <c r="AUT18" s="37"/>
      <c r="AUU18" s="37"/>
      <c r="AUV18" s="37"/>
      <c r="AUW18" s="37"/>
      <c r="AUX18" s="37"/>
      <c r="AUY18" s="37"/>
      <c r="AUZ18" s="37"/>
      <c r="AVA18" s="37"/>
      <c r="AVB18" s="37"/>
      <c r="AVC18" s="37"/>
      <c r="AVD18" s="37"/>
      <c r="AVE18" s="37"/>
      <c r="AVF18" s="37"/>
      <c r="AVG18" s="37"/>
      <c r="AVH18" s="37"/>
      <c r="AVI18" s="37"/>
      <c r="AVJ18" s="37"/>
      <c r="AVK18" s="37"/>
      <c r="AVL18" s="37"/>
      <c r="AVM18" s="37"/>
      <c r="AVN18" s="37"/>
      <c r="AVO18" s="37"/>
      <c r="AVP18" s="37"/>
      <c r="AVQ18" s="37"/>
      <c r="AVR18" s="37"/>
      <c r="AVS18" s="37"/>
      <c r="AVT18" s="37"/>
      <c r="AVU18" s="37"/>
      <c r="AVV18" s="37"/>
      <c r="AVW18" s="37"/>
      <c r="AVX18" s="37"/>
      <c r="AVY18" s="37"/>
      <c r="AVZ18" s="37"/>
      <c r="AWA18" s="37"/>
      <c r="AWB18" s="37"/>
      <c r="AWC18" s="37"/>
      <c r="AWD18" s="37"/>
      <c r="AWE18" s="37"/>
      <c r="AWF18" s="37"/>
      <c r="AWG18" s="37"/>
      <c r="AWH18" s="37"/>
      <c r="AWI18" s="37"/>
      <c r="AWJ18" s="37"/>
      <c r="AWK18" s="37"/>
      <c r="AWL18" s="37"/>
      <c r="AWM18" s="37"/>
      <c r="AWN18" s="37"/>
      <c r="AWO18" s="37"/>
      <c r="AWP18" s="37"/>
      <c r="AWQ18" s="37"/>
      <c r="AWR18" s="37"/>
      <c r="AWS18" s="37"/>
      <c r="AWT18" s="37"/>
      <c r="AWU18" s="37"/>
      <c r="AWV18" s="37"/>
      <c r="AWW18" s="37"/>
      <c r="AWX18" s="37"/>
      <c r="AWY18" s="37"/>
      <c r="AWZ18" s="37"/>
      <c r="AXA18" s="37"/>
      <c r="AXB18" s="37"/>
      <c r="AXC18" s="37"/>
      <c r="AXD18" s="37"/>
      <c r="AXE18" s="37"/>
      <c r="AXF18" s="37"/>
      <c r="AXG18" s="37"/>
      <c r="AXH18" s="37"/>
      <c r="AXI18" s="37"/>
      <c r="AXJ18" s="37"/>
      <c r="AXK18" s="37"/>
      <c r="AXL18" s="37"/>
      <c r="AXM18" s="37"/>
      <c r="AXN18" s="37"/>
      <c r="AXO18" s="37"/>
      <c r="AXP18" s="37"/>
      <c r="AXQ18" s="37"/>
      <c r="AXR18" s="37"/>
      <c r="AXS18" s="37"/>
      <c r="AXT18" s="37"/>
      <c r="AXU18" s="37"/>
      <c r="AXV18" s="37"/>
      <c r="AXW18" s="37"/>
      <c r="AXX18" s="37"/>
      <c r="AXY18" s="37"/>
      <c r="AXZ18" s="37"/>
      <c r="AYA18" s="37"/>
      <c r="AYB18" s="37"/>
      <c r="AYC18" s="37"/>
      <c r="AYD18" s="37"/>
      <c r="AYE18" s="37"/>
      <c r="AYF18" s="37"/>
      <c r="AYG18" s="37"/>
      <c r="AYH18" s="37"/>
      <c r="AYI18" s="37"/>
      <c r="AYJ18" s="37"/>
      <c r="AYK18" s="37"/>
      <c r="AYL18" s="37"/>
      <c r="AYM18" s="37"/>
      <c r="AYN18" s="37"/>
      <c r="AYO18" s="37"/>
      <c r="AYP18" s="37"/>
      <c r="AYQ18" s="37"/>
      <c r="AYR18" s="37"/>
      <c r="AYS18" s="37"/>
      <c r="AYT18" s="37"/>
      <c r="AYU18" s="37"/>
      <c r="AYV18" s="37"/>
      <c r="AYW18" s="37"/>
      <c r="AYX18" s="37"/>
      <c r="AYY18" s="37"/>
      <c r="AYZ18" s="37"/>
      <c r="AZA18" s="37"/>
      <c r="AZB18" s="37"/>
      <c r="AZC18" s="37"/>
      <c r="AZD18" s="37"/>
      <c r="AZE18" s="37"/>
      <c r="AZF18" s="37"/>
      <c r="AZG18" s="37"/>
      <c r="AZH18" s="37"/>
      <c r="AZI18" s="37"/>
      <c r="AZJ18" s="37"/>
      <c r="AZK18" s="37"/>
      <c r="AZL18" s="37"/>
      <c r="AZM18" s="37"/>
      <c r="AZN18" s="37"/>
      <c r="AZO18" s="37"/>
      <c r="AZP18" s="37"/>
      <c r="AZQ18" s="37"/>
      <c r="AZR18" s="37"/>
      <c r="AZS18" s="37"/>
      <c r="AZT18" s="37"/>
      <c r="AZU18" s="37"/>
      <c r="AZV18" s="37"/>
      <c r="AZW18" s="37"/>
      <c r="AZX18" s="37"/>
      <c r="AZY18" s="37"/>
      <c r="AZZ18" s="37"/>
      <c r="BAA18" s="37"/>
      <c r="BAB18" s="37"/>
      <c r="BAC18" s="37"/>
      <c r="BAD18" s="37"/>
      <c r="BAE18" s="37"/>
      <c r="BAF18" s="37"/>
      <c r="BAG18" s="37"/>
      <c r="BAH18" s="37"/>
      <c r="BAI18" s="37"/>
      <c r="BAJ18" s="37"/>
      <c r="BAK18" s="37"/>
      <c r="BAL18" s="37"/>
      <c r="BAM18" s="37"/>
      <c r="BAN18" s="37"/>
      <c r="BAO18" s="37"/>
      <c r="BAP18" s="37"/>
      <c r="BAQ18" s="37"/>
      <c r="BAR18" s="37"/>
      <c r="BAS18" s="37"/>
      <c r="BAT18" s="37"/>
      <c r="BAU18" s="37"/>
      <c r="BAV18" s="37"/>
      <c r="BAW18" s="37"/>
      <c r="BAX18" s="37"/>
      <c r="BAY18" s="37"/>
      <c r="BAZ18" s="37"/>
      <c r="BBA18" s="37"/>
      <c r="BBB18" s="37"/>
      <c r="BBC18" s="37"/>
      <c r="BBD18" s="37"/>
      <c r="BBE18" s="37"/>
      <c r="BBF18" s="37"/>
      <c r="BBG18" s="37"/>
      <c r="BBH18" s="37"/>
      <c r="BBI18" s="37"/>
      <c r="BBJ18" s="37"/>
      <c r="BBK18" s="37"/>
      <c r="BBL18" s="37"/>
      <c r="BBM18" s="37"/>
      <c r="BBN18" s="37"/>
      <c r="BBO18" s="37"/>
      <c r="BBP18" s="37"/>
      <c r="BBQ18" s="37"/>
      <c r="BBR18" s="37"/>
      <c r="BBS18" s="37"/>
      <c r="BBT18" s="37"/>
      <c r="BBU18" s="37"/>
      <c r="BBV18" s="37"/>
      <c r="BBW18" s="37"/>
      <c r="BBX18" s="37"/>
      <c r="BBY18" s="37"/>
      <c r="BBZ18" s="37"/>
      <c r="BCA18" s="37"/>
      <c r="BCB18" s="37"/>
      <c r="BCC18" s="37"/>
      <c r="BCD18" s="37"/>
      <c r="BCE18" s="37"/>
      <c r="BCF18" s="37"/>
      <c r="BCG18" s="37"/>
      <c r="BCH18" s="37"/>
      <c r="BCI18" s="37"/>
      <c r="BCJ18" s="37"/>
      <c r="BCK18" s="37"/>
      <c r="BCL18" s="37"/>
      <c r="BCM18" s="37"/>
      <c r="BCN18" s="37"/>
      <c r="BCO18" s="37"/>
      <c r="BCP18" s="37"/>
      <c r="BCQ18" s="37"/>
      <c r="BCR18" s="37"/>
      <c r="BCS18" s="37"/>
      <c r="BCT18" s="37"/>
      <c r="BCU18" s="37"/>
      <c r="BCV18" s="37"/>
      <c r="BCW18" s="37"/>
      <c r="BCX18" s="37"/>
      <c r="BCY18" s="37"/>
      <c r="BCZ18" s="37"/>
      <c r="BDA18" s="37"/>
      <c r="BDB18" s="37"/>
      <c r="BDC18" s="37"/>
      <c r="BDD18" s="37"/>
      <c r="BDE18" s="37"/>
      <c r="BDF18" s="37"/>
      <c r="BDG18" s="37"/>
      <c r="BDH18" s="37"/>
      <c r="BDI18" s="37"/>
      <c r="BDJ18" s="37"/>
      <c r="BDK18" s="37"/>
      <c r="BDL18" s="37"/>
      <c r="BDM18" s="37"/>
      <c r="BDN18" s="37"/>
      <c r="BDO18" s="37"/>
      <c r="BDP18" s="37"/>
      <c r="BDQ18" s="37"/>
      <c r="BDR18" s="37"/>
      <c r="BDS18" s="37"/>
      <c r="BDT18" s="37"/>
      <c r="BDU18" s="37"/>
      <c r="BDV18" s="37"/>
      <c r="BDW18" s="37"/>
      <c r="BDX18" s="37"/>
      <c r="BDY18" s="37"/>
      <c r="BDZ18" s="37"/>
      <c r="BEA18" s="37"/>
      <c r="BEB18" s="37"/>
      <c r="BEC18" s="37"/>
      <c r="BED18" s="37"/>
      <c r="BEE18" s="37"/>
      <c r="BEF18" s="37"/>
      <c r="BEG18" s="37"/>
      <c r="BEH18" s="37"/>
      <c r="BEI18" s="37"/>
      <c r="BEJ18" s="37"/>
      <c r="BEK18" s="37"/>
      <c r="BEL18" s="37"/>
      <c r="BEM18" s="37"/>
      <c r="BEN18" s="37"/>
      <c r="BEO18" s="37"/>
      <c r="BEP18" s="37"/>
      <c r="BEQ18" s="37"/>
      <c r="BER18" s="37"/>
      <c r="BES18" s="37"/>
      <c r="BET18" s="37"/>
      <c r="BEU18" s="37"/>
      <c r="BEV18" s="37"/>
      <c r="BEW18" s="37"/>
      <c r="BEX18" s="37"/>
      <c r="BEY18" s="37"/>
      <c r="BEZ18" s="37"/>
      <c r="BFA18" s="37"/>
      <c r="BFB18" s="37"/>
      <c r="BFC18" s="37"/>
      <c r="BFD18" s="37"/>
      <c r="BFE18" s="37"/>
      <c r="BFF18" s="37"/>
      <c r="BFG18" s="37"/>
      <c r="BFH18" s="37"/>
      <c r="BFI18" s="37"/>
      <c r="BFJ18" s="37"/>
      <c r="BFK18" s="37"/>
      <c r="BFL18" s="37"/>
      <c r="BFM18" s="37"/>
      <c r="BFN18" s="37"/>
      <c r="BFO18" s="37"/>
      <c r="BFP18" s="37"/>
      <c r="BFQ18" s="37"/>
      <c r="BFR18" s="37"/>
      <c r="BFS18" s="37"/>
      <c r="BFT18" s="37"/>
      <c r="BFU18" s="37"/>
      <c r="BFV18" s="37"/>
      <c r="BFW18" s="37"/>
      <c r="BFX18" s="37"/>
      <c r="BFY18" s="37"/>
      <c r="BFZ18" s="37"/>
      <c r="BGA18" s="37"/>
      <c r="BGB18" s="37"/>
      <c r="BGC18" s="37"/>
      <c r="BGD18" s="37"/>
      <c r="BGE18" s="37"/>
      <c r="BGF18" s="37"/>
      <c r="BGG18" s="37"/>
      <c r="BGH18" s="37"/>
      <c r="BGI18" s="37"/>
      <c r="BGJ18" s="37"/>
      <c r="BGK18" s="37"/>
      <c r="BGL18" s="37"/>
      <c r="BGM18" s="37"/>
      <c r="BGN18" s="37"/>
      <c r="BGO18" s="37"/>
      <c r="BGP18" s="37"/>
      <c r="BGQ18" s="37"/>
      <c r="BGR18" s="37"/>
      <c r="BGS18" s="37"/>
      <c r="BGT18" s="37"/>
      <c r="BGU18" s="37"/>
      <c r="BGV18" s="37"/>
      <c r="BGW18" s="37"/>
      <c r="BGX18" s="37"/>
      <c r="BGY18" s="37"/>
      <c r="BGZ18" s="37"/>
      <c r="BHA18" s="37"/>
      <c r="BHB18" s="37"/>
      <c r="BHC18" s="37"/>
      <c r="BHD18" s="37"/>
      <c r="BHE18" s="37"/>
      <c r="BHF18" s="37"/>
      <c r="BHG18" s="37"/>
      <c r="BHH18" s="37"/>
      <c r="BHI18" s="37"/>
      <c r="BHJ18" s="37"/>
      <c r="BHK18" s="37"/>
      <c r="BHL18" s="37"/>
      <c r="BHM18" s="37"/>
      <c r="BHN18" s="37"/>
      <c r="BHO18" s="37"/>
      <c r="BHP18" s="37"/>
      <c r="BHQ18" s="37"/>
      <c r="BHR18" s="37"/>
      <c r="BHS18" s="37"/>
      <c r="BHT18" s="37"/>
      <c r="BHU18" s="37"/>
      <c r="BHV18" s="37"/>
      <c r="BHW18" s="37"/>
      <c r="BHX18" s="37"/>
      <c r="BHY18" s="37"/>
      <c r="BHZ18" s="37"/>
      <c r="BIA18" s="37"/>
      <c r="BIB18" s="37"/>
      <c r="BIC18" s="37"/>
      <c r="BID18" s="37"/>
      <c r="BIE18" s="37"/>
      <c r="BIF18" s="37"/>
      <c r="BIG18" s="37"/>
      <c r="BIH18" s="37"/>
      <c r="BII18" s="37"/>
      <c r="BIJ18" s="37"/>
      <c r="BIK18" s="37"/>
      <c r="BIL18" s="37"/>
      <c r="BIM18" s="37"/>
      <c r="BIN18" s="37"/>
      <c r="BIO18" s="37"/>
      <c r="BIP18" s="37"/>
      <c r="BIQ18" s="37"/>
      <c r="BIR18" s="37"/>
      <c r="BIS18" s="37"/>
      <c r="BIT18" s="37"/>
      <c r="BIU18" s="37"/>
      <c r="BIV18" s="37"/>
      <c r="BIW18" s="37"/>
      <c r="BIX18" s="37"/>
      <c r="BIY18" s="37"/>
      <c r="BIZ18" s="37"/>
      <c r="BJA18" s="37"/>
      <c r="BJB18" s="37"/>
      <c r="BJC18" s="37"/>
      <c r="BJD18" s="37"/>
      <c r="BJE18" s="37"/>
      <c r="BJF18" s="37"/>
      <c r="BJG18" s="37"/>
      <c r="BJH18" s="37"/>
      <c r="BJI18" s="37"/>
      <c r="BJJ18" s="37"/>
      <c r="BJK18" s="37"/>
      <c r="BJL18" s="37"/>
      <c r="BJM18" s="37"/>
      <c r="BJN18" s="37"/>
      <c r="BJO18" s="37"/>
      <c r="BJP18" s="37"/>
      <c r="BJQ18" s="37"/>
      <c r="BJR18" s="37"/>
      <c r="BJS18" s="37"/>
      <c r="BJT18" s="37"/>
      <c r="BJU18" s="37"/>
      <c r="BJV18" s="37"/>
      <c r="BJW18" s="37"/>
      <c r="BJX18" s="37"/>
      <c r="BJY18" s="37"/>
      <c r="BJZ18" s="37"/>
      <c r="BKA18" s="37"/>
      <c r="BKB18" s="37"/>
      <c r="BKC18" s="37"/>
      <c r="BKD18" s="37"/>
      <c r="BKE18" s="37"/>
      <c r="BKF18" s="37"/>
      <c r="BKG18" s="37"/>
      <c r="BKH18" s="37"/>
      <c r="BKI18" s="37"/>
      <c r="BKJ18" s="37"/>
      <c r="BKK18" s="37"/>
      <c r="BKL18" s="37"/>
      <c r="BKM18" s="37"/>
      <c r="BKN18" s="37"/>
      <c r="BKO18" s="37"/>
      <c r="BKP18" s="37"/>
      <c r="BKQ18" s="37"/>
      <c r="BKR18" s="37"/>
      <c r="BKS18" s="37"/>
      <c r="BKT18" s="37"/>
      <c r="BKU18" s="37"/>
      <c r="BKV18" s="37"/>
      <c r="BKW18" s="37"/>
      <c r="BKX18" s="37"/>
      <c r="BKY18" s="37"/>
      <c r="BKZ18" s="37"/>
      <c r="BLA18" s="37"/>
      <c r="BLB18" s="37"/>
      <c r="BLC18" s="37"/>
      <c r="BLD18" s="37"/>
      <c r="BLE18" s="37"/>
      <c r="BLF18" s="37"/>
      <c r="BLG18" s="37"/>
      <c r="BLH18" s="37"/>
      <c r="BLI18" s="37"/>
      <c r="BLJ18" s="37"/>
      <c r="BLK18" s="37"/>
      <c r="BLL18" s="37"/>
      <c r="BLM18" s="37"/>
      <c r="BLN18" s="37"/>
      <c r="BLO18" s="37"/>
      <c r="BLP18" s="37"/>
      <c r="BLQ18" s="37"/>
      <c r="BLR18" s="37"/>
      <c r="BLS18" s="37"/>
      <c r="BLT18" s="37"/>
      <c r="BLU18" s="37"/>
      <c r="BLV18" s="37"/>
      <c r="BLW18" s="37"/>
      <c r="BLX18" s="37"/>
      <c r="BLY18" s="37"/>
      <c r="BLZ18" s="37"/>
      <c r="BMA18" s="37"/>
      <c r="BMB18" s="37"/>
      <c r="BMC18" s="37"/>
      <c r="BMD18" s="37"/>
      <c r="BME18" s="37"/>
      <c r="BMF18" s="37"/>
      <c r="BMG18" s="37"/>
      <c r="BMH18" s="37"/>
      <c r="BMI18" s="37"/>
      <c r="BMJ18" s="37"/>
      <c r="BMK18" s="37"/>
      <c r="BML18" s="37"/>
      <c r="BMM18" s="37"/>
      <c r="BMN18" s="37"/>
      <c r="BMO18" s="37"/>
      <c r="BMP18" s="37"/>
      <c r="BMQ18" s="37"/>
      <c r="BMR18" s="37"/>
      <c r="BMS18" s="37"/>
      <c r="BMT18" s="37"/>
      <c r="BMU18" s="37"/>
      <c r="BMV18" s="37"/>
      <c r="BMW18" s="37"/>
      <c r="BMX18" s="37"/>
      <c r="BMY18" s="37"/>
      <c r="BMZ18" s="37"/>
      <c r="BNA18" s="37"/>
      <c r="BNB18" s="37"/>
      <c r="BNC18" s="37"/>
      <c r="BND18" s="37"/>
      <c r="BNE18" s="37"/>
      <c r="BNF18" s="37"/>
      <c r="BNG18" s="37"/>
      <c r="BNH18" s="37"/>
      <c r="BNI18" s="37"/>
      <c r="BNJ18" s="37"/>
      <c r="BNK18" s="37"/>
      <c r="BNL18" s="37"/>
      <c r="BNM18" s="37"/>
      <c r="BNN18" s="37"/>
      <c r="BNO18" s="37"/>
      <c r="BNP18" s="37"/>
      <c r="BNQ18" s="37"/>
      <c r="BNR18" s="37"/>
      <c r="BNS18" s="37"/>
      <c r="BNT18" s="37"/>
      <c r="BNU18" s="37"/>
      <c r="BNV18" s="37"/>
      <c r="BNW18" s="37"/>
      <c r="BNX18" s="37"/>
      <c r="BNY18" s="37"/>
      <c r="BNZ18" s="37"/>
      <c r="BOA18" s="37"/>
      <c r="BOB18" s="37"/>
      <c r="BOC18" s="37"/>
      <c r="BOD18" s="37"/>
      <c r="BOE18" s="37"/>
      <c r="BOF18" s="37"/>
      <c r="BOG18" s="37"/>
      <c r="BOH18" s="37"/>
      <c r="BOI18" s="37"/>
      <c r="BOJ18" s="37"/>
      <c r="BOK18" s="37"/>
      <c r="BOL18" s="37"/>
      <c r="BOM18" s="37"/>
      <c r="BON18" s="37"/>
      <c r="BOO18" s="37"/>
      <c r="BOP18" s="37"/>
      <c r="BOQ18" s="37"/>
      <c r="BOR18" s="37"/>
      <c r="BOS18" s="37"/>
      <c r="BOT18" s="37"/>
      <c r="BOU18" s="37"/>
      <c r="BOV18" s="37"/>
      <c r="BOW18" s="37"/>
      <c r="BOX18" s="37"/>
      <c r="BOY18" s="37"/>
      <c r="BOZ18" s="37"/>
      <c r="BPA18" s="37"/>
      <c r="BPB18" s="37"/>
      <c r="BPC18" s="37"/>
      <c r="BPD18" s="37"/>
      <c r="BPE18" s="37"/>
      <c r="BPF18" s="37"/>
      <c r="BPG18" s="37"/>
      <c r="BPH18" s="37"/>
      <c r="BPI18" s="37"/>
      <c r="BPJ18" s="37"/>
      <c r="BPK18" s="37"/>
      <c r="BPL18" s="37"/>
      <c r="BPM18" s="37"/>
      <c r="BPN18" s="37"/>
      <c r="BPO18" s="37"/>
      <c r="BPP18" s="37"/>
      <c r="BPQ18" s="37"/>
      <c r="BPR18" s="37"/>
      <c r="BPS18" s="37"/>
      <c r="BPT18" s="37"/>
      <c r="BPU18" s="37"/>
      <c r="BPV18" s="37"/>
      <c r="BPW18" s="37"/>
      <c r="BPX18" s="37"/>
      <c r="BPY18" s="37"/>
      <c r="BPZ18" s="37"/>
      <c r="BQA18" s="37"/>
      <c r="BQB18" s="37"/>
      <c r="BQC18" s="37"/>
      <c r="BQD18" s="37"/>
      <c r="BQE18" s="37"/>
      <c r="BQF18" s="37"/>
      <c r="BQG18" s="37"/>
      <c r="BQH18" s="37"/>
      <c r="BQI18" s="37"/>
      <c r="BQJ18" s="37"/>
      <c r="BQK18" s="37"/>
      <c r="BQL18" s="37"/>
      <c r="BQM18" s="37"/>
      <c r="BQN18" s="37"/>
      <c r="BQO18" s="37"/>
      <c r="BQP18" s="37"/>
      <c r="BQQ18" s="37"/>
      <c r="BQR18" s="37"/>
      <c r="BQS18" s="37"/>
      <c r="BQT18" s="37"/>
      <c r="BQU18" s="37"/>
      <c r="BQV18" s="37"/>
      <c r="BQW18" s="37"/>
      <c r="BQX18" s="37"/>
      <c r="BQY18" s="37"/>
      <c r="BQZ18" s="37"/>
      <c r="BRA18" s="37"/>
      <c r="BRB18" s="37"/>
      <c r="BRC18" s="37"/>
      <c r="BRD18" s="37"/>
      <c r="BRE18" s="37"/>
      <c r="BRF18" s="37"/>
      <c r="BRG18" s="37"/>
      <c r="BRH18" s="37"/>
      <c r="BRI18" s="37"/>
      <c r="BRJ18" s="37"/>
      <c r="BRK18" s="37"/>
      <c r="BRL18" s="37"/>
      <c r="BRM18" s="37"/>
      <c r="BRN18" s="37"/>
      <c r="BRO18" s="37"/>
      <c r="BRP18" s="37"/>
      <c r="BRQ18" s="37"/>
      <c r="BRR18" s="37"/>
      <c r="BRS18" s="37"/>
      <c r="BRT18" s="37"/>
      <c r="BRU18" s="37"/>
      <c r="BRV18" s="37"/>
      <c r="BRW18" s="37"/>
      <c r="BRX18" s="37"/>
      <c r="BRY18" s="37"/>
      <c r="BRZ18" s="37"/>
      <c r="BSA18" s="37"/>
      <c r="BSB18" s="37"/>
      <c r="BSC18" s="37"/>
      <c r="BSD18" s="37"/>
      <c r="BSE18" s="37"/>
      <c r="BSF18" s="37"/>
      <c r="BSG18" s="37"/>
      <c r="BSH18" s="37"/>
      <c r="BSI18" s="37"/>
      <c r="BSJ18" s="37"/>
      <c r="BSK18" s="37"/>
      <c r="BSL18" s="37"/>
      <c r="BSM18" s="37"/>
      <c r="BSN18" s="37"/>
      <c r="BSO18" s="37"/>
      <c r="BSP18" s="37"/>
      <c r="BSQ18" s="37"/>
      <c r="BSR18" s="37"/>
      <c r="BSS18" s="37"/>
      <c r="BST18" s="37"/>
      <c r="BSU18" s="37"/>
      <c r="BSV18" s="37"/>
      <c r="BSW18" s="37"/>
      <c r="BSX18" s="37"/>
      <c r="BSY18" s="37"/>
      <c r="BSZ18" s="37"/>
      <c r="BTA18" s="37"/>
      <c r="BTB18" s="37"/>
      <c r="BTC18" s="37"/>
      <c r="BTD18" s="37"/>
      <c r="BTE18" s="37"/>
      <c r="BTF18" s="37"/>
      <c r="BTG18" s="37"/>
      <c r="BTH18" s="37"/>
      <c r="BTI18" s="37"/>
      <c r="BTJ18" s="37"/>
      <c r="BTK18" s="37"/>
      <c r="BTL18" s="37"/>
      <c r="BTM18" s="37"/>
      <c r="BTN18" s="37"/>
      <c r="BTO18" s="37"/>
      <c r="BTP18" s="37"/>
      <c r="BTQ18" s="37"/>
      <c r="BTR18" s="37"/>
      <c r="BTS18" s="37"/>
      <c r="BTT18" s="37"/>
      <c r="BTU18" s="37"/>
      <c r="BTV18" s="37"/>
      <c r="BTW18" s="37"/>
      <c r="BTX18" s="37"/>
      <c r="BTY18" s="37"/>
      <c r="BTZ18" s="37"/>
      <c r="BUA18" s="37"/>
      <c r="BUB18" s="37"/>
      <c r="BUC18" s="37"/>
      <c r="BUD18" s="37"/>
      <c r="BUE18" s="37"/>
      <c r="BUF18" s="37"/>
      <c r="BUG18" s="37"/>
      <c r="BUH18" s="37"/>
      <c r="BUI18" s="37"/>
      <c r="BUJ18" s="37"/>
      <c r="BUK18" s="37"/>
      <c r="BUL18" s="37"/>
      <c r="BUM18" s="37"/>
      <c r="BUN18" s="37"/>
      <c r="BUO18" s="37"/>
      <c r="BUP18" s="37"/>
      <c r="BUQ18" s="37"/>
      <c r="BUR18" s="37"/>
      <c r="BUS18" s="37"/>
      <c r="BUT18" s="37"/>
      <c r="BUU18" s="37"/>
      <c r="BUV18" s="37"/>
      <c r="BUW18" s="37"/>
      <c r="BUX18" s="37"/>
      <c r="BUY18" s="37"/>
      <c r="BUZ18" s="37"/>
      <c r="BVA18" s="37"/>
      <c r="BVB18" s="37"/>
      <c r="BVC18" s="37"/>
      <c r="BVD18" s="37"/>
      <c r="BVE18" s="37"/>
      <c r="BVF18" s="37"/>
      <c r="BVG18" s="37"/>
      <c r="BVH18" s="37"/>
      <c r="BVI18" s="37"/>
      <c r="BVJ18" s="37"/>
      <c r="BVK18" s="37"/>
      <c r="BVL18" s="37"/>
      <c r="BVM18" s="37"/>
      <c r="BVN18" s="37"/>
      <c r="BVO18" s="37"/>
      <c r="BVP18" s="37"/>
      <c r="BVQ18" s="37"/>
      <c r="BVR18" s="37"/>
      <c r="BVS18" s="37"/>
      <c r="BVT18" s="37"/>
      <c r="BVU18" s="37"/>
      <c r="BVV18" s="37"/>
      <c r="BVW18" s="37"/>
      <c r="BVX18" s="37"/>
      <c r="BVY18" s="37"/>
      <c r="BVZ18" s="37"/>
      <c r="BWA18" s="37"/>
      <c r="BWB18" s="37"/>
      <c r="BWC18" s="37"/>
      <c r="BWD18" s="37"/>
      <c r="BWE18" s="37"/>
      <c r="BWF18" s="37"/>
      <c r="BWG18" s="37"/>
      <c r="BWH18" s="37"/>
      <c r="BWI18" s="37"/>
      <c r="BWJ18" s="37"/>
    </row>
    <row r="19" spans="1:1960" x14ac:dyDescent="0.25">
      <c r="A19" s="38">
        <v>14</v>
      </c>
      <c r="B19" s="39">
        <v>20</v>
      </c>
      <c r="C19" s="40">
        <v>1000</v>
      </c>
      <c r="D19" s="41" t="s">
        <v>23</v>
      </c>
      <c r="E19" s="271">
        <f ca="1"/>
        <v>69</v>
      </c>
      <c r="F19" s="33">
        <v>-100</v>
      </c>
      <c r="G19" s="33">
        <v>1000</v>
      </c>
      <c r="H19" s="43">
        <f ca="1"/>
        <v>-100</v>
      </c>
      <c r="I19" s="33">
        <f ca="1"/>
        <v>45</v>
      </c>
      <c r="J19" s="35">
        <v>14</v>
      </c>
      <c r="K19" s="36">
        <v>20</v>
      </c>
      <c r="L19" s="37">
        <v>20</v>
      </c>
      <c r="M19" s="37">
        <v>20</v>
      </c>
      <c r="N19" s="37">
        <v>20</v>
      </c>
      <c r="O19" s="37">
        <v>20</v>
      </c>
      <c r="P19" s="37">
        <v>20</v>
      </c>
      <c r="Q19" s="37">
        <v>20</v>
      </c>
      <c r="R19" s="37">
        <v>20</v>
      </c>
      <c r="S19" s="37">
        <v>20</v>
      </c>
      <c r="T19" s="37">
        <v>20</v>
      </c>
      <c r="U19" s="37">
        <v>20</v>
      </c>
      <c r="V19" s="37">
        <v>20</v>
      </c>
      <c r="W19" s="37">
        <v>20</v>
      </c>
      <c r="X19" s="37">
        <v>20</v>
      </c>
      <c r="Y19" s="37">
        <v>20</v>
      </c>
      <c r="Z19" s="37">
        <v>20</v>
      </c>
      <c r="AA19" s="37">
        <v>20</v>
      </c>
      <c r="AB19" s="37">
        <v>20</v>
      </c>
      <c r="AC19" s="37">
        <v>20</v>
      </c>
      <c r="AD19" s="37">
        <v>20</v>
      </c>
      <c r="AE19" s="37">
        <v>20</v>
      </c>
      <c r="AF19" s="37">
        <v>20</v>
      </c>
      <c r="AG19" s="37">
        <v>20</v>
      </c>
      <c r="AH19" s="37">
        <v>20</v>
      </c>
      <c r="AI19" s="37">
        <v>20</v>
      </c>
      <c r="AJ19" s="37">
        <v>20</v>
      </c>
      <c r="AK19" s="37">
        <v>20</v>
      </c>
      <c r="AL19" s="37">
        <v>20</v>
      </c>
      <c r="AM19" s="37">
        <v>20</v>
      </c>
      <c r="AN19" s="37">
        <v>20</v>
      </c>
      <c r="AO19" s="37">
        <v>20</v>
      </c>
      <c r="AP19" s="37">
        <v>20</v>
      </c>
      <c r="AQ19" s="37">
        <v>20</v>
      </c>
      <c r="AR19" s="37">
        <v>20</v>
      </c>
      <c r="AS19" s="37">
        <v>20</v>
      </c>
      <c r="AT19" s="37">
        <v>20</v>
      </c>
      <c r="AU19" s="37">
        <v>20</v>
      </c>
      <c r="AV19" s="37">
        <v>20</v>
      </c>
      <c r="AW19" s="37">
        <v>20</v>
      </c>
      <c r="AX19" s="37">
        <v>20</v>
      </c>
      <c r="AY19" s="37">
        <v>20</v>
      </c>
      <c r="AZ19" s="37">
        <v>20</v>
      </c>
      <c r="BA19" s="37">
        <v>20</v>
      </c>
      <c r="BB19" s="37">
        <v>20</v>
      </c>
      <c r="BC19" s="37">
        <v>20</v>
      </c>
      <c r="BD19" s="37">
        <v>20</v>
      </c>
      <c r="BE19" s="37">
        <v>20</v>
      </c>
      <c r="BF19" s="37">
        <v>20</v>
      </c>
      <c r="BG19" s="37">
        <v>20</v>
      </c>
      <c r="BH19" s="37">
        <v>20</v>
      </c>
      <c r="BI19" s="37">
        <v>20</v>
      </c>
      <c r="BJ19" s="37">
        <v>20</v>
      </c>
      <c r="BK19" s="37">
        <v>20</v>
      </c>
      <c r="BL19" s="37">
        <v>20</v>
      </c>
      <c r="BM19" s="37">
        <v>20</v>
      </c>
      <c r="BN19" s="37">
        <v>20</v>
      </c>
      <c r="BO19" s="37">
        <v>20</v>
      </c>
      <c r="BP19" s="37">
        <v>20</v>
      </c>
      <c r="BQ19" s="37">
        <v>20</v>
      </c>
      <c r="BR19" s="37">
        <v>20</v>
      </c>
      <c r="BS19" s="37">
        <v>20</v>
      </c>
      <c r="BT19" s="37">
        <v>20</v>
      </c>
      <c r="BU19" s="37">
        <v>20</v>
      </c>
      <c r="BV19" s="37">
        <v>20</v>
      </c>
      <c r="BW19" s="37">
        <v>20</v>
      </c>
      <c r="BX19" s="37">
        <v>20</v>
      </c>
      <c r="BY19" s="37">
        <v>20</v>
      </c>
      <c r="BZ19" s="37">
        <v>20</v>
      </c>
      <c r="CA19" s="37">
        <v>0</v>
      </c>
      <c r="CB19" s="37">
        <v>0</v>
      </c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  <c r="AMD19" s="37"/>
      <c r="AME19" s="37"/>
      <c r="AMF19" s="37"/>
      <c r="AMG19" s="37"/>
      <c r="AMH19" s="37"/>
      <c r="AMI19" s="37"/>
      <c r="AMJ19" s="37"/>
      <c r="AMK19" s="37"/>
      <c r="AML19" s="37"/>
      <c r="AMM19" s="37"/>
      <c r="AMN19" s="37"/>
      <c r="AMO19" s="37"/>
      <c r="AMP19" s="37"/>
      <c r="AMQ19" s="37"/>
      <c r="AMR19" s="37"/>
      <c r="AMS19" s="37"/>
      <c r="AMT19" s="37"/>
      <c r="AMU19" s="37"/>
      <c r="AMV19" s="37"/>
      <c r="AMW19" s="37"/>
      <c r="AMX19" s="37"/>
      <c r="AMY19" s="37"/>
      <c r="AMZ19" s="37"/>
      <c r="ANA19" s="37"/>
      <c r="ANB19" s="37"/>
      <c r="ANC19" s="37"/>
      <c r="AND19" s="37"/>
      <c r="ANE19" s="37"/>
      <c r="ANF19" s="37"/>
      <c r="ANG19" s="37"/>
      <c r="ANH19" s="37"/>
      <c r="ANI19" s="37"/>
      <c r="ANJ19" s="37"/>
      <c r="ANK19" s="37"/>
      <c r="ANL19" s="37"/>
      <c r="ANM19" s="37"/>
      <c r="ANN19" s="37"/>
      <c r="ANO19" s="37"/>
      <c r="ANP19" s="37"/>
      <c r="ANQ19" s="37"/>
      <c r="ANR19" s="37"/>
      <c r="ANS19" s="37"/>
      <c r="ANT19" s="37"/>
      <c r="ANU19" s="37"/>
      <c r="ANV19" s="37"/>
      <c r="ANW19" s="37"/>
      <c r="ANX19" s="37"/>
      <c r="ANY19" s="37"/>
      <c r="ANZ19" s="37"/>
      <c r="AOA19" s="37"/>
      <c r="AOB19" s="37"/>
      <c r="AOC19" s="37"/>
      <c r="AOD19" s="37"/>
      <c r="AOE19" s="37"/>
      <c r="AOF19" s="37"/>
      <c r="AOG19" s="37"/>
      <c r="AOH19" s="37"/>
      <c r="AOI19" s="37"/>
      <c r="AOJ19" s="37"/>
      <c r="AOK19" s="37"/>
      <c r="AOL19" s="37"/>
      <c r="AOM19" s="37"/>
      <c r="AON19" s="37"/>
      <c r="AOO19" s="37"/>
      <c r="AOP19" s="37"/>
      <c r="AOQ19" s="37"/>
      <c r="AOR19" s="37"/>
      <c r="AOS19" s="37"/>
      <c r="AOT19" s="37"/>
      <c r="AOU19" s="37"/>
      <c r="AOV19" s="37"/>
      <c r="AOW19" s="37"/>
      <c r="AOX19" s="37"/>
      <c r="AOY19" s="37"/>
      <c r="AOZ19" s="37"/>
      <c r="APA19" s="37"/>
      <c r="APB19" s="37"/>
      <c r="APC19" s="37"/>
      <c r="APD19" s="37"/>
      <c r="APE19" s="37"/>
      <c r="APF19" s="37"/>
      <c r="APG19" s="37"/>
      <c r="APH19" s="37"/>
      <c r="API19" s="37"/>
      <c r="APJ19" s="37"/>
      <c r="APK19" s="37"/>
      <c r="APL19" s="37"/>
      <c r="APM19" s="37"/>
      <c r="APN19" s="37"/>
      <c r="APO19" s="37"/>
      <c r="APP19" s="37"/>
      <c r="APQ19" s="37"/>
      <c r="APR19" s="37"/>
      <c r="APS19" s="37"/>
      <c r="APT19" s="37"/>
      <c r="APU19" s="37"/>
      <c r="APV19" s="37"/>
      <c r="APW19" s="37"/>
      <c r="APX19" s="37"/>
      <c r="APY19" s="37"/>
      <c r="APZ19" s="37"/>
      <c r="AQA19" s="37"/>
      <c r="AQB19" s="37"/>
      <c r="AQC19" s="37"/>
      <c r="AQD19" s="37"/>
      <c r="AQE19" s="37"/>
      <c r="AQF19" s="37"/>
      <c r="AQG19" s="37"/>
      <c r="AQH19" s="37"/>
      <c r="AQI19" s="37"/>
      <c r="AQJ19" s="37"/>
      <c r="AQK19" s="37"/>
      <c r="AQL19" s="37"/>
      <c r="AQM19" s="37"/>
      <c r="AQN19" s="37"/>
      <c r="AQO19" s="37"/>
      <c r="AQP19" s="37"/>
      <c r="AQQ19" s="37"/>
      <c r="AQR19" s="37"/>
      <c r="AQS19" s="37"/>
      <c r="AQT19" s="37"/>
      <c r="AQU19" s="37"/>
      <c r="AQV19" s="37"/>
      <c r="AQW19" s="37"/>
      <c r="AQX19" s="37"/>
      <c r="AQY19" s="37"/>
      <c r="AQZ19" s="37"/>
      <c r="ARA19" s="37"/>
      <c r="ARB19" s="37"/>
      <c r="ARC19" s="37"/>
      <c r="ARD19" s="37"/>
      <c r="ARE19" s="37"/>
      <c r="ARF19" s="37"/>
      <c r="ARG19" s="37"/>
      <c r="ARH19" s="37"/>
      <c r="ARI19" s="37"/>
      <c r="ARJ19" s="37"/>
      <c r="ARK19" s="37"/>
      <c r="ARL19" s="37"/>
      <c r="ARM19" s="37"/>
      <c r="ARN19" s="37"/>
      <c r="ARO19" s="37"/>
      <c r="ARP19" s="37"/>
      <c r="ARQ19" s="37"/>
      <c r="ARR19" s="37"/>
      <c r="ARS19" s="37"/>
      <c r="ART19" s="37"/>
      <c r="ARU19" s="37"/>
      <c r="ARV19" s="37"/>
      <c r="ARW19" s="37"/>
      <c r="ARX19" s="37"/>
      <c r="ARY19" s="37"/>
      <c r="ARZ19" s="37"/>
      <c r="ASA19" s="37"/>
      <c r="ASB19" s="37"/>
      <c r="ASC19" s="37"/>
      <c r="ASD19" s="37"/>
      <c r="ASE19" s="37"/>
      <c r="ASF19" s="37"/>
      <c r="ASG19" s="37"/>
      <c r="ASH19" s="37"/>
      <c r="ASI19" s="37"/>
      <c r="ASJ19" s="37"/>
      <c r="ASK19" s="37"/>
      <c r="ASL19" s="37"/>
      <c r="ASM19" s="37"/>
      <c r="ASN19" s="37"/>
      <c r="ASO19" s="37"/>
      <c r="ASP19" s="37"/>
      <c r="ASQ19" s="37"/>
      <c r="ASR19" s="37"/>
      <c r="ASS19" s="37"/>
      <c r="AST19" s="37"/>
      <c r="ASU19" s="37"/>
      <c r="ASV19" s="37"/>
      <c r="ASW19" s="37"/>
      <c r="ASX19" s="37"/>
      <c r="ASY19" s="37"/>
      <c r="ASZ19" s="37"/>
      <c r="ATA19" s="37"/>
      <c r="ATB19" s="37"/>
      <c r="ATC19" s="37"/>
      <c r="ATD19" s="37"/>
      <c r="ATE19" s="37"/>
      <c r="ATF19" s="37"/>
      <c r="ATG19" s="37"/>
      <c r="ATH19" s="37"/>
      <c r="ATI19" s="37"/>
      <c r="ATJ19" s="37"/>
      <c r="ATK19" s="37"/>
      <c r="ATL19" s="37"/>
      <c r="ATM19" s="37"/>
      <c r="ATN19" s="37"/>
      <c r="ATO19" s="37"/>
      <c r="ATP19" s="37"/>
      <c r="ATQ19" s="37"/>
      <c r="ATR19" s="37"/>
      <c r="ATS19" s="37"/>
      <c r="ATT19" s="37"/>
      <c r="ATU19" s="37"/>
      <c r="ATV19" s="37"/>
      <c r="ATW19" s="37"/>
      <c r="ATX19" s="37"/>
      <c r="ATY19" s="37"/>
      <c r="ATZ19" s="37"/>
      <c r="AUA19" s="37"/>
      <c r="AUB19" s="37"/>
      <c r="AUC19" s="37"/>
      <c r="AUD19" s="37"/>
      <c r="AUE19" s="37"/>
      <c r="AUF19" s="37"/>
      <c r="AUG19" s="37"/>
      <c r="AUH19" s="37"/>
      <c r="AUI19" s="37"/>
      <c r="AUJ19" s="37"/>
      <c r="AUK19" s="37"/>
      <c r="AUL19" s="37"/>
      <c r="AUM19" s="37"/>
      <c r="AUN19" s="37"/>
      <c r="AUO19" s="37"/>
      <c r="AUP19" s="37"/>
      <c r="AUQ19" s="37"/>
      <c r="AUR19" s="37"/>
      <c r="AUS19" s="37"/>
      <c r="AUT19" s="37"/>
      <c r="AUU19" s="37"/>
      <c r="AUV19" s="37"/>
      <c r="AUW19" s="37"/>
      <c r="AUX19" s="37"/>
      <c r="AUY19" s="37"/>
      <c r="AUZ19" s="37"/>
      <c r="AVA19" s="37"/>
      <c r="AVB19" s="37"/>
      <c r="AVC19" s="37"/>
      <c r="AVD19" s="37"/>
      <c r="AVE19" s="37"/>
      <c r="AVF19" s="37"/>
      <c r="AVG19" s="37"/>
      <c r="AVH19" s="37"/>
      <c r="AVI19" s="37"/>
      <c r="AVJ19" s="37"/>
      <c r="AVK19" s="37"/>
      <c r="AVL19" s="37"/>
      <c r="AVM19" s="37"/>
      <c r="AVN19" s="37"/>
      <c r="AVO19" s="37"/>
      <c r="AVP19" s="37"/>
      <c r="AVQ19" s="37"/>
      <c r="AVR19" s="37"/>
      <c r="AVS19" s="37"/>
      <c r="AVT19" s="37"/>
      <c r="AVU19" s="37"/>
      <c r="AVV19" s="37"/>
      <c r="AVW19" s="37"/>
      <c r="AVX19" s="37"/>
      <c r="AVY19" s="37"/>
      <c r="AVZ19" s="37"/>
      <c r="AWA19" s="37"/>
      <c r="AWB19" s="37"/>
      <c r="AWC19" s="37"/>
      <c r="AWD19" s="37"/>
      <c r="AWE19" s="37"/>
      <c r="AWF19" s="37"/>
      <c r="AWG19" s="37"/>
      <c r="AWH19" s="37"/>
      <c r="AWI19" s="37"/>
      <c r="AWJ19" s="37"/>
      <c r="AWK19" s="37"/>
      <c r="AWL19" s="37"/>
      <c r="AWM19" s="37"/>
      <c r="AWN19" s="37"/>
      <c r="AWO19" s="37"/>
      <c r="AWP19" s="37"/>
      <c r="AWQ19" s="37"/>
      <c r="AWR19" s="37"/>
      <c r="AWS19" s="37"/>
      <c r="AWT19" s="37"/>
      <c r="AWU19" s="37"/>
      <c r="AWV19" s="37"/>
      <c r="AWW19" s="37"/>
      <c r="AWX19" s="37"/>
      <c r="AWY19" s="37"/>
      <c r="AWZ19" s="37"/>
      <c r="AXA19" s="37"/>
      <c r="AXB19" s="37"/>
      <c r="AXC19" s="37"/>
      <c r="AXD19" s="37"/>
      <c r="AXE19" s="37"/>
      <c r="AXF19" s="37"/>
      <c r="AXG19" s="37"/>
      <c r="AXH19" s="37"/>
      <c r="AXI19" s="37"/>
      <c r="AXJ19" s="37"/>
      <c r="AXK19" s="37"/>
      <c r="AXL19" s="37"/>
      <c r="AXM19" s="37"/>
      <c r="AXN19" s="37"/>
      <c r="AXO19" s="37"/>
      <c r="AXP19" s="37"/>
      <c r="AXQ19" s="37"/>
      <c r="AXR19" s="37"/>
      <c r="AXS19" s="37"/>
      <c r="AXT19" s="37"/>
      <c r="AXU19" s="37"/>
      <c r="AXV19" s="37"/>
      <c r="AXW19" s="37"/>
      <c r="AXX19" s="37"/>
      <c r="AXY19" s="37"/>
      <c r="AXZ19" s="37"/>
      <c r="AYA19" s="37"/>
      <c r="AYB19" s="37"/>
      <c r="AYC19" s="37"/>
      <c r="AYD19" s="37"/>
      <c r="AYE19" s="37"/>
      <c r="AYF19" s="37"/>
      <c r="AYG19" s="37"/>
      <c r="AYH19" s="37"/>
      <c r="AYI19" s="37"/>
      <c r="AYJ19" s="37"/>
      <c r="AYK19" s="37"/>
      <c r="AYL19" s="37"/>
      <c r="AYM19" s="37"/>
      <c r="AYN19" s="37"/>
      <c r="AYO19" s="37"/>
      <c r="AYP19" s="37"/>
      <c r="AYQ19" s="37"/>
      <c r="AYR19" s="37"/>
      <c r="AYS19" s="37"/>
      <c r="AYT19" s="37"/>
      <c r="AYU19" s="37"/>
      <c r="AYV19" s="37"/>
      <c r="AYW19" s="37"/>
      <c r="AYX19" s="37"/>
      <c r="AYY19" s="37"/>
      <c r="AYZ19" s="37"/>
      <c r="AZA19" s="37"/>
      <c r="AZB19" s="37"/>
      <c r="AZC19" s="37"/>
      <c r="AZD19" s="37"/>
      <c r="AZE19" s="37"/>
      <c r="AZF19" s="37"/>
      <c r="AZG19" s="37"/>
      <c r="AZH19" s="37"/>
      <c r="AZI19" s="37"/>
      <c r="AZJ19" s="37"/>
      <c r="AZK19" s="37"/>
      <c r="AZL19" s="37"/>
      <c r="AZM19" s="37"/>
      <c r="AZN19" s="37"/>
      <c r="AZO19" s="37"/>
      <c r="AZP19" s="37"/>
      <c r="AZQ19" s="37"/>
      <c r="AZR19" s="37"/>
      <c r="AZS19" s="37"/>
      <c r="AZT19" s="37"/>
      <c r="AZU19" s="37"/>
      <c r="AZV19" s="37"/>
      <c r="AZW19" s="37"/>
      <c r="AZX19" s="37"/>
      <c r="AZY19" s="37"/>
      <c r="AZZ19" s="37"/>
      <c r="BAA19" s="37"/>
      <c r="BAB19" s="37"/>
      <c r="BAC19" s="37"/>
      <c r="BAD19" s="37"/>
      <c r="BAE19" s="37"/>
      <c r="BAF19" s="37"/>
      <c r="BAG19" s="37"/>
      <c r="BAH19" s="37"/>
      <c r="BAI19" s="37"/>
      <c r="BAJ19" s="37"/>
      <c r="BAK19" s="37"/>
      <c r="BAL19" s="37"/>
      <c r="BAM19" s="37"/>
      <c r="BAN19" s="37"/>
      <c r="BAO19" s="37"/>
      <c r="BAP19" s="37"/>
      <c r="BAQ19" s="37"/>
      <c r="BAR19" s="37"/>
      <c r="BAS19" s="37"/>
      <c r="BAT19" s="37"/>
      <c r="BAU19" s="37"/>
      <c r="BAV19" s="37"/>
      <c r="BAW19" s="37"/>
      <c r="BAX19" s="37"/>
      <c r="BAY19" s="37"/>
      <c r="BAZ19" s="37"/>
      <c r="BBA19" s="37"/>
      <c r="BBB19" s="37"/>
      <c r="BBC19" s="37"/>
      <c r="BBD19" s="37"/>
      <c r="BBE19" s="37"/>
      <c r="BBF19" s="37"/>
      <c r="BBG19" s="37"/>
      <c r="BBH19" s="37"/>
      <c r="BBI19" s="37"/>
      <c r="BBJ19" s="37"/>
      <c r="BBK19" s="37"/>
      <c r="BBL19" s="37"/>
      <c r="BBM19" s="37"/>
      <c r="BBN19" s="37"/>
      <c r="BBO19" s="37"/>
      <c r="BBP19" s="37"/>
      <c r="BBQ19" s="37"/>
      <c r="BBR19" s="37"/>
      <c r="BBS19" s="37"/>
      <c r="BBT19" s="37"/>
      <c r="BBU19" s="37"/>
      <c r="BBV19" s="37"/>
      <c r="BBW19" s="37"/>
      <c r="BBX19" s="37"/>
      <c r="BBY19" s="37"/>
      <c r="BBZ19" s="37"/>
      <c r="BCA19" s="37"/>
      <c r="BCB19" s="37"/>
      <c r="BCC19" s="37"/>
      <c r="BCD19" s="37"/>
      <c r="BCE19" s="37"/>
      <c r="BCF19" s="37"/>
      <c r="BCG19" s="37"/>
      <c r="BCH19" s="37"/>
      <c r="BCI19" s="37"/>
      <c r="BCJ19" s="37"/>
      <c r="BCK19" s="37"/>
      <c r="BCL19" s="37"/>
      <c r="BCM19" s="37"/>
      <c r="BCN19" s="37"/>
      <c r="BCO19" s="37"/>
      <c r="BCP19" s="37"/>
      <c r="BCQ19" s="37"/>
      <c r="BCR19" s="37"/>
      <c r="BCS19" s="37"/>
      <c r="BCT19" s="37"/>
      <c r="BCU19" s="37"/>
      <c r="BCV19" s="37"/>
      <c r="BCW19" s="37"/>
      <c r="BCX19" s="37"/>
      <c r="BCY19" s="37"/>
      <c r="BCZ19" s="37"/>
      <c r="BDA19" s="37"/>
      <c r="BDB19" s="37"/>
      <c r="BDC19" s="37"/>
      <c r="BDD19" s="37"/>
      <c r="BDE19" s="37"/>
      <c r="BDF19" s="37"/>
      <c r="BDG19" s="37"/>
      <c r="BDH19" s="37"/>
      <c r="BDI19" s="37"/>
      <c r="BDJ19" s="37"/>
      <c r="BDK19" s="37"/>
      <c r="BDL19" s="37"/>
      <c r="BDM19" s="37"/>
      <c r="BDN19" s="37"/>
      <c r="BDO19" s="37"/>
      <c r="BDP19" s="37"/>
      <c r="BDQ19" s="37"/>
      <c r="BDR19" s="37"/>
      <c r="BDS19" s="37"/>
      <c r="BDT19" s="37"/>
      <c r="BDU19" s="37"/>
      <c r="BDV19" s="37"/>
      <c r="BDW19" s="37"/>
      <c r="BDX19" s="37"/>
      <c r="BDY19" s="37"/>
      <c r="BDZ19" s="37"/>
      <c r="BEA19" s="37"/>
      <c r="BEB19" s="37"/>
      <c r="BEC19" s="37"/>
      <c r="BED19" s="37"/>
      <c r="BEE19" s="37"/>
      <c r="BEF19" s="37"/>
      <c r="BEG19" s="37"/>
      <c r="BEH19" s="37"/>
      <c r="BEI19" s="37"/>
      <c r="BEJ19" s="37"/>
      <c r="BEK19" s="37"/>
      <c r="BEL19" s="37"/>
      <c r="BEM19" s="37"/>
      <c r="BEN19" s="37"/>
      <c r="BEO19" s="37"/>
      <c r="BEP19" s="37"/>
      <c r="BEQ19" s="37"/>
      <c r="BER19" s="37"/>
      <c r="BES19" s="37"/>
      <c r="BET19" s="37"/>
      <c r="BEU19" s="37"/>
      <c r="BEV19" s="37"/>
      <c r="BEW19" s="37"/>
      <c r="BEX19" s="37"/>
      <c r="BEY19" s="37"/>
      <c r="BEZ19" s="37"/>
      <c r="BFA19" s="37"/>
      <c r="BFB19" s="37"/>
      <c r="BFC19" s="37"/>
      <c r="BFD19" s="37"/>
      <c r="BFE19" s="37"/>
      <c r="BFF19" s="37"/>
      <c r="BFG19" s="37"/>
      <c r="BFH19" s="37"/>
      <c r="BFI19" s="37"/>
      <c r="BFJ19" s="37"/>
      <c r="BFK19" s="37"/>
      <c r="BFL19" s="37"/>
      <c r="BFM19" s="37"/>
      <c r="BFN19" s="37"/>
      <c r="BFO19" s="37"/>
      <c r="BFP19" s="37"/>
      <c r="BFQ19" s="37"/>
      <c r="BFR19" s="37"/>
      <c r="BFS19" s="37"/>
      <c r="BFT19" s="37"/>
      <c r="BFU19" s="37"/>
      <c r="BFV19" s="37"/>
      <c r="BFW19" s="37"/>
      <c r="BFX19" s="37"/>
      <c r="BFY19" s="37"/>
      <c r="BFZ19" s="37"/>
      <c r="BGA19" s="37"/>
      <c r="BGB19" s="37"/>
      <c r="BGC19" s="37"/>
      <c r="BGD19" s="37"/>
      <c r="BGE19" s="37"/>
      <c r="BGF19" s="37"/>
      <c r="BGG19" s="37"/>
      <c r="BGH19" s="37"/>
      <c r="BGI19" s="37"/>
      <c r="BGJ19" s="37"/>
      <c r="BGK19" s="37"/>
      <c r="BGL19" s="37"/>
      <c r="BGM19" s="37"/>
      <c r="BGN19" s="37"/>
      <c r="BGO19" s="37"/>
      <c r="BGP19" s="37"/>
      <c r="BGQ19" s="37"/>
      <c r="BGR19" s="37"/>
      <c r="BGS19" s="37"/>
      <c r="BGT19" s="37"/>
      <c r="BGU19" s="37"/>
      <c r="BGV19" s="37"/>
      <c r="BGW19" s="37"/>
      <c r="BGX19" s="37"/>
      <c r="BGY19" s="37"/>
      <c r="BGZ19" s="37"/>
      <c r="BHA19" s="37"/>
      <c r="BHB19" s="37"/>
      <c r="BHC19" s="37"/>
      <c r="BHD19" s="37"/>
      <c r="BHE19" s="37"/>
      <c r="BHF19" s="37"/>
      <c r="BHG19" s="37"/>
      <c r="BHH19" s="37"/>
      <c r="BHI19" s="37"/>
      <c r="BHJ19" s="37"/>
      <c r="BHK19" s="37"/>
      <c r="BHL19" s="37"/>
      <c r="BHM19" s="37"/>
      <c r="BHN19" s="37"/>
      <c r="BHO19" s="37"/>
      <c r="BHP19" s="37"/>
      <c r="BHQ19" s="37"/>
      <c r="BHR19" s="37"/>
      <c r="BHS19" s="37"/>
      <c r="BHT19" s="37"/>
      <c r="BHU19" s="37"/>
      <c r="BHV19" s="37"/>
      <c r="BHW19" s="37"/>
      <c r="BHX19" s="37"/>
      <c r="BHY19" s="37"/>
      <c r="BHZ19" s="37"/>
      <c r="BIA19" s="37"/>
      <c r="BIB19" s="37"/>
      <c r="BIC19" s="37"/>
      <c r="BID19" s="37"/>
      <c r="BIE19" s="37"/>
      <c r="BIF19" s="37"/>
      <c r="BIG19" s="37"/>
      <c r="BIH19" s="37"/>
      <c r="BII19" s="37"/>
      <c r="BIJ19" s="37"/>
      <c r="BIK19" s="37"/>
      <c r="BIL19" s="37"/>
      <c r="BIM19" s="37"/>
      <c r="BIN19" s="37"/>
      <c r="BIO19" s="37"/>
      <c r="BIP19" s="37"/>
      <c r="BIQ19" s="37"/>
      <c r="BIR19" s="37"/>
      <c r="BIS19" s="37"/>
      <c r="BIT19" s="37"/>
      <c r="BIU19" s="37"/>
      <c r="BIV19" s="37"/>
      <c r="BIW19" s="37"/>
      <c r="BIX19" s="37"/>
      <c r="BIY19" s="37"/>
      <c r="BIZ19" s="37"/>
      <c r="BJA19" s="37"/>
      <c r="BJB19" s="37"/>
      <c r="BJC19" s="37"/>
      <c r="BJD19" s="37"/>
      <c r="BJE19" s="37"/>
      <c r="BJF19" s="37"/>
      <c r="BJG19" s="37"/>
      <c r="BJH19" s="37"/>
      <c r="BJI19" s="37"/>
      <c r="BJJ19" s="37"/>
      <c r="BJK19" s="37"/>
      <c r="BJL19" s="37"/>
      <c r="BJM19" s="37"/>
      <c r="BJN19" s="37"/>
      <c r="BJO19" s="37"/>
      <c r="BJP19" s="37"/>
      <c r="BJQ19" s="37"/>
      <c r="BJR19" s="37"/>
      <c r="BJS19" s="37"/>
      <c r="BJT19" s="37"/>
      <c r="BJU19" s="37"/>
      <c r="BJV19" s="37"/>
      <c r="BJW19" s="37"/>
      <c r="BJX19" s="37"/>
      <c r="BJY19" s="37"/>
      <c r="BJZ19" s="37"/>
      <c r="BKA19" s="37"/>
      <c r="BKB19" s="37"/>
      <c r="BKC19" s="37"/>
      <c r="BKD19" s="37"/>
      <c r="BKE19" s="37"/>
      <c r="BKF19" s="37"/>
      <c r="BKG19" s="37"/>
      <c r="BKH19" s="37"/>
      <c r="BKI19" s="37"/>
      <c r="BKJ19" s="37"/>
      <c r="BKK19" s="37"/>
      <c r="BKL19" s="37"/>
      <c r="BKM19" s="37"/>
      <c r="BKN19" s="37"/>
      <c r="BKO19" s="37"/>
      <c r="BKP19" s="37"/>
      <c r="BKQ19" s="37"/>
      <c r="BKR19" s="37"/>
      <c r="BKS19" s="37"/>
      <c r="BKT19" s="37"/>
      <c r="BKU19" s="37"/>
      <c r="BKV19" s="37"/>
      <c r="BKW19" s="37"/>
      <c r="BKX19" s="37"/>
      <c r="BKY19" s="37"/>
      <c r="BKZ19" s="37"/>
      <c r="BLA19" s="37"/>
      <c r="BLB19" s="37"/>
      <c r="BLC19" s="37"/>
      <c r="BLD19" s="37"/>
      <c r="BLE19" s="37"/>
      <c r="BLF19" s="37"/>
      <c r="BLG19" s="37"/>
      <c r="BLH19" s="37"/>
      <c r="BLI19" s="37"/>
      <c r="BLJ19" s="37"/>
      <c r="BLK19" s="37"/>
      <c r="BLL19" s="37"/>
      <c r="BLM19" s="37"/>
      <c r="BLN19" s="37"/>
      <c r="BLO19" s="37"/>
      <c r="BLP19" s="37"/>
      <c r="BLQ19" s="37"/>
      <c r="BLR19" s="37"/>
      <c r="BLS19" s="37"/>
      <c r="BLT19" s="37"/>
      <c r="BLU19" s="37"/>
      <c r="BLV19" s="37"/>
      <c r="BLW19" s="37"/>
      <c r="BLX19" s="37"/>
      <c r="BLY19" s="37"/>
      <c r="BLZ19" s="37"/>
      <c r="BMA19" s="37"/>
      <c r="BMB19" s="37"/>
      <c r="BMC19" s="37"/>
      <c r="BMD19" s="37"/>
      <c r="BME19" s="37"/>
      <c r="BMF19" s="37"/>
      <c r="BMG19" s="37"/>
      <c r="BMH19" s="37"/>
      <c r="BMI19" s="37"/>
      <c r="BMJ19" s="37"/>
      <c r="BMK19" s="37"/>
      <c r="BML19" s="37"/>
      <c r="BMM19" s="37"/>
      <c r="BMN19" s="37"/>
      <c r="BMO19" s="37"/>
      <c r="BMP19" s="37"/>
      <c r="BMQ19" s="37"/>
      <c r="BMR19" s="37"/>
      <c r="BMS19" s="37"/>
      <c r="BMT19" s="37"/>
      <c r="BMU19" s="37"/>
      <c r="BMV19" s="37"/>
      <c r="BMW19" s="37"/>
      <c r="BMX19" s="37"/>
      <c r="BMY19" s="37"/>
      <c r="BMZ19" s="37"/>
      <c r="BNA19" s="37"/>
      <c r="BNB19" s="37"/>
      <c r="BNC19" s="37"/>
      <c r="BND19" s="37"/>
      <c r="BNE19" s="37"/>
      <c r="BNF19" s="37"/>
      <c r="BNG19" s="37"/>
      <c r="BNH19" s="37"/>
      <c r="BNI19" s="37"/>
      <c r="BNJ19" s="37"/>
      <c r="BNK19" s="37"/>
      <c r="BNL19" s="37"/>
      <c r="BNM19" s="37"/>
      <c r="BNN19" s="37"/>
      <c r="BNO19" s="37"/>
      <c r="BNP19" s="37"/>
      <c r="BNQ19" s="37"/>
      <c r="BNR19" s="37"/>
      <c r="BNS19" s="37"/>
      <c r="BNT19" s="37"/>
      <c r="BNU19" s="37"/>
      <c r="BNV19" s="37"/>
      <c r="BNW19" s="37"/>
      <c r="BNX19" s="37"/>
      <c r="BNY19" s="37"/>
      <c r="BNZ19" s="37"/>
      <c r="BOA19" s="37"/>
      <c r="BOB19" s="37"/>
      <c r="BOC19" s="37"/>
      <c r="BOD19" s="37"/>
      <c r="BOE19" s="37"/>
      <c r="BOF19" s="37"/>
      <c r="BOG19" s="37"/>
      <c r="BOH19" s="37"/>
      <c r="BOI19" s="37"/>
      <c r="BOJ19" s="37"/>
      <c r="BOK19" s="37"/>
      <c r="BOL19" s="37"/>
      <c r="BOM19" s="37"/>
      <c r="BON19" s="37"/>
      <c r="BOO19" s="37"/>
      <c r="BOP19" s="37"/>
      <c r="BOQ19" s="37"/>
      <c r="BOR19" s="37"/>
      <c r="BOS19" s="37"/>
      <c r="BOT19" s="37"/>
      <c r="BOU19" s="37"/>
      <c r="BOV19" s="37"/>
      <c r="BOW19" s="37"/>
      <c r="BOX19" s="37"/>
      <c r="BOY19" s="37"/>
      <c r="BOZ19" s="37"/>
      <c r="BPA19" s="37"/>
      <c r="BPB19" s="37"/>
      <c r="BPC19" s="37"/>
      <c r="BPD19" s="37"/>
      <c r="BPE19" s="37"/>
      <c r="BPF19" s="37"/>
      <c r="BPG19" s="37"/>
      <c r="BPH19" s="37"/>
      <c r="BPI19" s="37"/>
      <c r="BPJ19" s="37"/>
      <c r="BPK19" s="37"/>
      <c r="BPL19" s="37"/>
      <c r="BPM19" s="37"/>
      <c r="BPN19" s="37"/>
      <c r="BPO19" s="37"/>
      <c r="BPP19" s="37"/>
      <c r="BPQ19" s="37"/>
      <c r="BPR19" s="37"/>
      <c r="BPS19" s="37"/>
      <c r="BPT19" s="37"/>
      <c r="BPU19" s="37"/>
      <c r="BPV19" s="37"/>
      <c r="BPW19" s="37"/>
      <c r="BPX19" s="37"/>
      <c r="BPY19" s="37"/>
      <c r="BPZ19" s="37"/>
      <c r="BQA19" s="37"/>
      <c r="BQB19" s="37"/>
      <c r="BQC19" s="37"/>
      <c r="BQD19" s="37"/>
      <c r="BQE19" s="37"/>
      <c r="BQF19" s="37"/>
      <c r="BQG19" s="37"/>
      <c r="BQH19" s="37"/>
      <c r="BQI19" s="37"/>
      <c r="BQJ19" s="37"/>
      <c r="BQK19" s="37"/>
      <c r="BQL19" s="37"/>
      <c r="BQM19" s="37"/>
      <c r="BQN19" s="37"/>
      <c r="BQO19" s="37"/>
      <c r="BQP19" s="37"/>
      <c r="BQQ19" s="37"/>
      <c r="BQR19" s="37"/>
      <c r="BQS19" s="37"/>
      <c r="BQT19" s="37"/>
      <c r="BQU19" s="37"/>
      <c r="BQV19" s="37"/>
      <c r="BQW19" s="37"/>
      <c r="BQX19" s="37"/>
      <c r="BQY19" s="37"/>
      <c r="BQZ19" s="37"/>
      <c r="BRA19" s="37"/>
      <c r="BRB19" s="37"/>
      <c r="BRC19" s="37"/>
      <c r="BRD19" s="37"/>
      <c r="BRE19" s="37"/>
      <c r="BRF19" s="37"/>
      <c r="BRG19" s="37"/>
      <c r="BRH19" s="37"/>
      <c r="BRI19" s="37"/>
      <c r="BRJ19" s="37"/>
      <c r="BRK19" s="37"/>
      <c r="BRL19" s="37"/>
      <c r="BRM19" s="37"/>
      <c r="BRN19" s="37"/>
      <c r="BRO19" s="37"/>
      <c r="BRP19" s="37"/>
      <c r="BRQ19" s="37"/>
      <c r="BRR19" s="37"/>
      <c r="BRS19" s="37"/>
      <c r="BRT19" s="37"/>
      <c r="BRU19" s="37"/>
      <c r="BRV19" s="37"/>
      <c r="BRW19" s="37"/>
      <c r="BRX19" s="37"/>
      <c r="BRY19" s="37"/>
      <c r="BRZ19" s="37"/>
      <c r="BSA19" s="37"/>
      <c r="BSB19" s="37"/>
      <c r="BSC19" s="37"/>
      <c r="BSD19" s="37"/>
      <c r="BSE19" s="37"/>
      <c r="BSF19" s="37"/>
      <c r="BSG19" s="37"/>
      <c r="BSH19" s="37"/>
      <c r="BSI19" s="37"/>
      <c r="BSJ19" s="37"/>
      <c r="BSK19" s="37"/>
      <c r="BSL19" s="37"/>
      <c r="BSM19" s="37"/>
      <c r="BSN19" s="37"/>
      <c r="BSO19" s="37"/>
      <c r="BSP19" s="37"/>
      <c r="BSQ19" s="37"/>
      <c r="BSR19" s="37"/>
      <c r="BSS19" s="37"/>
      <c r="BST19" s="37"/>
      <c r="BSU19" s="37"/>
      <c r="BSV19" s="37"/>
      <c r="BSW19" s="37"/>
      <c r="BSX19" s="37"/>
      <c r="BSY19" s="37"/>
      <c r="BSZ19" s="37"/>
      <c r="BTA19" s="37"/>
      <c r="BTB19" s="37"/>
      <c r="BTC19" s="37"/>
      <c r="BTD19" s="37"/>
      <c r="BTE19" s="37"/>
      <c r="BTF19" s="37"/>
      <c r="BTG19" s="37"/>
      <c r="BTH19" s="37"/>
      <c r="BTI19" s="37"/>
      <c r="BTJ19" s="37"/>
      <c r="BTK19" s="37"/>
      <c r="BTL19" s="37"/>
      <c r="BTM19" s="37"/>
      <c r="BTN19" s="37"/>
      <c r="BTO19" s="37"/>
      <c r="BTP19" s="37"/>
      <c r="BTQ19" s="37"/>
      <c r="BTR19" s="37"/>
      <c r="BTS19" s="37"/>
      <c r="BTT19" s="37"/>
      <c r="BTU19" s="37"/>
      <c r="BTV19" s="37"/>
      <c r="BTW19" s="37"/>
      <c r="BTX19" s="37"/>
      <c r="BTY19" s="37"/>
      <c r="BTZ19" s="37"/>
      <c r="BUA19" s="37"/>
      <c r="BUB19" s="37"/>
      <c r="BUC19" s="37"/>
      <c r="BUD19" s="37"/>
      <c r="BUE19" s="37"/>
      <c r="BUF19" s="37"/>
      <c r="BUG19" s="37"/>
      <c r="BUH19" s="37"/>
      <c r="BUI19" s="37"/>
      <c r="BUJ19" s="37"/>
      <c r="BUK19" s="37"/>
      <c r="BUL19" s="37"/>
      <c r="BUM19" s="37"/>
      <c r="BUN19" s="37"/>
      <c r="BUO19" s="37"/>
      <c r="BUP19" s="37"/>
      <c r="BUQ19" s="37"/>
      <c r="BUR19" s="37"/>
      <c r="BUS19" s="37"/>
      <c r="BUT19" s="37"/>
      <c r="BUU19" s="37"/>
      <c r="BUV19" s="37"/>
      <c r="BUW19" s="37"/>
      <c r="BUX19" s="37"/>
      <c r="BUY19" s="37"/>
      <c r="BUZ19" s="37"/>
      <c r="BVA19" s="37"/>
      <c r="BVB19" s="37"/>
      <c r="BVC19" s="37"/>
      <c r="BVD19" s="37"/>
      <c r="BVE19" s="37"/>
      <c r="BVF19" s="37"/>
      <c r="BVG19" s="37"/>
      <c r="BVH19" s="37"/>
      <c r="BVI19" s="37"/>
      <c r="BVJ19" s="37"/>
      <c r="BVK19" s="37"/>
      <c r="BVL19" s="37"/>
      <c r="BVM19" s="37"/>
      <c r="BVN19" s="37"/>
      <c r="BVO19" s="37"/>
      <c r="BVP19" s="37"/>
      <c r="BVQ19" s="37"/>
      <c r="BVR19" s="37"/>
      <c r="BVS19" s="37"/>
      <c r="BVT19" s="37"/>
      <c r="BVU19" s="37"/>
      <c r="BVV19" s="37"/>
      <c r="BVW19" s="37"/>
      <c r="BVX19" s="37"/>
      <c r="BVY19" s="37"/>
      <c r="BVZ19" s="37"/>
      <c r="BWA19" s="37"/>
      <c r="BWB19" s="37"/>
      <c r="BWC19" s="37"/>
      <c r="BWD19" s="37"/>
      <c r="BWE19" s="37"/>
      <c r="BWF19" s="37"/>
      <c r="BWG19" s="37"/>
      <c r="BWH19" s="37"/>
      <c r="BWI19" s="37"/>
      <c r="BWJ19" s="37"/>
    </row>
    <row r="20" spans="1:1960" x14ac:dyDescent="0.25">
      <c r="A20" s="38">
        <v>15</v>
      </c>
      <c r="B20" s="39">
        <v>20</v>
      </c>
      <c r="C20" s="40">
        <v>1000</v>
      </c>
      <c r="D20" s="41" t="s">
        <v>23</v>
      </c>
      <c r="E20" s="271">
        <f ca="1"/>
        <v>69</v>
      </c>
      <c r="F20" s="33">
        <v>-100</v>
      </c>
      <c r="G20" s="33">
        <v>1000</v>
      </c>
      <c r="H20" s="43">
        <f ca="1"/>
        <v>-100</v>
      </c>
      <c r="I20" s="33">
        <f ca="1"/>
        <v>45.4</v>
      </c>
      <c r="J20" s="35">
        <v>15</v>
      </c>
      <c r="K20" s="36">
        <v>20</v>
      </c>
      <c r="L20" s="37">
        <v>20</v>
      </c>
      <c r="M20" s="37">
        <v>20</v>
      </c>
      <c r="N20" s="37">
        <v>20</v>
      </c>
      <c r="O20" s="37">
        <v>20</v>
      </c>
      <c r="P20" s="37">
        <v>20</v>
      </c>
      <c r="Q20" s="37">
        <v>20</v>
      </c>
      <c r="R20" s="37">
        <v>20</v>
      </c>
      <c r="S20" s="37">
        <v>20</v>
      </c>
      <c r="T20" s="37">
        <v>20</v>
      </c>
      <c r="U20" s="37">
        <v>20</v>
      </c>
      <c r="V20" s="37">
        <v>20</v>
      </c>
      <c r="W20" s="37">
        <v>20</v>
      </c>
      <c r="X20" s="37">
        <v>20</v>
      </c>
      <c r="Y20" s="37">
        <v>20</v>
      </c>
      <c r="Z20" s="37">
        <v>20</v>
      </c>
      <c r="AA20" s="37">
        <v>20</v>
      </c>
      <c r="AB20" s="37">
        <v>20</v>
      </c>
      <c r="AC20" s="37">
        <v>20</v>
      </c>
      <c r="AD20" s="37">
        <v>20</v>
      </c>
      <c r="AE20" s="37">
        <v>20</v>
      </c>
      <c r="AF20" s="37">
        <v>20</v>
      </c>
      <c r="AG20" s="37">
        <v>20</v>
      </c>
      <c r="AH20" s="37">
        <v>20</v>
      </c>
      <c r="AI20" s="37">
        <v>20</v>
      </c>
      <c r="AJ20" s="37">
        <v>20</v>
      </c>
      <c r="AK20" s="37">
        <v>20</v>
      </c>
      <c r="AL20" s="37">
        <v>20</v>
      </c>
      <c r="AM20" s="37">
        <v>20</v>
      </c>
      <c r="AN20" s="37">
        <v>20</v>
      </c>
      <c r="AO20" s="37">
        <v>20</v>
      </c>
      <c r="AP20" s="37">
        <v>20</v>
      </c>
      <c r="AQ20" s="37">
        <v>20</v>
      </c>
      <c r="AR20" s="37">
        <v>20</v>
      </c>
      <c r="AS20" s="37">
        <v>20</v>
      </c>
      <c r="AT20" s="37">
        <v>20</v>
      </c>
      <c r="AU20" s="37">
        <v>20</v>
      </c>
      <c r="AV20" s="37">
        <v>20</v>
      </c>
      <c r="AW20" s="37">
        <v>20</v>
      </c>
      <c r="AX20" s="37">
        <v>20</v>
      </c>
      <c r="AY20" s="37">
        <v>20</v>
      </c>
      <c r="AZ20" s="37">
        <v>20</v>
      </c>
      <c r="BA20" s="37">
        <v>20</v>
      </c>
      <c r="BB20" s="37">
        <v>20</v>
      </c>
      <c r="BC20" s="37">
        <v>20</v>
      </c>
      <c r="BD20" s="37">
        <v>20</v>
      </c>
      <c r="BE20" s="37">
        <v>20</v>
      </c>
      <c r="BF20" s="37">
        <v>20</v>
      </c>
      <c r="BG20" s="37">
        <v>20</v>
      </c>
      <c r="BH20" s="37">
        <v>20</v>
      </c>
      <c r="BI20" s="37">
        <v>20</v>
      </c>
      <c r="BJ20" s="37">
        <v>20</v>
      </c>
      <c r="BK20" s="37">
        <v>20</v>
      </c>
      <c r="BL20" s="37">
        <v>20</v>
      </c>
      <c r="BM20" s="37">
        <v>20</v>
      </c>
      <c r="BN20" s="37">
        <v>20</v>
      </c>
      <c r="BO20" s="37">
        <v>20</v>
      </c>
      <c r="BP20" s="37">
        <v>20</v>
      </c>
      <c r="BQ20" s="37">
        <v>20</v>
      </c>
      <c r="BR20" s="37">
        <v>20</v>
      </c>
      <c r="BS20" s="37">
        <v>20</v>
      </c>
      <c r="BT20" s="37">
        <v>20</v>
      </c>
      <c r="BU20" s="37">
        <v>20</v>
      </c>
      <c r="BV20" s="37">
        <v>20</v>
      </c>
      <c r="BW20" s="37">
        <v>20</v>
      </c>
      <c r="BX20" s="37">
        <v>20</v>
      </c>
      <c r="BY20" s="37">
        <v>20</v>
      </c>
      <c r="BZ20" s="37">
        <v>20</v>
      </c>
      <c r="CA20" s="37">
        <v>0</v>
      </c>
      <c r="CB20" s="37">
        <v>0</v>
      </c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  <c r="AMD20" s="37"/>
      <c r="AME20" s="37"/>
      <c r="AMF20" s="37"/>
      <c r="AMG20" s="37"/>
      <c r="AMH20" s="37"/>
      <c r="AMI20" s="37"/>
      <c r="AMJ20" s="37"/>
      <c r="AMK20" s="37"/>
      <c r="AML20" s="37"/>
      <c r="AMM20" s="37"/>
      <c r="AMN20" s="37"/>
      <c r="AMO20" s="37"/>
      <c r="AMP20" s="37"/>
      <c r="AMQ20" s="37"/>
      <c r="AMR20" s="37"/>
      <c r="AMS20" s="37"/>
      <c r="AMT20" s="37"/>
      <c r="AMU20" s="37"/>
      <c r="AMV20" s="37"/>
      <c r="AMW20" s="37"/>
      <c r="AMX20" s="37"/>
      <c r="AMY20" s="37"/>
      <c r="AMZ20" s="37"/>
      <c r="ANA20" s="37"/>
      <c r="ANB20" s="37"/>
      <c r="ANC20" s="37"/>
      <c r="AND20" s="37"/>
      <c r="ANE20" s="37"/>
      <c r="ANF20" s="37"/>
      <c r="ANG20" s="37"/>
      <c r="ANH20" s="37"/>
      <c r="ANI20" s="37"/>
      <c r="ANJ20" s="37"/>
      <c r="ANK20" s="37"/>
      <c r="ANL20" s="37"/>
      <c r="ANM20" s="37"/>
      <c r="ANN20" s="37"/>
      <c r="ANO20" s="37"/>
      <c r="ANP20" s="37"/>
      <c r="ANQ20" s="37"/>
      <c r="ANR20" s="37"/>
      <c r="ANS20" s="37"/>
      <c r="ANT20" s="37"/>
      <c r="ANU20" s="37"/>
      <c r="ANV20" s="37"/>
      <c r="ANW20" s="37"/>
      <c r="ANX20" s="37"/>
      <c r="ANY20" s="37"/>
      <c r="ANZ20" s="37"/>
      <c r="AOA20" s="37"/>
      <c r="AOB20" s="37"/>
      <c r="AOC20" s="37"/>
      <c r="AOD20" s="37"/>
      <c r="AOE20" s="37"/>
      <c r="AOF20" s="37"/>
      <c r="AOG20" s="37"/>
      <c r="AOH20" s="37"/>
      <c r="AOI20" s="37"/>
      <c r="AOJ20" s="37"/>
      <c r="AOK20" s="37"/>
      <c r="AOL20" s="37"/>
      <c r="AOM20" s="37"/>
      <c r="AON20" s="37"/>
      <c r="AOO20" s="37"/>
      <c r="AOP20" s="37"/>
      <c r="AOQ20" s="37"/>
      <c r="AOR20" s="37"/>
      <c r="AOS20" s="37"/>
      <c r="AOT20" s="37"/>
      <c r="AOU20" s="37"/>
      <c r="AOV20" s="37"/>
      <c r="AOW20" s="37"/>
      <c r="AOX20" s="37"/>
      <c r="AOY20" s="37"/>
      <c r="AOZ20" s="37"/>
      <c r="APA20" s="37"/>
      <c r="APB20" s="37"/>
      <c r="APC20" s="37"/>
      <c r="APD20" s="37"/>
      <c r="APE20" s="37"/>
      <c r="APF20" s="37"/>
      <c r="APG20" s="37"/>
      <c r="APH20" s="37"/>
      <c r="API20" s="37"/>
      <c r="APJ20" s="37"/>
      <c r="APK20" s="37"/>
      <c r="APL20" s="37"/>
      <c r="APM20" s="37"/>
      <c r="APN20" s="37"/>
      <c r="APO20" s="37"/>
      <c r="APP20" s="37"/>
      <c r="APQ20" s="37"/>
      <c r="APR20" s="37"/>
      <c r="APS20" s="37"/>
      <c r="APT20" s="37"/>
      <c r="APU20" s="37"/>
      <c r="APV20" s="37"/>
      <c r="APW20" s="37"/>
      <c r="APX20" s="37"/>
      <c r="APY20" s="37"/>
      <c r="APZ20" s="37"/>
      <c r="AQA20" s="37"/>
      <c r="AQB20" s="37"/>
      <c r="AQC20" s="37"/>
      <c r="AQD20" s="37"/>
      <c r="AQE20" s="37"/>
      <c r="AQF20" s="37"/>
      <c r="AQG20" s="37"/>
      <c r="AQH20" s="37"/>
      <c r="AQI20" s="37"/>
      <c r="AQJ20" s="37"/>
      <c r="AQK20" s="37"/>
      <c r="AQL20" s="37"/>
      <c r="AQM20" s="37"/>
      <c r="AQN20" s="37"/>
      <c r="AQO20" s="37"/>
      <c r="AQP20" s="37"/>
      <c r="AQQ20" s="37"/>
      <c r="AQR20" s="37"/>
      <c r="AQS20" s="37"/>
      <c r="AQT20" s="37"/>
      <c r="AQU20" s="37"/>
      <c r="AQV20" s="37"/>
      <c r="AQW20" s="37"/>
      <c r="AQX20" s="37"/>
      <c r="AQY20" s="37"/>
      <c r="AQZ20" s="37"/>
      <c r="ARA20" s="37"/>
      <c r="ARB20" s="37"/>
      <c r="ARC20" s="37"/>
      <c r="ARD20" s="37"/>
      <c r="ARE20" s="37"/>
      <c r="ARF20" s="37"/>
      <c r="ARG20" s="37"/>
      <c r="ARH20" s="37"/>
      <c r="ARI20" s="37"/>
      <c r="ARJ20" s="37"/>
      <c r="ARK20" s="37"/>
      <c r="ARL20" s="37"/>
      <c r="ARM20" s="37"/>
      <c r="ARN20" s="37"/>
      <c r="ARO20" s="37"/>
      <c r="ARP20" s="37"/>
      <c r="ARQ20" s="37"/>
      <c r="ARR20" s="37"/>
      <c r="ARS20" s="37"/>
      <c r="ART20" s="37"/>
      <c r="ARU20" s="37"/>
      <c r="ARV20" s="37"/>
      <c r="ARW20" s="37"/>
      <c r="ARX20" s="37"/>
      <c r="ARY20" s="37"/>
      <c r="ARZ20" s="37"/>
      <c r="ASA20" s="37"/>
      <c r="ASB20" s="37"/>
      <c r="ASC20" s="37"/>
      <c r="ASD20" s="37"/>
      <c r="ASE20" s="37"/>
      <c r="ASF20" s="37"/>
      <c r="ASG20" s="37"/>
      <c r="ASH20" s="37"/>
      <c r="ASI20" s="37"/>
      <c r="ASJ20" s="37"/>
      <c r="ASK20" s="37"/>
      <c r="ASL20" s="37"/>
      <c r="ASM20" s="37"/>
      <c r="ASN20" s="37"/>
      <c r="ASO20" s="37"/>
      <c r="ASP20" s="37"/>
      <c r="ASQ20" s="37"/>
      <c r="ASR20" s="37"/>
      <c r="ASS20" s="37"/>
      <c r="AST20" s="37"/>
      <c r="ASU20" s="37"/>
      <c r="ASV20" s="37"/>
      <c r="ASW20" s="37"/>
      <c r="ASX20" s="37"/>
      <c r="ASY20" s="37"/>
      <c r="ASZ20" s="37"/>
      <c r="ATA20" s="37"/>
      <c r="ATB20" s="37"/>
      <c r="ATC20" s="37"/>
      <c r="ATD20" s="37"/>
      <c r="ATE20" s="37"/>
      <c r="ATF20" s="37"/>
      <c r="ATG20" s="37"/>
      <c r="ATH20" s="37"/>
      <c r="ATI20" s="37"/>
      <c r="ATJ20" s="37"/>
      <c r="ATK20" s="37"/>
      <c r="ATL20" s="37"/>
      <c r="ATM20" s="37"/>
      <c r="ATN20" s="37"/>
      <c r="ATO20" s="37"/>
      <c r="ATP20" s="37"/>
      <c r="ATQ20" s="37"/>
      <c r="ATR20" s="37"/>
      <c r="ATS20" s="37"/>
      <c r="ATT20" s="37"/>
      <c r="ATU20" s="37"/>
      <c r="ATV20" s="37"/>
      <c r="ATW20" s="37"/>
      <c r="ATX20" s="37"/>
      <c r="ATY20" s="37"/>
      <c r="ATZ20" s="37"/>
      <c r="AUA20" s="37"/>
      <c r="AUB20" s="37"/>
      <c r="AUC20" s="37"/>
      <c r="AUD20" s="37"/>
      <c r="AUE20" s="37"/>
      <c r="AUF20" s="37"/>
      <c r="AUG20" s="37"/>
      <c r="AUH20" s="37"/>
      <c r="AUI20" s="37"/>
      <c r="AUJ20" s="37"/>
      <c r="AUK20" s="37"/>
      <c r="AUL20" s="37"/>
      <c r="AUM20" s="37"/>
      <c r="AUN20" s="37"/>
      <c r="AUO20" s="37"/>
      <c r="AUP20" s="37"/>
      <c r="AUQ20" s="37"/>
      <c r="AUR20" s="37"/>
      <c r="AUS20" s="37"/>
      <c r="AUT20" s="37"/>
      <c r="AUU20" s="37"/>
      <c r="AUV20" s="37"/>
      <c r="AUW20" s="37"/>
      <c r="AUX20" s="37"/>
      <c r="AUY20" s="37"/>
      <c r="AUZ20" s="37"/>
      <c r="AVA20" s="37"/>
      <c r="AVB20" s="37"/>
      <c r="AVC20" s="37"/>
      <c r="AVD20" s="37"/>
      <c r="AVE20" s="37"/>
      <c r="AVF20" s="37"/>
      <c r="AVG20" s="37"/>
      <c r="AVH20" s="37"/>
      <c r="AVI20" s="37"/>
      <c r="AVJ20" s="37"/>
      <c r="AVK20" s="37"/>
      <c r="AVL20" s="37"/>
      <c r="AVM20" s="37"/>
      <c r="AVN20" s="37"/>
      <c r="AVO20" s="37"/>
      <c r="AVP20" s="37"/>
      <c r="AVQ20" s="37"/>
      <c r="AVR20" s="37"/>
      <c r="AVS20" s="37"/>
      <c r="AVT20" s="37"/>
      <c r="AVU20" s="37"/>
      <c r="AVV20" s="37"/>
      <c r="AVW20" s="37"/>
      <c r="AVX20" s="37"/>
      <c r="AVY20" s="37"/>
      <c r="AVZ20" s="37"/>
      <c r="AWA20" s="37"/>
      <c r="AWB20" s="37"/>
      <c r="AWC20" s="37"/>
      <c r="AWD20" s="37"/>
      <c r="AWE20" s="37"/>
      <c r="AWF20" s="37"/>
      <c r="AWG20" s="37"/>
      <c r="AWH20" s="37"/>
      <c r="AWI20" s="37"/>
      <c r="AWJ20" s="37"/>
      <c r="AWK20" s="37"/>
      <c r="AWL20" s="37"/>
      <c r="AWM20" s="37"/>
      <c r="AWN20" s="37"/>
      <c r="AWO20" s="37"/>
      <c r="AWP20" s="37"/>
      <c r="AWQ20" s="37"/>
      <c r="AWR20" s="37"/>
      <c r="AWS20" s="37"/>
      <c r="AWT20" s="37"/>
      <c r="AWU20" s="37"/>
      <c r="AWV20" s="37"/>
      <c r="AWW20" s="37"/>
      <c r="AWX20" s="37"/>
      <c r="AWY20" s="37"/>
      <c r="AWZ20" s="37"/>
      <c r="AXA20" s="37"/>
      <c r="AXB20" s="37"/>
      <c r="AXC20" s="37"/>
      <c r="AXD20" s="37"/>
      <c r="AXE20" s="37"/>
      <c r="AXF20" s="37"/>
      <c r="AXG20" s="37"/>
      <c r="AXH20" s="37"/>
      <c r="AXI20" s="37"/>
      <c r="AXJ20" s="37"/>
      <c r="AXK20" s="37"/>
      <c r="AXL20" s="37"/>
      <c r="AXM20" s="37"/>
      <c r="AXN20" s="37"/>
      <c r="AXO20" s="37"/>
      <c r="AXP20" s="37"/>
      <c r="AXQ20" s="37"/>
      <c r="AXR20" s="37"/>
      <c r="AXS20" s="37"/>
      <c r="AXT20" s="37"/>
      <c r="AXU20" s="37"/>
      <c r="AXV20" s="37"/>
      <c r="AXW20" s="37"/>
      <c r="AXX20" s="37"/>
      <c r="AXY20" s="37"/>
      <c r="AXZ20" s="37"/>
      <c r="AYA20" s="37"/>
      <c r="AYB20" s="37"/>
      <c r="AYC20" s="37"/>
      <c r="AYD20" s="37"/>
      <c r="AYE20" s="37"/>
      <c r="AYF20" s="37"/>
      <c r="AYG20" s="37"/>
      <c r="AYH20" s="37"/>
      <c r="AYI20" s="37"/>
      <c r="AYJ20" s="37"/>
      <c r="AYK20" s="37"/>
      <c r="AYL20" s="37"/>
      <c r="AYM20" s="37"/>
      <c r="AYN20" s="37"/>
      <c r="AYO20" s="37"/>
      <c r="AYP20" s="37"/>
      <c r="AYQ20" s="37"/>
      <c r="AYR20" s="37"/>
      <c r="AYS20" s="37"/>
      <c r="AYT20" s="37"/>
      <c r="AYU20" s="37"/>
      <c r="AYV20" s="37"/>
      <c r="AYW20" s="37"/>
      <c r="AYX20" s="37"/>
      <c r="AYY20" s="37"/>
      <c r="AYZ20" s="37"/>
      <c r="AZA20" s="37"/>
      <c r="AZB20" s="37"/>
      <c r="AZC20" s="37"/>
      <c r="AZD20" s="37"/>
      <c r="AZE20" s="37"/>
      <c r="AZF20" s="37"/>
      <c r="AZG20" s="37"/>
      <c r="AZH20" s="37"/>
      <c r="AZI20" s="37"/>
      <c r="AZJ20" s="37"/>
      <c r="AZK20" s="37"/>
      <c r="AZL20" s="37"/>
      <c r="AZM20" s="37"/>
      <c r="AZN20" s="37"/>
      <c r="AZO20" s="37"/>
      <c r="AZP20" s="37"/>
      <c r="AZQ20" s="37"/>
      <c r="AZR20" s="37"/>
      <c r="AZS20" s="37"/>
      <c r="AZT20" s="37"/>
      <c r="AZU20" s="37"/>
      <c r="AZV20" s="37"/>
      <c r="AZW20" s="37"/>
      <c r="AZX20" s="37"/>
      <c r="AZY20" s="37"/>
      <c r="AZZ20" s="37"/>
      <c r="BAA20" s="37"/>
      <c r="BAB20" s="37"/>
      <c r="BAC20" s="37"/>
      <c r="BAD20" s="37"/>
      <c r="BAE20" s="37"/>
      <c r="BAF20" s="37"/>
      <c r="BAG20" s="37"/>
      <c r="BAH20" s="37"/>
      <c r="BAI20" s="37"/>
      <c r="BAJ20" s="37"/>
      <c r="BAK20" s="37"/>
      <c r="BAL20" s="37"/>
      <c r="BAM20" s="37"/>
      <c r="BAN20" s="37"/>
      <c r="BAO20" s="37"/>
      <c r="BAP20" s="37"/>
      <c r="BAQ20" s="37"/>
      <c r="BAR20" s="37"/>
      <c r="BAS20" s="37"/>
      <c r="BAT20" s="37"/>
      <c r="BAU20" s="37"/>
      <c r="BAV20" s="37"/>
      <c r="BAW20" s="37"/>
      <c r="BAX20" s="37"/>
      <c r="BAY20" s="37"/>
      <c r="BAZ20" s="37"/>
      <c r="BBA20" s="37"/>
      <c r="BBB20" s="37"/>
      <c r="BBC20" s="37"/>
      <c r="BBD20" s="37"/>
      <c r="BBE20" s="37"/>
      <c r="BBF20" s="37"/>
      <c r="BBG20" s="37"/>
      <c r="BBH20" s="37"/>
      <c r="BBI20" s="37"/>
      <c r="BBJ20" s="37"/>
      <c r="BBK20" s="37"/>
      <c r="BBL20" s="37"/>
      <c r="BBM20" s="37"/>
      <c r="BBN20" s="37"/>
      <c r="BBO20" s="37"/>
      <c r="BBP20" s="37"/>
      <c r="BBQ20" s="37"/>
      <c r="BBR20" s="37"/>
      <c r="BBS20" s="37"/>
      <c r="BBT20" s="37"/>
      <c r="BBU20" s="37"/>
      <c r="BBV20" s="37"/>
      <c r="BBW20" s="37"/>
      <c r="BBX20" s="37"/>
      <c r="BBY20" s="37"/>
      <c r="BBZ20" s="37"/>
      <c r="BCA20" s="37"/>
      <c r="BCB20" s="37"/>
      <c r="BCC20" s="37"/>
      <c r="BCD20" s="37"/>
      <c r="BCE20" s="37"/>
      <c r="BCF20" s="37"/>
      <c r="BCG20" s="37"/>
      <c r="BCH20" s="37"/>
      <c r="BCI20" s="37"/>
      <c r="BCJ20" s="37"/>
      <c r="BCK20" s="37"/>
      <c r="BCL20" s="37"/>
      <c r="BCM20" s="37"/>
      <c r="BCN20" s="37"/>
      <c r="BCO20" s="37"/>
      <c r="BCP20" s="37"/>
      <c r="BCQ20" s="37"/>
      <c r="BCR20" s="37"/>
      <c r="BCS20" s="37"/>
      <c r="BCT20" s="37"/>
      <c r="BCU20" s="37"/>
      <c r="BCV20" s="37"/>
      <c r="BCW20" s="37"/>
      <c r="BCX20" s="37"/>
      <c r="BCY20" s="37"/>
      <c r="BCZ20" s="37"/>
      <c r="BDA20" s="37"/>
      <c r="BDB20" s="37"/>
      <c r="BDC20" s="37"/>
      <c r="BDD20" s="37"/>
      <c r="BDE20" s="37"/>
      <c r="BDF20" s="37"/>
      <c r="BDG20" s="37"/>
      <c r="BDH20" s="37"/>
      <c r="BDI20" s="37"/>
      <c r="BDJ20" s="37"/>
      <c r="BDK20" s="37"/>
      <c r="BDL20" s="37"/>
      <c r="BDM20" s="37"/>
      <c r="BDN20" s="37"/>
      <c r="BDO20" s="37"/>
      <c r="BDP20" s="37"/>
      <c r="BDQ20" s="37"/>
      <c r="BDR20" s="37"/>
      <c r="BDS20" s="37"/>
      <c r="BDT20" s="37"/>
      <c r="BDU20" s="37"/>
      <c r="BDV20" s="37"/>
      <c r="BDW20" s="37"/>
      <c r="BDX20" s="37"/>
      <c r="BDY20" s="37"/>
      <c r="BDZ20" s="37"/>
      <c r="BEA20" s="37"/>
      <c r="BEB20" s="37"/>
      <c r="BEC20" s="37"/>
      <c r="BED20" s="37"/>
      <c r="BEE20" s="37"/>
      <c r="BEF20" s="37"/>
      <c r="BEG20" s="37"/>
      <c r="BEH20" s="37"/>
      <c r="BEI20" s="37"/>
      <c r="BEJ20" s="37"/>
      <c r="BEK20" s="37"/>
      <c r="BEL20" s="37"/>
      <c r="BEM20" s="37"/>
      <c r="BEN20" s="37"/>
      <c r="BEO20" s="37"/>
      <c r="BEP20" s="37"/>
      <c r="BEQ20" s="37"/>
      <c r="BER20" s="37"/>
      <c r="BES20" s="37"/>
      <c r="BET20" s="37"/>
      <c r="BEU20" s="37"/>
      <c r="BEV20" s="37"/>
      <c r="BEW20" s="37"/>
      <c r="BEX20" s="37"/>
      <c r="BEY20" s="37"/>
      <c r="BEZ20" s="37"/>
      <c r="BFA20" s="37"/>
      <c r="BFB20" s="37"/>
      <c r="BFC20" s="37"/>
      <c r="BFD20" s="37"/>
      <c r="BFE20" s="37"/>
      <c r="BFF20" s="37"/>
      <c r="BFG20" s="37"/>
      <c r="BFH20" s="37"/>
      <c r="BFI20" s="37"/>
      <c r="BFJ20" s="37"/>
      <c r="BFK20" s="37"/>
      <c r="BFL20" s="37"/>
      <c r="BFM20" s="37"/>
      <c r="BFN20" s="37"/>
      <c r="BFO20" s="37"/>
      <c r="BFP20" s="37"/>
      <c r="BFQ20" s="37"/>
      <c r="BFR20" s="37"/>
      <c r="BFS20" s="37"/>
      <c r="BFT20" s="37"/>
      <c r="BFU20" s="37"/>
      <c r="BFV20" s="37"/>
      <c r="BFW20" s="37"/>
      <c r="BFX20" s="37"/>
      <c r="BFY20" s="37"/>
      <c r="BFZ20" s="37"/>
      <c r="BGA20" s="37"/>
      <c r="BGB20" s="37"/>
      <c r="BGC20" s="37"/>
      <c r="BGD20" s="37"/>
      <c r="BGE20" s="37"/>
      <c r="BGF20" s="37"/>
      <c r="BGG20" s="37"/>
      <c r="BGH20" s="37"/>
      <c r="BGI20" s="37"/>
      <c r="BGJ20" s="37"/>
      <c r="BGK20" s="37"/>
      <c r="BGL20" s="37"/>
      <c r="BGM20" s="37"/>
      <c r="BGN20" s="37"/>
      <c r="BGO20" s="37"/>
      <c r="BGP20" s="37"/>
      <c r="BGQ20" s="37"/>
      <c r="BGR20" s="37"/>
      <c r="BGS20" s="37"/>
      <c r="BGT20" s="37"/>
      <c r="BGU20" s="37"/>
      <c r="BGV20" s="37"/>
      <c r="BGW20" s="37"/>
      <c r="BGX20" s="37"/>
      <c r="BGY20" s="37"/>
      <c r="BGZ20" s="37"/>
      <c r="BHA20" s="37"/>
      <c r="BHB20" s="37"/>
      <c r="BHC20" s="37"/>
      <c r="BHD20" s="37"/>
      <c r="BHE20" s="37"/>
      <c r="BHF20" s="37"/>
      <c r="BHG20" s="37"/>
      <c r="BHH20" s="37"/>
      <c r="BHI20" s="37"/>
      <c r="BHJ20" s="37"/>
      <c r="BHK20" s="37"/>
      <c r="BHL20" s="37"/>
      <c r="BHM20" s="37"/>
      <c r="BHN20" s="37"/>
      <c r="BHO20" s="37"/>
      <c r="BHP20" s="37"/>
      <c r="BHQ20" s="37"/>
      <c r="BHR20" s="37"/>
      <c r="BHS20" s="37"/>
      <c r="BHT20" s="37"/>
      <c r="BHU20" s="37"/>
      <c r="BHV20" s="37"/>
      <c r="BHW20" s="37"/>
      <c r="BHX20" s="37"/>
      <c r="BHY20" s="37"/>
      <c r="BHZ20" s="37"/>
      <c r="BIA20" s="37"/>
      <c r="BIB20" s="37"/>
      <c r="BIC20" s="37"/>
      <c r="BID20" s="37"/>
      <c r="BIE20" s="37"/>
      <c r="BIF20" s="37"/>
      <c r="BIG20" s="37"/>
      <c r="BIH20" s="37"/>
      <c r="BII20" s="37"/>
      <c r="BIJ20" s="37"/>
      <c r="BIK20" s="37"/>
      <c r="BIL20" s="37"/>
      <c r="BIM20" s="37"/>
      <c r="BIN20" s="37"/>
      <c r="BIO20" s="37"/>
      <c r="BIP20" s="37"/>
      <c r="BIQ20" s="37"/>
      <c r="BIR20" s="37"/>
      <c r="BIS20" s="37"/>
      <c r="BIT20" s="37"/>
      <c r="BIU20" s="37"/>
      <c r="BIV20" s="37"/>
      <c r="BIW20" s="37"/>
      <c r="BIX20" s="37"/>
      <c r="BIY20" s="37"/>
      <c r="BIZ20" s="37"/>
      <c r="BJA20" s="37"/>
      <c r="BJB20" s="37"/>
      <c r="BJC20" s="37"/>
      <c r="BJD20" s="37"/>
      <c r="BJE20" s="37"/>
      <c r="BJF20" s="37"/>
      <c r="BJG20" s="37"/>
      <c r="BJH20" s="37"/>
      <c r="BJI20" s="37"/>
      <c r="BJJ20" s="37"/>
      <c r="BJK20" s="37"/>
      <c r="BJL20" s="37"/>
      <c r="BJM20" s="37"/>
      <c r="BJN20" s="37"/>
      <c r="BJO20" s="37"/>
      <c r="BJP20" s="37"/>
      <c r="BJQ20" s="37"/>
      <c r="BJR20" s="37"/>
      <c r="BJS20" s="37"/>
      <c r="BJT20" s="37"/>
      <c r="BJU20" s="37"/>
      <c r="BJV20" s="37"/>
      <c r="BJW20" s="37"/>
      <c r="BJX20" s="37"/>
      <c r="BJY20" s="37"/>
      <c r="BJZ20" s="37"/>
      <c r="BKA20" s="37"/>
      <c r="BKB20" s="37"/>
      <c r="BKC20" s="37"/>
      <c r="BKD20" s="37"/>
      <c r="BKE20" s="37"/>
      <c r="BKF20" s="37"/>
      <c r="BKG20" s="37"/>
      <c r="BKH20" s="37"/>
      <c r="BKI20" s="37"/>
      <c r="BKJ20" s="37"/>
      <c r="BKK20" s="37"/>
      <c r="BKL20" s="37"/>
      <c r="BKM20" s="37"/>
      <c r="BKN20" s="37"/>
      <c r="BKO20" s="37"/>
      <c r="BKP20" s="37"/>
      <c r="BKQ20" s="37"/>
      <c r="BKR20" s="37"/>
      <c r="BKS20" s="37"/>
      <c r="BKT20" s="37"/>
      <c r="BKU20" s="37"/>
      <c r="BKV20" s="37"/>
      <c r="BKW20" s="37"/>
      <c r="BKX20" s="37"/>
      <c r="BKY20" s="37"/>
      <c r="BKZ20" s="37"/>
      <c r="BLA20" s="37"/>
      <c r="BLB20" s="37"/>
      <c r="BLC20" s="37"/>
      <c r="BLD20" s="37"/>
      <c r="BLE20" s="37"/>
      <c r="BLF20" s="37"/>
      <c r="BLG20" s="37"/>
      <c r="BLH20" s="37"/>
      <c r="BLI20" s="37"/>
      <c r="BLJ20" s="37"/>
      <c r="BLK20" s="37"/>
      <c r="BLL20" s="37"/>
      <c r="BLM20" s="37"/>
      <c r="BLN20" s="37"/>
      <c r="BLO20" s="37"/>
      <c r="BLP20" s="37"/>
      <c r="BLQ20" s="37"/>
      <c r="BLR20" s="37"/>
      <c r="BLS20" s="37"/>
      <c r="BLT20" s="37"/>
      <c r="BLU20" s="37"/>
      <c r="BLV20" s="37"/>
      <c r="BLW20" s="37"/>
      <c r="BLX20" s="37"/>
      <c r="BLY20" s="37"/>
      <c r="BLZ20" s="37"/>
      <c r="BMA20" s="37"/>
      <c r="BMB20" s="37"/>
      <c r="BMC20" s="37"/>
      <c r="BMD20" s="37"/>
      <c r="BME20" s="37"/>
      <c r="BMF20" s="37"/>
      <c r="BMG20" s="37"/>
      <c r="BMH20" s="37"/>
      <c r="BMI20" s="37"/>
      <c r="BMJ20" s="37"/>
      <c r="BMK20" s="37"/>
      <c r="BML20" s="37"/>
      <c r="BMM20" s="37"/>
      <c r="BMN20" s="37"/>
      <c r="BMO20" s="37"/>
      <c r="BMP20" s="37"/>
      <c r="BMQ20" s="37"/>
      <c r="BMR20" s="37"/>
      <c r="BMS20" s="37"/>
      <c r="BMT20" s="37"/>
      <c r="BMU20" s="37"/>
      <c r="BMV20" s="37"/>
      <c r="BMW20" s="37"/>
      <c r="BMX20" s="37"/>
      <c r="BMY20" s="37"/>
      <c r="BMZ20" s="37"/>
      <c r="BNA20" s="37"/>
      <c r="BNB20" s="37"/>
      <c r="BNC20" s="37"/>
      <c r="BND20" s="37"/>
      <c r="BNE20" s="37"/>
      <c r="BNF20" s="37"/>
      <c r="BNG20" s="37"/>
      <c r="BNH20" s="37"/>
      <c r="BNI20" s="37"/>
      <c r="BNJ20" s="37"/>
      <c r="BNK20" s="37"/>
      <c r="BNL20" s="37"/>
      <c r="BNM20" s="37"/>
      <c r="BNN20" s="37"/>
      <c r="BNO20" s="37"/>
      <c r="BNP20" s="37"/>
      <c r="BNQ20" s="37"/>
      <c r="BNR20" s="37"/>
      <c r="BNS20" s="37"/>
      <c r="BNT20" s="37"/>
      <c r="BNU20" s="37"/>
      <c r="BNV20" s="37"/>
      <c r="BNW20" s="37"/>
      <c r="BNX20" s="37"/>
      <c r="BNY20" s="37"/>
      <c r="BNZ20" s="37"/>
      <c r="BOA20" s="37"/>
      <c r="BOB20" s="37"/>
      <c r="BOC20" s="37"/>
      <c r="BOD20" s="37"/>
      <c r="BOE20" s="37"/>
      <c r="BOF20" s="37"/>
      <c r="BOG20" s="37"/>
      <c r="BOH20" s="37"/>
      <c r="BOI20" s="37"/>
      <c r="BOJ20" s="37"/>
      <c r="BOK20" s="37"/>
      <c r="BOL20" s="37"/>
      <c r="BOM20" s="37"/>
      <c r="BON20" s="37"/>
      <c r="BOO20" s="37"/>
      <c r="BOP20" s="37"/>
      <c r="BOQ20" s="37"/>
      <c r="BOR20" s="37"/>
      <c r="BOS20" s="37"/>
      <c r="BOT20" s="37"/>
      <c r="BOU20" s="37"/>
      <c r="BOV20" s="37"/>
      <c r="BOW20" s="37"/>
      <c r="BOX20" s="37"/>
      <c r="BOY20" s="37"/>
      <c r="BOZ20" s="37"/>
      <c r="BPA20" s="37"/>
      <c r="BPB20" s="37"/>
      <c r="BPC20" s="37"/>
      <c r="BPD20" s="37"/>
      <c r="BPE20" s="37"/>
      <c r="BPF20" s="37"/>
      <c r="BPG20" s="37"/>
      <c r="BPH20" s="37"/>
      <c r="BPI20" s="37"/>
      <c r="BPJ20" s="37"/>
      <c r="BPK20" s="37"/>
      <c r="BPL20" s="37"/>
      <c r="BPM20" s="37"/>
      <c r="BPN20" s="37"/>
      <c r="BPO20" s="37"/>
      <c r="BPP20" s="37"/>
      <c r="BPQ20" s="37"/>
      <c r="BPR20" s="37"/>
      <c r="BPS20" s="37"/>
      <c r="BPT20" s="37"/>
      <c r="BPU20" s="37"/>
      <c r="BPV20" s="37"/>
      <c r="BPW20" s="37"/>
      <c r="BPX20" s="37"/>
      <c r="BPY20" s="37"/>
      <c r="BPZ20" s="37"/>
      <c r="BQA20" s="37"/>
      <c r="BQB20" s="37"/>
      <c r="BQC20" s="37"/>
      <c r="BQD20" s="37"/>
      <c r="BQE20" s="37"/>
      <c r="BQF20" s="37"/>
      <c r="BQG20" s="37"/>
      <c r="BQH20" s="37"/>
      <c r="BQI20" s="37"/>
      <c r="BQJ20" s="37"/>
      <c r="BQK20" s="37"/>
      <c r="BQL20" s="37"/>
      <c r="BQM20" s="37"/>
      <c r="BQN20" s="37"/>
      <c r="BQO20" s="37"/>
      <c r="BQP20" s="37"/>
      <c r="BQQ20" s="37"/>
      <c r="BQR20" s="37"/>
      <c r="BQS20" s="37"/>
      <c r="BQT20" s="37"/>
      <c r="BQU20" s="37"/>
      <c r="BQV20" s="37"/>
      <c r="BQW20" s="37"/>
      <c r="BQX20" s="37"/>
      <c r="BQY20" s="37"/>
      <c r="BQZ20" s="37"/>
      <c r="BRA20" s="37"/>
      <c r="BRB20" s="37"/>
      <c r="BRC20" s="37"/>
      <c r="BRD20" s="37"/>
      <c r="BRE20" s="37"/>
      <c r="BRF20" s="37"/>
      <c r="BRG20" s="37"/>
      <c r="BRH20" s="37"/>
      <c r="BRI20" s="37"/>
      <c r="BRJ20" s="37"/>
      <c r="BRK20" s="37"/>
      <c r="BRL20" s="37"/>
      <c r="BRM20" s="37"/>
      <c r="BRN20" s="37"/>
      <c r="BRO20" s="37"/>
      <c r="BRP20" s="37"/>
      <c r="BRQ20" s="37"/>
      <c r="BRR20" s="37"/>
      <c r="BRS20" s="37"/>
      <c r="BRT20" s="37"/>
      <c r="BRU20" s="37"/>
      <c r="BRV20" s="37"/>
      <c r="BRW20" s="37"/>
      <c r="BRX20" s="37"/>
      <c r="BRY20" s="37"/>
      <c r="BRZ20" s="37"/>
      <c r="BSA20" s="37"/>
      <c r="BSB20" s="37"/>
      <c r="BSC20" s="37"/>
      <c r="BSD20" s="37"/>
      <c r="BSE20" s="37"/>
      <c r="BSF20" s="37"/>
      <c r="BSG20" s="37"/>
      <c r="BSH20" s="37"/>
      <c r="BSI20" s="37"/>
      <c r="BSJ20" s="37"/>
      <c r="BSK20" s="37"/>
      <c r="BSL20" s="37"/>
      <c r="BSM20" s="37"/>
      <c r="BSN20" s="37"/>
      <c r="BSO20" s="37"/>
      <c r="BSP20" s="37"/>
      <c r="BSQ20" s="37"/>
      <c r="BSR20" s="37"/>
      <c r="BSS20" s="37"/>
      <c r="BST20" s="37"/>
      <c r="BSU20" s="37"/>
      <c r="BSV20" s="37"/>
      <c r="BSW20" s="37"/>
      <c r="BSX20" s="37"/>
      <c r="BSY20" s="37"/>
      <c r="BSZ20" s="37"/>
      <c r="BTA20" s="37"/>
      <c r="BTB20" s="37"/>
      <c r="BTC20" s="37"/>
      <c r="BTD20" s="37"/>
      <c r="BTE20" s="37"/>
      <c r="BTF20" s="37"/>
      <c r="BTG20" s="37"/>
      <c r="BTH20" s="37"/>
      <c r="BTI20" s="37"/>
      <c r="BTJ20" s="37"/>
      <c r="BTK20" s="37"/>
      <c r="BTL20" s="37"/>
      <c r="BTM20" s="37"/>
      <c r="BTN20" s="37"/>
      <c r="BTO20" s="37"/>
      <c r="BTP20" s="37"/>
      <c r="BTQ20" s="37"/>
      <c r="BTR20" s="37"/>
      <c r="BTS20" s="37"/>
      <c r="BTT20" s="37"/>
      <c r="BTU20" s="37"/>
      <c r="BTV20" s="37"/>
      <c r="BTW20" s="37"/>
      <c r="BTX20" s="37"/>
      <c r="BTY20" s="37"/>
      <c r="BTZ20" s="37"/>
      <c r="BUA20" s="37"/>
      <c r="BUB20" s="37"/>
      <c r="BUC20" s="37"/>
      <c r="BUD20" s="37"/>
      <c r="BUE20" s="37"/>
      <c r="BUF20" s="37"/>
      <c r="BUG20" s="37"/>
      <c r="BUH20" s="37"/>
      <c r="BUI20" s="37"/>
      <c r="BUJ20" s="37"/>
      <c r="BUK20" s="37"/>
      <c r="BUL20" s="37"/>
      <c r="BUM20" s="37"/>
      <c r="BUN20" s="37"/>
      <c r="BUO20" s="37"/>
      <c r="BUP20" s="37"/>
      <c r="BUQ20" s="37"/>
      <c r="BUR20" s="37"/>
      <c r="BUS20" s="37"/>
      <c r="BUT20" s="37"/>
      <c r="BUU20" s="37"/>
      <c r="BUV20" s="37"/>
      <c r="BUW20" s="37"/>
      <c r="BUX20" s="37"/>
      <c r="BUY20" s="37"/>
      <c r="BUZ20" s="37"/>
      <c r="BVA20" s="37"/>
      <c r="BVB20" s="37"/>
      <c r="BVC20" s="37"/>
      <c r="BVD20" s="37"/>
      <c r="BVE20" s="37"/>
      <c r="BVF20" s="37"/>
      <c r="BVG20" s="37"/>
      <c r="BVH20" s="37"/>
      <c r="BVI20" s="37"/>
      <c r="BVJ20" s="37"/>
      <c r="BVK20" s="37"/>
      <c r="BVL20" s="37"/>
      <c r="BVM20" s="37"/>
      <c r="BVN20" s="37"/>
      <c r="BVO20" s="37"/>
      <c r="BVP20" s="37"/>
      <c r="BVQ20" s="37"/>
      <c r="BVR20" s="37"/>
      <c r="BVS20" s="37"/>
      <c r="BVT20" s="37"/>
      <c r="BVU20" s="37"/>
      <c r="BVV20" s="37"/>
      <c r="BVW20" s="37"/>
      <c r="BVX20" s="37"/>
      <c r="BVY20" s="37"/>
      <c r="BVZ20" s="37"/>
      <c r="BWA20" s="37"/>
      <c r="BWB20" s="37"/>
      <c r="BWC20" s="37"/>
      <c r="BWD20" s="37"/>
      <c r="BWE20" s="37"/>
      <c r="BWF20" s="37"/>
      <c r="BWG20" s="37"/>
      <c r="BWH20" s="37"/>
      <c r="BWI20" s="37"/>
      <c r="BWJ20" s="37"/>
    </row>
    <row r="21" spans="1:1960" x14ac:dyDescent="0.25">
      <c r="A21" s="38">
        <v>16</v>
      </c>
      <c r="B21" s="39">
        <v>20</v>
      </c>
      <c r="C21" s="40">
        <v>1000</v>
      </c>
      <c r="D21" s="41" t="s">
        <v>23</v>
      </c>
      <c r="E21" s="271">
        <f ca="1"/>
        <v>69</v>
      </c>
      <c r="F21" s="33">
        <v>-100</v>
      </c>
      <c r="G21" s="33">
        <v>1000</v>
      </c>
      <c r="H21" s="43">
        <f ca="1"/>
        <v>-100</v>
      </c>
      <c r="I21" s="33">
        <f ca="1"/>
        <v>45.5</v>
      </c>
      <c r="J21" s="35">
        <v>16</v>
      </c>
      <c r="K21" s="36">
        <v>20</v>
      </c>
      <c r="L21" s="37">
        <v>20</v>
      </c>
      <c r="M21" s="37">
        <v>20</v>
      </c>
      <c r="N21" s="37">
        <v>20</v>
      </c>
      <c r="O21" s="37">
        <v>20</v>
      </c>
      <c r="P21" s="37">
        <v>20</v>
      </c>
      <c r="Q21" s="37">
        <v>20</v>
      </c>
      <c r="R21" s="37">
        <v>20</v>
      </c>
      <c r="S21" s="37">
        <v>20</v>
      </c>
      <c r="T21" s="37">
        <v>20</v>
      </c>
      <c r="U21" s="37">
        <v>20</v>
      </c>
      <c r="V21" s="37">
        <v>20</v>
      </c>
      <c r="W21" s="37">
        <v>20</v>
      </c>
      <c r="X21" s="37">
        <v>20</v>
      </c>
      <c r="Y21" s="37">
        <v>20</v>
      </c>
      <c r="Z21" s="37">
        <v>20</v>
      </c>
      <c r="AA21" s="37">
        <v>20</v>
      </c>
      <c r="AB21" s="37">
        <v>20</v>
      </c>
      <c r="AC21" s="37">
        <v>20</v>
      </c>
      <c r="AD21" s="37">
        <v>20</v>
      </c>
      <c r="AE21" s="37">
        <v>20</v>
      </c>
      <c r="AF21" s="37">
        <v>20</v>
      </c>
      <c r="AG21" s="37">
        <v>20</v>
      </c>
      <c r="AH21" s="37">
        <v>20</v>
      </c>
      <c r="AI21" s="37">
        <v>20</v>
      </c>
      <c r="AJ21" s="37">
        <v>20</v>
      </c>
      <c r="AK21" s="37">
        <v>20</v>
      </c>
      <c r="AL21" s="37">
        <v>20</v>
      </c>
      <c r="AM21" s="37">
        <v>20</v>
      </c>
      <c r="AN21" s="37">
        <v>20</v>
      </c>
      <c r="AO21" s="37">
        <v>20</v>
      </c>
      <c r="AP21" s="37">
        <v>20</v>
      </c>
      <c r="AQ21" s="37">
        <v>20</v>
      </c>
      <c r="AR21" s="37">
        <v>20</v>
      </c>
      <c r="AS21" s="37">
        <v>20</v>
      </c>
      <c r="AT21" s="37">
        <v>20</v>
      </c>
      <c r="AU21" s="37">
        <v>20</v>
      </c>
      <c r="AV21" s="37">
        <v>20</v>
      </c>
      <c r="AW21" s="37">
        <v>20</v>
      </c>
      <c r="AX21" s="37">
        <v>20</v>
      </c>
      <c r="AY21" s="37">
        <v>20</v>
      </c>
      <c r="AZ21" s="37">
        <v>20</v>
      </c>
      <c r="BA21" s="37">
        <v>20</v>
      </c>
      <c r="BB21" s="37">
        <v>20</v>
      </c>
      <c r="BC21" s="37">
        <v>20</v>
      </c>
      <c r="BD21" s="37">
        <v>20</v>
      </c>
      <c r="BE21" s="37">
        <v>20</v>
      </c>
      <c r="BF21" s="37">
        <v>20</v>
      </c>
      <c r="BG21" s="37">
        <v>20</v>
      </c>
      <c r="BH21" s="37">
        <v>20</v>
      </c>
      <c r="BI21" s="37">
        <v>20</v>
      </c>
      <c r="BJ21" s="37">
        <v>20</v>
      </c>
      <c r="BK21" s="37">
        <v>20</v>
      </c>
      <c r="BL21" s="37">
        <v>20</v>
      </c>
      <c r="BM21" s="37">
        <v>20</v>
      </c>
      <c r="BN21" s="37">
        <v>20</v>
      </c>
      <c r="BO21" s="37">
        <v>20</v>
      </c>
      <c r="BP21" s="37">
        <v>20</v>
      </c>
      <c r="BQ21" s="37">
        <v>20</v>
      </c>
      <c r="BR21" s="37">
        <v>20</v>
      </c>
      <c r="BS21" s="37">
        <v>20</v>
      </c>
      <c r="BT21" s="37">
        <v>20</v>
      </c>
      <c r="BU21" s="37">
        <v>20</v>
      </c>
      <c r="BV21" s="37">
        <v>20</v>
      </c>
      <c r="BW21" s="37">
        <v>20</v>
      </c>
      <c r="BX21" s="37">
        <v>20</v>
      </c>
      <c r="BY21" s="37">
        <v>20</v>
      </c>
      <c r="BZ21" s="37">
        <v>20</v>
      </c>
      <c r="CA21" s="37">
        <v>0</v>
      </c>
      <c r="CB21" s="37">
        <v>0</v>
      </c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  <c r="AMD21" s="37"/>
      <c r="AME21" s="37"/>
      <c r="AMF21" s="37"/>
      <c r="AMG21" s="37"/>
      <c r="AMH21" s="37"/>
      <c r="AMI21" s="37"/>
      <c r="AMJ21" s="37"/>
      <c r="AMK21" s="37"/>
      <c r="AML21" s="37"/>
      <c r="AMM21" s="37"/>
      <c r="AMN21" s="37"/>
      <c r="AMO21" s="37"/>
      <c r="AMP21" s="37"/>
      <c r="AMQ21" s="37"/>
      <c r="AMR21" s="37"/>
      <c r="AMS21" s="37"/>
      <c r="AMT21" s="37"/>
      <c r="AMU21" s="37"/>
      <c r="AMV21" s="37"/>
      <c r="AMW21" s="37"/>
      <c r="AMX21" s="37"/>
      <c r="AMY21" s="37"/>
      <c r="AMZ21" s="37"/>
      <c r="ANA21" s="37"/>
      <c r="ANB21" s="37"/>
      <c r="ANC21" s="37"/>
      <c r="AND21" s="37"/>
      <c r="ANE21" s="37"/>
      <c r="ANF21" s="37"/>
      <c r="ANG21" s="37"/>
      <c r="ANH21" s="37"/>
      <c r="ANI21" s="37"/>
      <c r="ANJ21" s="37"/>
      <c r="ANK21" s="37"/>
      <c r="ANL21" s="37"/>
      <c r="ANM21" s="37"/>
      <c r="ANN21" s="37"/>
      <c r="ANO21" s="37"/>
      <c r="ANP21" s="37"/>
      <c r="ANQ21" s="37"/>
      <c r="ANR21" s="37"/>
      <c r="ANS21" s="37"/>
      <c r="ANT21" s="37"/>
      <c r="ANU21" s="37"/>
      <c r="ANV21" s="37"/>
      <c r="ANW21" s="37"/>
      <c r="ANX21" s="37"/>
      <c r="ANY21" s="37"/>
      <c r="ANZ21" s="37"/>
      <c r="AOA21" s="37"/>
      <c r="AOB21" s="37"/>
      <c r="AOC21" s="37"/>
      <c r="AOD21" s="37"/>
      <c r="AOE21" s="37"/>
      <c r="AOF21" s="37"/>
      <c r="AOG21" s="37"/>
      <c r="AOH21" s="37"/>
      <c r="AOI21" s="37"/>
      <c r="AOJ21" s="37"/>
      <c r="AOK21" s="37"/>
      <c r="AOL21" s="37"/>
      <c r="AOM21" s="37"/>
      <c r="AON21" s="37"/>
      <c r="AOO21" s="37"/>
      <c r="AOP21" s="37"/>
      <c r="AOQ21" s="37"/>
      <c r="AOR21" s="37"/>
      <c r="AOS21" s="37"/>
      <c r="AOT21" s="37"/>
      <c r="AOU21" s="37"/>
      <c r="AOV21" s="37"/>
      <c r="AOW21" s="37"/>
      <c r="AOX21" s="37"/>
      <c r="AOY21" s="37"/>
      <c r="AOZ21" s="37"/>
      <c r="APA21" s="37"/>
      <c r="APB21" s="37"/>
      <c r="APC21" s="37"/>
      <c r="APD21" s="37"/>
      <c r="APE21" s="37"/>
      <c r="APF21" s="37"/>
      <c r="APG21" s="37"/>
      <c r="APH21" s="37"/>
      <c r="API21" s="37"/>
      <c r="APJ21" s="37"/>
      <c r="APK21" s="37"/>
      <c r="APL21" s="37"/>
      <c r="APM21" s="37"/>
      <c r="APN21" s="37"/>
      <c r="APO21" s="37"/>
      <c r="APP21" s="37"/>
      <c r="APQ21" s="37"/>
      <c r="APR21" s="37"/>
      <c r="APS21" s="37"/>
      <c r="APT21" s="37"/>
      <c r="APU21" s="37"/>
      <c r="APV21" s="37"/>
      <c r="APW21" s="37"/>
      <c r="APX21" s="37"/>
      <c r="APY21" s="37"/>
      <c r="APZ21" s="37"/>
      <c r="AQA21" s="37"/>
      <c r="AQB21" s="37"/>
      <c r="AQC21" s="37"/>
      <c r="AQD21" s="37"/>
      <c r="AQE21" s="37"/>
      <c r="AQF21" s="37"/>
      <c r="AQG21" s="37"/>
      <c r="AQH21" s="37"/>
      <c r="AQI21" s="37"/>
      <c r="AQJ21" s="37"/>
      <c r="AQK21" s="37"/>
      <c r="AQL21" s="37"/>
      <c r="AQM21" s="37"/>
      <c r="AQN21" s="37"/>
      <c r="AQO21" s="37"/>
      <c r="AQP21" s="37"/>
      <c r="AQQ21" s="37"/>
      <c r="AQR21" s="37"/>
      <c r="AQS21" s="37"/>
      <c r="AQT21" s="37"/>
      <c r="AQU21" s="37"/>
      <c r="AQV21" s="37"/>
      <c r="AQW21" s="37"/>
      <c r="AQX21" s="37"/>
      <c r="AQY21" s="37"/>
      <c r="AQZ21" s="37"/>
      <c r="ARA21" s="37"/>
      <c r="ARB21" s="37"/>
      <c r="ARC21" s="37"/>
      <c r="ARD21" s="37"/>
      <c r="ARE21" s="37"/>
      <c r="ARF21" s="37"/>
      <c r="ARG21" s="37"/>
      <c r="ARH21" s="37"/>
      <c r="ARI21" s="37"/>
      <c r="ARJ21" s="37"/>
      <c r="ARK21" s="37"/>
      <c r="ARL21" s="37"/>
      <c r="ARM21" s="37"/>
      <c r="ARN21" s="37"/>
      <c r="ARO21" s="37"/>
      <c r="ARP21" s="37"/>
      <c r="ARQ21" s="37"/>
      <c r="ARR21" s="37"/>
      <c r="ARS21" s="37"/>
      <c r="ART21" s="37"/>
      <c r="ARU21" s="37"/>
      <c r="ARV21" s="37"/>
      <c r="ARW21" s="37"/>
      <c r="ARX21" s="37"/>
      <c r="ARY21" s="37"/>
      <c r="ARZ21" s="37"/>
      <c r="ASA21" s="37"/>
      <c r="ASB21" s="37"/>
      <c r="ASC21" s="37"/>
      <c r="ASD21" s="37"/>
      <c r="ASE21" s="37"/>
      <c r="ASF21" s="37"/>
      <c r="ASG21" s="37"/>
      <c r="ASH21" s="37"/>
      <c r="ASI21" s="37"/>
      <c r="ASJ21" s="37"/>
      <c r="ASK21" s="37"/>
      <c r="ASL21" s="37"/>
      <c r="ASM21" s="37"/>
      <c r="ASN21" s="37"/>
      <c r="ASO21" s="37"/>
      <c r="ASP21" s="37"/>
      <c r="ASQ21" s="37"/>
      <c r="ASR21" s="37"/>
      <c r="ASS21" s="37"/>
      <c r="AST21" s="37"/>
      <c r="ASU21" s="37"/>
      <c r="ASV21" s="37"/>
      <c r="ASW21" s="37"/>
      <c r="ASX21" s="37"/>
      <c r="ASY21" s="37"/>
      <c r="ASZ21" s="37"/>
      <c r="ATA21" s="37"/>
      <c r="ATB21" s="37"/>
      <c r="ATC21" s="37"/>
      <c r="ATD21" s="37"/>
      <c r="ATE21" s="37"/>
      <c r="ATF21" s="37"/>
      <c r="ATG21" s="37"/>
      <c r="ATH21" s="37"/>
      <c r="ATI21" s="37"/>
      <c r="ATJ21" s="37"/>
      <c r="ATK21" s="37"/>
      <c r="ATL21" s="37"/>
      <c r="ATM21" s="37"/>
      <c r="ATN21" s="37"/>
      <c r="ATO21" s="37"/>
      <c r="ATP21" s="37"/>
      <c r="ATQ21" s="37"/>
      <c r="ATR21" s="37"/>
      <c r="ATS21" s="37"/>
      <c r="ATT21" s="37"/>
      <c r="ATU21" s="37"/>
      <c r="ATV21" s="37"/>
      <c r="ATW21" s="37"/>
      <c r="ATX21" s="37"/>
      <c r="ATY21" s="37"/>
      <c r="ATZ21" s="37"/>
      <c r="AUA21" s="37"/>
      <c r="AUB21" s="37"/>
      <c r="AUC21" s="37"/>
      <c r="AUD21" s="37"/>
      <c r="AUE21" s="37"/>
      <c r="AUF21" s="37"/>
      <c r="AUG21" s="37"/>
      <c r="AUH21" s="37"/>
      <c r="AUI21" s="37"/>
      <c r="AUJ21" s="37"/>
      <c r="AUK21" s="37"/>
      <c r="AUL21" s="37"/>
      <c r="AUM21" s="37"/>
      <c r="AUN21" s="37"/>
      <c r="AUO21" s="37"/>
      <c r="AUP21" s="37"/>
      <c r="AUQ21" s="37"/>
      <c r="AUR21" s="37"/>
      <c r="AUS21" s="37"/>
      <c r="AUT21" s="37"/>
      <c r="AUU21" s="37"/>
      <c r="AUV21" s="37"/>
      <c r="AUW21" s="37"/>
      <c r="AUX21" s="37"/>
      <c r="AUY21" s="37"/>
      <c r="AUZ21" s="37"/>
      <c r="AVA21" s="37"/>
      <c r="AVB21" s="37"/>
      <c r="AVC21" s="37"/>
      <c r="AVD21" s="37"/>
      <c r="AVE21" s="37"/>
      <c r="AVF21" s="37"/>
      <c r="AVG21" s="37"/>
      <c r="AVH21" s="37"/>
      <c r="AVI21" s="37"/>
      <c r="AVJ21" s="37"/>
      <c r="AVK21" s="37"/>
      <c r="AVL21" s="37"/>
      <c r="AVM21" s="37"/>
      <c r="AVN21" s="37"/>
      <c r="AVO21" s="37"/>
      <c r="AVP21" s="37"/>
      <c r="AVQ21" s="37"/>
      <c r="AVR21" s="37"/>
      <c r="AVS21" s="37"/>
      <c r="AVT21" s="37"/>
      <c r="AVU21" s="37"/>
      <c r="AVV21" s="37"/>
      <c r="AVW21" s="37"/>
      <c r="AVX21" s="37"/>
      <c r="AVY21" s="37"/>
      <c r="AVZ21" s="37"/>
      <c r="AWA21" s="37"/>
      <c r="AWB21" s="37"/>
      <c r="AWC21" s="37"/>
      <c r="AWD21" s="37"/>
      <c r="AWE21" s="37"/>
      <c r="AWF21" s="37"/>
      <c r="AWG21" s="37"/>
      <c r="AWH21" s="37"/>
      <c r="AWI21" s="37"/>
      <c r="AWJ21" s="37"/>
      <c r="AWK21" s="37"/>
      <c r="AWL21" s="37"/>
      <c r="AWM21" s="37"/>
      <c r="AWN21" s="37"/>
      <c r="AWO21" s="37"/>
      <c r="AWP21" s="37"/>
      <c r="AWQ21" s="37"/>
      <c r="AWR21" s="37"/>
      <c r="AWS21" s="37"/>
      <c r="AWT21" s="37"/>
      <c r="AWU21" s="37"/>
      <c r="AWV21" s="37"/>
      <c r="AWW21" s="37"/>
      <c r="AWX21" s="37"/>
      <c r="AWY21" s="37"/>
      <c r="AWZ21" s="37"/>
      <c r="AXA21" s="37"/>
      <c r="AXB21" s="37"/>
      <c r="AXC21" s="37"/>
      <c r="AXD21" s="37"/>
      <c r="AXE21" s="37"/>
      <c r="AXF21" s="37"/>
      <c r="AXG21" s="37"/>
      <c r="AXH21" s="37"/>
      <c r="AXI21" s="37"/>
      <c r="AXJ21" s="37"/>
      <c r="AXK21" s="37"/>
      <c r="AXL21" s="37"/>
      <c r="AXM21" s="37"/>
      <c r="AXN21" s="37"/>
      <c r="AXO21" s="37"/>
      <c r="AXP21" s="37"/>
      <c r="AXQ21" s="37"/>
      <c r="AXR21" s="37"/>
      <c r="AXS21" s="37"/>
      <c r="AXT21" s="37"/>
      <c r="AXU21" s="37"/>
      <c r="AXV21" s="37"/>
      <c r="AXW21" s="37"/>
      <c r="AXX21" s="37"/>
      <c r="AXY21" s="37"/>
      <c r="AXZ21" s="37"/>
      <c r="AYA21" s="37"/>
      <c r="AYB21" s="37"/>
      <c r="AYC21" s="37"/>
      <c r="AYD21" s="37"/>
      <c r="AYE21" s="37"/>
      <c r="AYF21" s="37"/>
      <c r="AYG21" s="37"/>
      <c r="AYH21" s="37"/>
      <c r="AYI21" s="37"/>
      <c r="AYJ21" s="37"/>
      <c r="AYK21" s="37"/>
      <c r="AYL21" s="37"/>
      <c r="AYM21" s="37"/>
      <c r="AYN21" s="37"/>
      <c r="AYO21" s="37"/>
      <c r="AYP21" s="37"/>
      <c r="AYQ21" s="37"/>
      <c r="AYR21" s="37"/>
      <c r="AYS21" s="37"/>
      <c r="AYT21" s="37"/>
      <c r="AYU21" s="37"/>
      <c r="AYV21" s="37"/>
      <c r="AYW21" s="37"/>
      <c r="AYX21" s="37"/>
      <c r="AYY21" s="37"/>
      <c r="AYZ21" s="37"/>
      <c r="AZA21" s="37"/>
      <c r="AZB21" s="37"/>
      <c r="AZC21" s="37"/>
      <c r="AZD21" s="37"/>
      <c r="AZE21" s="37"/>
      <c r="AZF21" s="37"/>
      <c r="AZG21" s="37"/>
      <c r="AZH21" s="37"/>
      <c r="AZI21" s="37"/>
      <c r="AZJ21" s="37"/>
      <c r="AZK21" s="37"/>
      <c r="AZL21" s="37"/>
      <c r="AZM21" s="37"/>
      <c r="AZN21" s="37"/>
      <c r="AZO21" s="37"/>
      <c r="AZP21" s="37"/>
      <c r="AZQ21" s="37"/>
      <c r="AZR21" s="37"/>
      <c r="AZS21" s="37"/>
      <c r="AZT21" s="37"/>
      <c r="AZU21" s="37"/>
      <c r="AZV21" s="37"/>
      <c r="AZW21" s="37"/>
      <c r="AZX21" s="37"/>
      <c r="AZY21" s="37"/>
      <c r="AZZ21" s="37"/>
      <c r="BAA21" s="37"/>
      <c r="BAB21" s="37"/>
      <c r="BAC21" s="37"/>
      <c r="BAD21" s="37"/>
      <c r="BAE21" s="37"/>
      <c r="BAF21" s="37"/>
      <c r="BAG21" s="37"/>
      <c r="BAH21" s="37"/>
      <c r="BAI21" s="37"/>
      <c r="BAJ21" s="37"/>
      <c r="BAK21" s="37"/>
      <c r="BAL21" s="37"/>
      <c r="BAM21" s="37"/>
      <c r="BAN21" s="37"/>
      <c r="BAO21" s="37"/>
      <c r="BAP21" s="37"/>
      <c r="BAQ21" s="37"/>
      <c r="BAR21" s="37"/>
      <c r="BAS21" s="37"/>
      <c r="BAT21" s="37"/>
      <c r="BAU21" s="37"/>
      <c r="BAV21" s="37"/>
      <c r="BAW21" s="37"/>
      <c r="BAX21" s="37"/>
      <c r="BAY21" s="37"/>
      <c r="BAZ21" s="37"/>
      <c r="BBA21" s="37"/>
      <c r="BBB21" s="37"/>
      <c r="BBC21" s="37"/>
      <c r="BBD21" s="37"/>
      <c r="BBE21" s="37"/>
      <c r="BBF21" s="37"/>
      <c r="BBG21" s="37"/>
      <c r="BBH21" s="37"/>
      <c r="BBI21" s="37"/>
      <c r="BBJ21" s="37"/>
      <c r="BBK21" s="37"/>
      <c r="BBL21" s="37"/>
      <c r="BBM21" s="37"/>
      <c r="BBN21" s="37"/>
      <c r="BBO21" s="37"/>
      <c r="BBP21" s="37"/>
      <c r="BBQ21" s="37"/>
      <c r="BBR21" s="37"/>
      <c r="BBS21" s="37"/>
      <c r="BBT21" s="37"/>
      <c r="BBU21" s="37"/>
      <c r="BBV21" s="37"/>
      <c r="BBW21" s="37"/>
      <c r="BBX21" s="37"/>
      <c r="BBY21" s="37"/>
      <c r="BBZ21" s="37"/>
      <c r="BCA21" s="37"/>
      <c r="BCB21" s="37"/>
      <c r="BCC21" s="37"/>
      <c r="BCD21" s="37"/>
      <c r="BCE21" s="37"/>
      <c r="BCF21" s="37"/>
      <c r="BCG21" s="37"/>
      <c r="BCH21" s="37"/>
      <c r="BCI21" s="37"/>
      <c r="BCJ21" s="37"/>
      <c r="BCK21" s="37"/>
      <c r="BCL21" s="37"/>
      <c r="BCM21" s="37"/>
      <c r="BCN21" s="37"/>
      <c r="BCO21" s="37"/>
      <c r="BCP21" s="37"/>
      <c r="BCQ21" s="37"/>
      <c r="BCR21" s="37"/>
      <c r="BCS21" s="37"/>
      <c r="BCT21" s="37"/>
      <c r="BCU21" s="37"/>
      <c r="BCV21" s="37"/>
      <c r="BCW21" s="37"/>
      <c r="BCX21" s="37"/>
      <c r="BCY21" s="37"/>
      <c r="BCZ21" s="37"/>
      <c r="BDA21" s="37"/>
      <c r="BDB21" s="37"/>
      <c r="BDC21" s="37"/>
      <c r="BDD21" s="37"/>
      <c r="BDE21" s="37"/>
      <c r="BDF21" s="37"/>
      <c r="BDG21" s="37"/>
      <c r="BDH21" s="37"/>
      <c r="BDI21" s="37"/>
      <c r="BDJ21" s="37"/>
      <c r="BDK21" s="37"/>
      <c r="BDL21" s="37"/>
      <c r="BDM21" s="37"/>
      <c r="BDN21" s="37"/>
      <c r="BDO21" s="37"/>
      <c r="BDP21" s="37"/>
      <c r="BDQ21" s="37"/>
      <c r="BDR21" s="37"/>
      <c r="BDS21" s="37"/>
      <c r="BDT21" s="37"/>
      <c r="BDU21" s="37"/>
      <c r="BDV21" s="37"/>
      <c r="BDW21" s="37"/>
      <c r="BDX21" s="37"/>
      <c r="BDY21" s="37"/>
      <c r="BDZ21" s="37"/>
      <c r="BEA21" s="37"/>
      <c r="BEB21" s="37"/>
      <c r="BEC21" s="37"/>
      <c r="BED21" s="37"/>
      <c r="BEE21" s="37"/>
      <c r="BEF21" s="37"/>
      <c r="BEG21" s="37"/>
      <c r="BEH21" s="37"/>
      <c r="BEI21" s="37"/>
      <c r="BEJ21" s="37"/>
      <c r="BEK21" s="37"/>
      <c r="BEL21" s="37"/>
      <c r="BEM21" s="37"/>
      <c r="BEN21" s="37"/>
      <c r="BEO21" s="37"/>
      <c r="BEP21" s="37"/>
      <c r="BEQ21" s="37"/>
      <c r="BER21" s="37"/>
      <c r="BES21" s="37"/>
      <c r="BET21" s="37"/>
      <c r="BEU21" s="37"/>
      <c r="BEV21" s="37"/>
      <c r="BEW21" s="37"/>
      <c r="BEX21" s="37"/>
      <c r="BEY21" s="37"/>
      <c r="BEZ21" s="37"/>
      <c r="BFA21" s="37"/>
      <c r="BFB21" s="37"/>
      <c r="BFC21" s="37"/>
      <c r="BFD21" s="37"/>
      <c r="BFE21" s="37"/>
      <c r="BFF21" s="37"/>
      <c r="BFG21" s="37"/>
      <c r="BFH21" s="37"/>
      <c r="BFI21" s="37"/>
      <c r="BFJ21" s="37"/>
      <c r="BFK21" s="37"/>
      <c r="BFL21" s="37"/>
      <c r="BFM21" s="37"/>
      <c r="BFN21" s="37"/>
      <c r="BFO21" s="37"/>
      <c r="BFP21" s="37"/>
      <c r="BFQ21" s="37"/>
      <c r="BFR21" s="37"/>
      <c r="BFS21" s="37"/>
      <c r="BFT21" s="37"/>
      <c r="BFU21" s="37"/>
      <c r="BFV21" s="37"/>
      <c r="BFW21" s="37"/>
      <c r="BFX21" s="37"/>
      <c r="BFY21" s="37"/>
      <c r="BFZ21" s="37"/>
      <c r="BGA21" s="37"/>
      <c r="BGB21" s="37"/>
      <c r="BGC21" s="37"/>
      <c r="BGD21" s="37"/>
      <c r="BGE21" s="37"/>
      <c r="BGF21" s="37"/>
      <c r="BGG21" s="37"/>
      <c r="BGH21" s="37"/>
      <c r="BGI21" s="37"/>
      <c r="BGJ21" s="37"/>
      <c r="BGK21" s="37"/>
      <c r="BGL21" s="37"/>
      <c r="BGM21" s="37"/>
      <c r="BGN21" s="37"/>
      <c r="BGO21" s="37"/>
      <c r="BGP21" s="37"/>
      <c r="BGQ21" s="37"/>
      <c r="BGR21" s="37"/>
      <c r="BGS21" s="37"/>
      <c r="BGT21" s="37"/>
      <c r="BGU21" s="37"/>
      <c r="BGV21" s="37"/>
      <c r="BGW21" s="37"/>
      <c r="BGX21" s="37"/>
      <c r="BGY21" s="37"/>
      <c r="BGZ21" s="37"/>
      <c r="BHA21" s="37"/>
      <c r="BHB21" s="37"/>
      <c r="BHC21" s="37"/>
      <c r="BHD21" s="37"/>
      <c r="BHE21" s="37"/>
      <c r="BHF21" s="37"/>
      <c r="BHG21" s="37"/>
      <c r="BHH21" s="37"/>
      <c r="BHI21" s="37"/>
      <c r="BHJ21" s="37"/>
      <c r="BHK21" s="37"/>
      <c r="BHL21" s="37"/>
      <c r="BHM21" s="37"/>
      <c r="BHN21" s="37"/>
      <c r="BHO21" s="37"/>
      <c r="BHP21" s="37"/>
      <c r="BHQ21" s="37"/>
      <c r="BHR21" s="37"/>
      <c r="BHS21" s="37"/>
      <c r="BHT21" s="37"/>
      <c r="BHU21" s="37"/>
      <c r="BHV21" s="37"/>
      <c r="BHW21" s="37"/>
      <c r="BHX21" s="37"/>
      <c r="BHY21" s="37"/>
      <c r="BHZ21" s="37"/>
      <c r="BIA21" s="37"/>
      <c r="BIB21" s="37"/>
      <c r="BIC21" s="37"/>
      <c r="BID21" s="37"/>
      <c r="BIE21" s="37"/>
      <c r="BIF21" s="37"/>
      <c r="BIG21" s="37"/>
      <c r="BIH21" s="37"/>
      <c r="BII21" s="37"/>
      <c r="BIJ21" s="37"/>
      <c r="BIK21" s="37"/>
      <c r="BIL21" s="37"/>
      <c r="BIM21" s="37"/>
      <c r="BIN21" s="37"/>
      <c r="BIO21" s="37"/>
      <c r="BIP21" s="37"/>
      <c r="BIQ21" s="37"/>
      <c r="BIR21" s="37"/>
      <c r="BIS21" s="37"/>
      <c r="BIT21" s="37"/>
      <c r="BIU21" s="37"/>
      <c r="BIV21" s="37"/>
      <c r="BIW21" s="37"/>
      <c r="BIX21" s="37"/>
      <c r="BIY21" s="37"/>
      <c r="BIZ21" s="37"/>
      <c r="BJA21" s="37"/>
      <c r="BJB21" s="37"/>
      <c r="BJC21" s="37"/>
      <c r="BJD21" s="37"/>
      <c r="BJE21" s="37"/>
      <c r="BJF21" s="37"/>
      <c r="BJG21" s="37"/>
      <c r="BJH21" s="37"/>
      <c r="BJI21" s="37"/>
      <c r="BJJ21" s="37"/>
      <c r="BJK21" s="37"/>
      <c r="BJL21" s="37"/>
      <c r="BJM21" s="37"/>
      <c r="BJN21" s="37"/>
      <c r="BJO21" s="37"/>
      <c r="BJP21" s="37"/>
      <c r="BJQ21" s="37"/>
      <c r="BJR21" s="37"/>
      <c r="BJS21" s="37"/>
      <c r="BJT21" s="37"/>
      <c r="BJU21" s="37"/>
      <c r="BJV21" s="37"/>
      <c r="BJW21" s="37"/>
      <c r="BJX21" s="37"/>
      <c r="BJY21" s="37"/>
      <c r="BJZ21" s="37"/>
      <c r="BKA21" s="37"/>
      <c r="BKB21" s="37"/>
      <c r="BKC21" s="37"/>
      <c r="BKD21" s="37"/>
      <c r="BKE21" s="37"/>
      <c r="BKF21" s="37"/>
      <c r="BKG21" s="37"/>
      <c r="BKH21" s="37"/>
      <c r="BKI21" s="37"/>
      <c r="BKJ21" s="37"/>
      <c r="BKK21" s="37"/>
      <c r="BKL21" s="37"/>
      <c r="BKM21" s="37"/>
      <c r="BKN21" s="37"/>
      <c r="BKO21" s="37"/>
      <c r="BKP21" s="37"/>
      <c r="BKQ21" s="37"/>
      <c r="BKR21" s="37"/>
      <c r="BKS21" s="37"/>
      <c r="BKT21" s="37"/>
      <c r="BKU21" s="37"/>
      <c r="BKV21" s="37"/>
      <c r="BKW21" s="37"/>
      <c r="BKX21" s="37"/>
      <c r="BKY21" s="37"/>
      <c r="BKZ21" s="37"/>
      <c r="BLA21" s="37"/>
      <c r="BLB21" s="37"/>
      <c r="BLC21" s="37"/>
      <c r="BLD21" s="37"/>
      <c r="BLE21" s="37"/>
      <c r="BLF21" s="37"/>
      <c r="BLG21" s="37"/>
      <c r="BLH21" s="37"/>
      <c r="BLI21" s="37"/>
      <c r="BLJ21" s="37"/>
      <c r="BLK21" s="37"/>
      <c r="BLL21" s="37"/>
      <c r="BLM21" s="37"/>
      <c r="BLN21" s="37"/>
      <c r="BLO21" s="37"/>
      <c r="BLP21" s="37"/>
      <c r="BLQ21" s="37"/>
      <c r="BLR21" s="37"/>
      <c r="BLS21" s="37"/>
      <c r="BLT21" s="37"/>
      <c r="BLU21" s="37"/>
      <c r="BLV21" s="37"/>
      <c r="BLW21" s="37"/>
      <c r="BLX21" s="37"/>
      <c r="BLY21" s="37"/>
      <c r="BLZ21" s="37"/>
      <c r="BMA21" s="37"/>
      <c r="BMB21" s="37"/>
      <c r="BMC21" s="37"/>
      <c r="BMD21" s="37"/>
      <c r="BME21" s="37"/>
      <c r="BMF21" s="37"/>
      <c r="BMG21" s="37"/>
      <c r="BMH21" s="37"/>
      <c r="BMI21" s="37"/>
      <c r="BMJ21" s="37"/>
      <c r="BMK21" s="37"/>
      <c r="BML21" s="37"/>
      <c r="BMM21" s="37"/>
      <c r="BMN21" s="37"/>
      <c r="BMO21" s="37"/>
      <c r="BMP21" s="37"/>
      <c r="BMQ21" s="37"/>
      <c r="BMR21" s="37"/>
      <c r="BMS21" s="37"/>
      <c r="BMT21" s="37"/>
      <c r="BMU21" s="37"/>
      <c r="BMV21" s="37"/>
      <c r="BMW21" s="37"/>
      <c r="BMX21" s="37"/>
      <c r="BMY21" s="37"/>
      <c r="BMZ21" s="37"/>
      <c r="BNA21" s="37"/>
      <c r="BNB21" s="37"/>
      <c r="BNC21" s="37"/>
      <c r="BND21" s="37"/>
      <c r="BNE21" s="37"/>
      <c r="BNF21" s="37"/>
      <c r="BNG21" s="37"/>
      <c r="BNH21" s="37"/>
      <c r="BNI21" s="37"/>
      <c r="BNJ21" s="37"/>
      <c r="BNK21" s="37"/>
      <c r="BNL21" s="37"/>
      <c r="BNM21" s="37"/>
      <c r="BNN21" s="37"/>
      <c r="BNO21" s="37"/>
      <c r="BNP21" s="37"/>
      <c r="BNQ21" s="37"/>
      <c r="BNR21" s="37"/>
      <c r="BNS21" s="37"/>
      <c r="BNT21" s="37"/>
      <c r="BNU21" s="37"/>
      <c r="BNV21" s="37"/>
      <c r="BNW21" s="37"/>
      <c r="BNX21" s="37"/>
      <c r="BNY21" s="37"/>
      <c r="BNZ21" s="37"/>
      <c r="BOA21" s="37"/>
      <c r="BOB21" s="37"/>
      <c r="BOC21" s="37"/>
      <c r="BOD21" s="37"/>
      <c r="BOE21" s="37"/>
      <c r="BOF21" s="37"/>
      <c r="BOG21" s="37"/>
      <c r="BOH21" s="37"/>
      <c r="BOI21" s="37"/>
      <c r="BOJ21" s="37"/>
      <c r="BOK21" s="37"/>
      <c r="BOL21" s="37"/>
      <c r="BOM21" s="37"/>
      <c r="BON21" s="37"/>
      <c r="BOO21" s="37"/>
      <c r="BOP21" s="37"/>
      <c r="BOQ21" s="37"/>
      <c r="BOR21" s="37"/>
      <c r="BOS21" s="37"/>
      <c r="BOT21" s="37"/>
      <c r="BOU21" s="37"/>
      <c r="BOV21" s="37"/>
      <c r="BOW21" s="37"/>
      <c r="BOX21" s="37"/>
      <c r="BOY21" s="37"/>
      <c r="BOZ21" s="37"/>
      <c r="BPA21" s="37"/>
      <c r="BPB21" s="37"/>
      <c r="BPC21" s="37"/>
      <c r="BPD21" s="37"/>
      <c r="BPE21" s="37"/>
      <c r="BPF21" s="37"/>
      <c r="BPG21" s="37"/>
      <c r="BPH21" s="37"/>
      <c r="BPI21" s="37"/>
      <c r="BPJ21" s="37"/>
      <c r="BPK21" s="37"/>
      <c r="BPL21" s="37"/>
      <c r="BPM21" s="37"/>
      <c r="BPN21" s="37"/>
      <c r="BPO21" s="37"/>
      <c r="BPP21" s="37"/>
      <c r="BPQ21" s="37"/>
      <c r="BPR21" s="37"/>
      <c r="BPS21" s="37"/>
      <c r="BPT21" s="37"/>
      <c r="BPU21" s="37"/>
      <c r="BPV21" s="37"/>
      <c r="BPW21" s="37"/>
      <c r="BPX21" s="37"/>
      <c r="BPY21" s="37"/>
      <c r="BPZ21" s="37"/>
      <c r="BQA21" s="37"/>
      <c r="BQB21" s="37"/>
      <c r="BQC21" s="37"/>
      <c r="BQD21" s="37"/>
      <c r="BQE21" s="37"/>
      <c r="BQF21" s="37"/>
      <c r="BQG21" s="37"/>
      <c r="BQH21" s="37"/>
      <c r="BQI21" s="37"/>
      <c r="BQJ21" s="37"/>
      <c r="BQK21" s="37"/>
      <c r="BQL21" s="37"/>
      <c r="BQM21" s="37"/>
      <c r="BQN21" s="37"/>
      <c r="BQO21" s="37"/>
      <c r="BQP21" s="37"/>
      <c r="BQQ21" s="37"/>
      <c r="BQR21" s="37"/>
      <c r="BQS21" s="37"/>
      <c r="BQT21" s="37"/>
      <c r="BQU21" s="37"/>
      <c r="BQV21" s="37"/>
      <c r="BQW21" s="37"/>
      <c r="BQX21" s="37"/>
      <c r="BQY21" s="37"/>
      <c r="BQZ21" s="37"/>
      <c r="BRA21" s="37"/>
      <c r="BRB21" s="37"/>
      <c r="BRC21" s="37"/>
      <c r="BRD21" s="37"/>
      <c r="BRE21" s="37"/>
      <c r="BRF21" s="37"/>
      <c r="BRG21" s="37"/>
      <c r="BRH21" s="37"/>
      <c r="BRI21" s="37"/>
      <c r="BRJ21" s="37"/>
      <c r="BRK21" s="37"/>
      <c r="BRL21" s="37"/>
      <c r="BRM21" s="37"/>
      <c r="BRN21" s="37"/>
      <c r="BRO21" s="37"/>
      <c r="BRP21" s="37"/>
      <c r="BRQ21" s="37"/>
      <c r="BRR21" s="37"/>
      <c r="BRS21" s="37"/>
      <c r="BRT21" s="37"/>
      <c r="BRU21" s="37"/>
      <c r="BRV21" s="37"/>
      <c r="BRW21" s="37"/>
      <c r="BRX21" s="37"/>
      <c r="BRY21" s="37"/>
      <c r="BRZ21" s="37"/>
      <c r="BSA21" s="37"/>
      <c r="BSB21" s="37"/>
      <c r="BSC21" s="37"/>
      <c r="BSD21" s="37"/>
      <c r="BSE21" s="37"/>
      <c r="BSF21" s="37"/>
      <c r="BSG21" s="37"/>
      <c r="BSH21" s="37"/>
      <c r="BSI21" s="37"/>
      <c r="BSJ21" s="37"/>
      <c r="BSK21" s="37"/>
      <c r="BSL21" s="37"/>
      <c r="BSM21" s="37"/>
      <c r="BSN21" s="37"/>
      <c r="BSO21" s="37"/>
      <c r="BSP21" s="37"/>
      <c r="BSQ21" s="37"/>
      <c r="BSR21" s="37"/>
      <c r="BSS21" s="37"/>
      <c r="BST21" s="37"/>
      <c r="BSU21" s="37"/>
      <c r="BSV21" s="37"/>
      <c r="BSW21" s="37"/>
      <c r="BSX21" s="37"/>
      <c r="BSY21" s="37"/>
      <c r="BSZ21" s="37"/>
      <c r="BTA21" s="37"/>
      <c r="BTB21" s="37"/>
      <c r="BTC21" s="37"/>
      <c r="BTD21" s="37"/>
      <c r="BTE21" s="37"/>
      <c r="BTF21" s="37"/>
      <c r="BTG21" s="37"/>
      <c r="BTH21" s="37"/>
      <c r="BTI21" s="37"/>
      <c r="BTJ21" s="37"/>
      <c r="BTK21" s="37"/>
      <c r="BTL21" s="37"/>
      <c r="BTM21" s="37"/>
      <c r="BTN21" s="37"/>
      <c r="BTO21" s="37"/>
      <c r="BTP21" s="37"/>
      <c r="BTQ21" s="37"/>
      <c r="BTR21" s="37"/>
      <c r="BTS21" s="37"/>
      <c r="BTT21" s="37"/>
      <c r="BTU21" s="37"/>
      <c r="BTV21" s="37"/>
      <c r="BTW21" s="37"/>
      <c r="BTX21" s="37"/>
      <c r="BTY21" s="37"/>
      <c r="BTZ21" s="37"/>
      <c r="BUA21" s="37"/>
      <c r="BUB21" s="37"/>
      <c r="BUC21" s="37"/>
      <c r="BUD21" s="37"/>
      <c r="BUE21" s="37"/>
      <c r="BUF21" s="37"/>
      <c r="BUG21" s="37"/>
      <c r="BUH21" s="37"/>
      <c r="BUI21" s="37"/>
      <c r="BUJ21" s="37"/>
      <c r="BUK21" s="37"/>
      <c r="BUL21" s="37"/>
      <c r="BUM21" s="37"/>
      <c r="BUN21" s="37"/>
      <c r="BUO21" s="37"/>
      <c r="BUP21" s="37"/>
      <c r="BUQ21" s="37"/>
      <c r="BUR21" s="37"/>
      <c r="BUS21" s="37"/>
      <c r="BUT21" s="37"/>
      <c r="BUU21" s="37"/>
      <c r="BUV21" s="37"/>
      <c r="BUW21" s="37"/>
      <c r="BUX21" s="37"/>
      <c r="BUY21" s="37"/>
      <c r="BUZ21" s="37"/>
      <c r="BVA21" s="37"/>
      <c r="BVB21" s="37"/>
      <c r="BVC21" s="37"/>
      <c r="BVD21" s="37"/>
      <c r="BVE21" s="37"/>
      <c r="BVF21" s="37"/>
      <c r="BVG21" s="37"/>
      <c r="BVH21" s="37"/>
      <c r="BVI21" s="37"/>
      <c r="BVJ21" s="37"/>
      <c r="BVK21" s="37"/>
      <c r="BVL21" s="37"/>
      <c r="BVM21" s="37"/>
      <c r="BVN21" s="37"/>
      <c r="BVO21" s="37"/>
      <c r="BVP21" s="37"/>
      <c r="BVQ21" s="37"/>
      <c r="BVR21" s="37"/>
      <c r="BVS21" s="37"/>
      <c r="BVT21" s="37"/>
      <c r="BVU21" s="37"/>
      <c r="BVV21" s="37"/>
      <c r="BVW21" s="37"/>
      <c r="BVX21" s="37"/>
      <c r="BVY21" s="37"/>
      <c r="BVZ21" s="37"/>
      <c r="BWA21" s="37"/>
      <c r="BWB21" s="37"/>
      <c r="BWC21" s="37"/>
      <c r="BWD21" s="37"/>
      <c r="BWE21" s="37"/>
      <c r="BWF21" s="37"/>
      <c r="BWG21" s="37"/>
      <c r="BWH21" s="37"/>
      <c r="BWI21" s="37"/>
      <c r="BWJ21" s="37"/>
    </row>
    <row r="22" spans="1:1960" x14ac:dyDescent="0.25">
      <c r="A22" s="38">
        <v>17</v>
      </c>
      <c r="B22" s="39">
        <v>20</v>
      </c>
      <c r="C22" s="40">
        <v>1000</v>
      </c>
      <c r="D22" s="41" t="s">
        <v>23</v>
      </c>
      <c r="E22" s="271">
        <f ca="1"/>
        <v>69</v>
      </c>
      <c r="F22" s="33">
        <v>-100</v>
      </c>
      <c r="G22" s="33">
        <v>1000</v>
      </c>
      <c r="H22" s="43">
        <f ca="1"/>
        <v>-100</v>
      </c>
      <c r="I22" s="33">
        <f ca="1"/>
        <v>49.9</v>
      </c>
      <c r="J22" s="35">
        <v>17</v>
      </c>
      <c r="K22" s="36">
        <v>20</v>
      </c>
      <c r="L22" s="37">
        <v>20</v>
      </c>
      <c r="M22" s="37">
        <v>20</v>
      </c>
      <c r="N22" s="37">
        <v>20</v>
      </c>
      <c r="O22" s="37">
        <v>20</v>
      </c>
      <c r="P22" s="37">
        <v>20</v>
      </c>
      <c r="Q22" s="37">
        <v>20</v>
      </c>
      <c r="R22" s="37">
        <v>20</v>
      </c>
      <c r="S22" s="37">
        <v>20</v>
      </c>
      <c r="T22" s="37">
        <v>20</v>
      </c>
      <c r="U22" s="37">
        <v>20</v>
      </c>
      <c r="V22" s="37">
        <v>20</v>
      </c>
      <c r="W22" s="37">
        <v>20</v>
      </c>
      <c r="X22" s="37">
        <v>20</v>
      </c>
      <c r="Y22" s="37">
        <v>20</v>
      </c>
      <c r="Z22" s="37">
        <v>20</v>
      </c>
      <c r="AA22" s="37">
        <v>20</v>
      </c>
      <c r="AB22" s="37">
        <v>20</v>
      </c>
      <c r="AC22" s="37">
        <v>20</v>
      </c>
      <c r="AD22" s="37">
        <v>20</v>
      </c>
      <c r="AE22" s="37">
        <v>20</v>
      </c>
      <c r="AF22" s="37">
        <v>20</v>
      </c>
      <c r="AG22" s="37">
        <v>20</v>
      </c>
      <c r="AH22" s="37">
        <v>20</v>
      </c>
      <c r="AI22" s="37">
        <v>20</v>
      </c>
      <c r="AJ22" s="37">
        <v>20</v>
      </c>
      <c r="AK22" s="37">
        <v>20</v>
      </c>
      <c r="AL22" s="37">
        <v>20</v>
      </c>
      <c r="AM22" s="37">
        <v>20</v>
      </c>
      <c r="AN22" s="37">
        <v>20</v>
      </c>
      <c r="AO22" s="37">
        <v>20</v>
      </c>
      <c r="AP22" s="37">
        <v>20</v>
      </c>
      <c r="AQ22" s="37">
        <v>20</v>
      </c>
      <c r="AR22" s="37">
        <v>20</v>
      </c>
      <c r="AS22" s="37">
        <v>20</v>
      </c>
      <c r="AT22" s="37">
        <v>20</v>
      </c>
      <c r="AU22" s="37">
        <v>20</v>
      </c>
      <c r="AV22" s="37">
        <v>20</v>
      </c>
      <c r="AW22" s="37">
        <v>20</v>
      </c>
      <c r="AX22" s="37">
        <v>20</v>
      </c>
      <c r="AY22" s="37">
        <v>20</v>
      </c>
      <c r="AZ22" s="37">
        <v>20</v>
      </c>
      <c r="BA22" s="37">
        <v>20</v>
      </c>
      <c r="BB22" s="37">
        <v>20</v>
      </c>
      <c r="BC22" s="37">
        <v>20</v>
      </c>
      <c r="BD22" s="37">
        <v>20</v>
      </c>
      <c r="BE22" s="37">
        <v>20</v>
      </c>
      <c r="BF22" s="37">
        <v>20</v>
      </c>
      <c r="BG22" s="37">
        <v>20</v>
      </c>
      <c r="BH22" s="37">
        <v>20</v>
      </c>
      <c r="BI22" s="37">
        <v>20</v>
      </c>
      <c r="BJ22" s="37">
        <v>20</v>
      </c>
      <c r="BK22" s="37">
        <v>20</v>
      </c>
      <c r="BL22" s="37">
        <v>20</v>
      </c>
      <c r="BM22" s="37">
        <v>20</v>
      </c>
      <c r="BN22" s="37">
        <v>20</v>
      </c>
      <c r="BO22" s="37">
        <v>20</v>
      </c>
      <c r="BP22" s="37">
        <v>20</v>
      </c>
      <c r="BQ22" s="37">
        <v>20</v>
      </c>
      <c r="BR22" s="37">
        <v>20</v>
      </c>
      <c r="BS22" s="37">
        <v>20</v>
      </c>
      <c r="BT22" s="37">
        <v>20</v>
      </c>
      <c r="BU22" s="37">
        <v>20</v>
      </c>
      <c r="BV22" s="37">
        <v>20</v>
      </c>
      <c r="BW22" s="37">
        <v>20</v>
      </c>
      <c r="BX22" s="37">
        <v>20</v>
      </c>
      <c r="BY22" s="37">
        <v>20</v>
      </c>
      <c r="BZ22" s="37">
        <v>20</v>
      </c>
      <c r="CA22" s="37">
        <v>0</v>
      </c>
      <c r="CB22" s="37">
        <v>0</v>
      </c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  <c r="AMD22" s="37"/>
      <c r="AME22" s="37"/>
      <c r="AMF22" s="37"/>
      <c r="AMG22" s="37"/>
      <c r="AMH22" s="37"/>
      <c r="AMI22" s="37"/>
      <c r="AMJ22" s="37"/>
      <c r="AMK22" s="37"/>
      <c r="AML22" s="37"/>
      <c r="AMM22" s="37"/>
      <c r="AMN22" s="37"/>
      <c r="AMO22" s="37"/>
      <c r="AMP22" s="37"/>
      <c r="AMQ22" s="37"/>
      <c r="AMR22" s="37"/>
      <c r="AMS22" s="37"/>
      <c r="AMT22" s="37"/>
      <c r="AMU22" s="37"/>
      <c r="AMV22" s="37"/>
      <c r="AMW22" s="37"/>
      <c r="AMX22" s="37"/>
      <c r="AMY22" s="37"/>
      <c r="AMZ22" s="37"/>
      <c r="ANA22" s="37"/>
      <c r="ANB22" s="37"/>
      <c r="ANC22" s="37"/>
      <c r="AND22" s="37"/>
      <c r="ANE22" s="37"/>
      <c r="ANF22" s="37"/>
      <c r="ANG22" s="37"/>
      <c r="ANH22" s="37"/>
      <c r="ANI22" s="37"/>
      <c r="ANJ22" s="37"/>
      <c r="ANK22" s="37"/>
      <c r="ANL22" s="37"/>
      <c r="ANM22" s="37"/>
      <c r="ANN22" s="37"/>
      <c r="ANO22" s="37"/>
      <c r="ANP22" s="37"/>
      <c r="ANQ22" s="37"/>
      <c r="ANR22" s="37"/>
      <c r="ANS22" s="37"/>
      <c r="ANT22" s="37"/>
      <c r="ANU22" s="37"/>
      <c r="ANV22" s="37"/>
      <c r="ANW22" s="37"/>
      <c r="ANX22" s="37"/>
      <c r="ANY22" s="37"/>
      <c r="ANZ22" s="37"/>
      <c r="AOA22" s="37"/>
      <c r="AOB22" s="37"/>
      <c r="AOC22" s="37"/>
      <c r="AOD22" s="37"/>
      <c r="AOE22" s="37"/>
      <c r="AOF22" s="37"/>
      <c r="AOG22" s="37"/>
      <c r="AOH22" s="37"/>
      <c r="AOI22" s="37"/>
      <c r="AOJ22" s="37"/>
      <c r="AOK22" s="37"/>
      <c r="AOL22" s="37"/>
      <c r="AOM22" s="37"/>
      <c r="AON22" s="37"/>
      <c r="AOO22" s="37"/>
      <c r="AOP22" s="37"/>
      <c r="AOQ22" s="37"/>
      <c r="AOR22" s="37"/>
      <c r="AOS22" s="37"/>
      <c r="AOT22" s="37"/>
      <c r="AOU22" s="37"/>
      <c r="AOV22" s="37"/>
      <c r="AOW22" s="37"/>
      <c r="AOX22" s="37"/>
      <c r="AOY22" s="37"/>
      <c r="AOZ22" s="37"/>
      <c r="APA22" s="37"/>
      <c r="APB22" s="37"/>
      <c r="APC22" s="37"/>
      <c r="APD22" s="37"/>
      <c r="APE22" s="37"/>
      <c r="APF22" s="37"/>
      <c r="APG22" s="37"/>
      <c r="APH22" s="37"/>
      <c r="API22" s="37"/>
      <c r="APJ22" s="37"/>
      <c r="APK22" s="37"/>
      <c r="APL22" s="37"/>
      <c r="APM22" s="37"/>
      <c r="APN22" s="37"/>
      <c r="APO22" s="37"/>
      <c r="APP22" s="37"/>
      <c r="APQ22" s="37"/>
      <c r="APR22" s="37"/>
      <c r="APS22" s="37"/>
      <c r="APT22" s="37"/>
      <c r="APU22" s="37"/>
      <c r="APV22" s="37"/>
      <c r="APW22" s="37"/>
      <c r="APX22" s="37"/>
      <c r="APY22" s="37"/>
      <c r="APZ22" s="37"/>
      <c r="AQA22" s="37"/>
      <c r="AQB22" s="37"/>
      <c r="AQC22" s="37"/>
      <c r="AQD22" s="37"/>
      <c r="AQE22" s="37"/>
      <c r="AQF22" s="37"/>
      <c r="AQG22" s="37"/>
      <c r="AQH22" s="37"/>
      <c r="AQI22" s="37"/>
      <c r="AQJ22" s="37"/>
      <c r="AQK22" s="37"/>
      <c r="AQL22" s="37"/>
      <c r="AQM22" s="37"/>
      <c r="AQN22" s="37"/>
      <c r="AQO22" s="37"/>
      <c r="AQP22" s="37"/>
      <c r="AQQ22" s="37"/>
      <c r="AQR22" s="37"/>
      <c r="AQS22" s="37"/>
      <c r="AQT22" s="37"/>
      <c r="AQU22" s="37"/>
      <c r="AQV22" s="37"/>
      <c r="AQW22" s="37"/>
      <c r="AQX22" s="37"/>
      <c r="AQY22" s="37"/>
      <c r="AQZ22" s="37"/>
      <c r="ARA22" s="37"/>
      <c r="ARB22" s="37"/>
      <c r="ARC22" s="37"/>
      <c r="ARD22" s="37"/>
      <c r="ARE22" s="37"/>
      <c r="ARF22" s="37"/>
      <c r="ARG22" s="37"/>
      <c r="ARH22" s="37"/>
      <c r="ARI22" s="37"/>
      <c r="ARJ22" s="37"/>
      <c r="ARK22" s="37"/>
      <c r="ARL22" s="37"/>
      <c r="ARM22" s="37"/>
      <c r="ARN22" s="37"/>
      <c r="ARO22" s="37"/>
      <c r="ARP22" s="37"/>
      <c r="ARQ22" s="37"/>
      <c r="ARR22" s="37"/>
      <c r="ARS22" s="37"/>
      <c r="ART22" s="37"/>
      <c r="ARU22" s="37"/>
      <c r="ARV22" s="37"/>
      <c r="ARW22" s="37"/>
      <c r="ARX22" s="37"/>
      <c r="ARY22" s="37"/>
      <c r="ARZ22" s="37"/>
      <c r="ASA22" s="37"/>
      <c r="ASB22" s="37"/>
      <c r="ASC22" s="37"/>
      <c r="ASD22" s="37"/>
      <c r="ASE22" s="37"/>
      <c r="ASF22" s="37"/>
      <c r="ASG22" s="37"/>
      <c r="ASH22" s="37"/>
      <c r="ASI22" s="37"/>
      <c r="ASJ22" s="37"/>
      <c r="ASK22" s="37"/>
      <c r="ASL22" s="37"/>
      <c r="ASM22" s="37"/>
      <c r="ASN22" s="37"/>
      <c r="ASO22" s="37"/>
      <c r="ASP22" s="37"/>
      <c r="ASQ22" s="37"/>
      <c r="ASR22" s="37"/>
      <c r="ASS22" s="37"/>
      <c r="AST22" s="37"/>
      <c r="ASU22" s="37"/>
      <c r="ASV22" s="37"/>
      <c r="ASW22" s="37"/>
      <c r="ASX22" s="37"/>
      <c r="ASY22" s="37"/>
      <c r="ASZ22" s="37"/>
      <c r="ATA22" s="37"/>
      <c r="ATB22" s="37"/>
      <c r="ATC22" s="37"/>
      <c r="ATD22" s="37"/>
      <c r="ATE22" s="37"/>
      <c r="ATF22" s="37"/>
      <c r="ATG22" s="37"/>
      <c r="ATH22" s="37"/>
      <c r="ATI22" s="37"/>
      <c r="ATJ22" s="37"/>
      <c r="ATK22" s="37"/>
      <c r="ATL22" s="37"/>
      <c r="ATM22" s="37"/>
      <c r="ATN22" s="37"/>
      <c r="ATO22" s="37"/>
      <c r="ATP22" s="37"/>
      <c r="ATQ22" s="37"/>
      <c r="ATR22" s="37"/>
      <c r="ATS22" s="37"/>
      <c r="ATT22" s="37"/>
      <c r="ATU22" s="37"/>
      <c r="ATV22" s="37"/>
      <c r="ATW22" s="37"/>
      <c r="ATX22" s="37"/>
      <c r="ATY22" s="37"/>
      <c r="ATZ22" s="37"/>
      <c r="AUA22" s="37"/>
      <c r="AUB22" s="37"/>
      <c r="AUC22" s="37"/>
      <c r="AUD22" s="37"/>
      <c r="AUE22" s="37"/>
      <c r="AUF22" s="37"/>
      <c r="AUG22" s="37"/>
      <c r="AUH22" s="37"/>
      <c r="AUI22" s="37"/>
      <c r="AUJ22" s="37"/>
      <c r="AUK22" s="37"/>
      <c r="AUL22" s="37"/>
      <c r="AUM22" s="37"/>
      <c r="AUN22" s="37"/>
      <c r="AUO22" s="37"/>
      <c r="AUP22" s="37"/>
      <c r="AUQ22" s="37"/>
      <c r="AUR22" s="37"/>
      <c r="AUS22" s="37"/>
      <c r="AUT22" s="37"/>
      <c r="AUU22" s="37"/>
      <c r="AUV22" s="37"/>
      <c r="AUW22" s="37"/>
      <c r="AUX22" s="37"/>
      <c r="AUY22" s="37"/>
      <c r="AUZ22" s="37"/>
      <c r="AVA22" s="37"/>
      <c r="AVB22" s="37"/>
      <c r="AVC22" s="37"/>
      <c r="AVD22" s="37"/>
      <c r="AVE22" s="37"/>
      <c r="AVF22" s="37"/>
      <c r="AVG22" s="37"/>
      <c r="AVH22" s="37"/>
      <c r="AVI22" s="37"/>
      <c r="AVJ22" s="37"/>
      <c r="AVK22" s="37"/>
      <c r="AVL22" s="37"/>
      <c r="AVM22" s="37"/>
      <c r="AVN22" s="37"/>
      <c r="AVO22" s="37"/>
      <c r="AVP22" s="37"/>
      <c r="AVQ22" s="37"/>
      <c r="AVR22" s="37"/>
      <c r="AVS22" s="37"/>
      <c r="AVT22" s="37"/>
      <c r="AVU22" s="37"/>
      <c r="AVV22" s="37"/>
      <c r="AVW22" s="37"/>
      <c r="AVX22" s="37"/>
      <c r="AVY22" s="37"/>
      <c r="AVZ22" s="37"/>
      <c r="AWA22" s="37"/>
      <c r="AWB22" s="37"/>
      <c r="AWC22" s="37"/>
      <c r="AWD22" s="37"/>
      <c r="AWE22" s="37"/>
      <c r="AWF22" s="37"/>
      <c r="AWG22" s="37"/>
      <c r="AWH22" s="37"/>
      <c r="AWI22" s="37"/>
      <c r="AWJ22" s="37"/>
      <c r="AWK22" s="37"/>
      <c r="AWL22" s="37"/>
      <c r="AWM22" s="37"/>
      <c r="AWN22" s="37"/>
      <c r="AWO22" s="37"/>
      <c r="AWP22" s="37"/>
      <c r="AWQ22" s="37"/>
      <c r="AWR22" s="37"/>
      <c r="AWS22" s="37"/>
      <c r="AWT22" s="37"/>
      <c r="AWU22" s="37"/>
      <c r="AWV22" s="37"/>
      <c r="AWW22" s="37"/>
      <c r="AWX22" s="37"/>
      <c r="AWY22" s="37"/>
      <c r="AWZ22" s="37"/>
      <c r="AXA22" s="37"/>
      <c r="AXB22" s="37"/>
      <c r="AXC22" s="37"/>
      <c r="AXD22" s="37"/>
      <c r="AXE22" s="37"/>
      <c r="AXF22" s="37"/>
      <c r="AXG22" s="37"/>
      <c r="AXH22" s="37"/>
      <c r="AXI22" s="37"/>
      <c r="AXJ22" s="37"/>
      <c r="AXK22" s="37"/>
      <c r="AXL22" s="37"/>
      <c r="AXM22" s="37"/>
      <c r="AXN22" s="37"/>
      <c r="AXO22" s="37"/>
      <c r="AXP22" s="37"/>
      <c r="AXQ22" s="37"/>
      <c r="AXR22" s="37"/>
      <c r="AXS22" s="37"/>
      <c r="AXT22" s="37"/>
      <c r="AXU22" s="37"/>
      <c r="AXV22" s="37"/>
      <c r="AXW22" s="37"/>
      <c r="AXX22" s="37"/>
      <c r="AXY22" s="37"/>
      <c r="AXZ22" s="37"/>
      <c r="AYA22" s="37"/>
      <c r="AYB22" s="37"/>
      <c r="AYC22" s="37"/>
      <c r="AYD22" s="37"/>
      <c r="AYE22" s="37"/>
      <c r="AYF22" s="37"/>
      <c r="AYG22" s="37"/>
      <c r="AYH22" s="37"/>
      <c r="AYI22" s="37"/>
      <c r="AYJ22" s="37"/>
      <c r="AYK22" s="37"/>
      <c r="AYL22" s="37"/>
      <c r="AYM22" s="37"/>
      <c r="AYN22" s="37"/>
      <c r="AYO22" s="37"/>
      <c r="AYP22" s="37"/>
      <c r="AYQ22" s="37"/>
      <c r="AYR22" s="37"/>
      <c r="AYS22" s="37"/>
      <c r="AYT22" s="37"/>
      <c r="AYU22" s="37"/>
      <c r="AYV22" s="37"/>
      <c r="AYW22" s="37"/>
      <c r="AYX22" s="37"/>
      <c r="AYY22" s="37"/>
      <c r="AYZ22" s="37"/>
      <c r="AZA22" s="37"/>
      <c r="AZB22" s="37"/>
      <c r="AZC22" s="37"/>
      <c r="AZD22" s="37"/>
      <c r="AZE22" s="37"/>
      <c r="AZF22" s="37"/>
      <c r="AZG22" s="37"/>
      <c r="AZH22" s="37"/>
      <c r="AZI22" s="37"/>
      <c r="AZJ22" s="37"/>
      <c r="AZK22" s="37"/>
      <c r="AZL22" s="37"/>
      <c r="AZM22" s="37"/>
      <c r="AZN22" s="37"/>
      <c r="AZO22" s="37"/>
      <c r="AZP22" s="37"/>
      <c r="AZQ22" s="37"/>
      <c r="AZR22" s="37"/>
      <c r="AZS22" s="37"/>
      <c r="AZT22" s="37"/>
      <c r="AZU22" s="37"/>
      <c r="AZV22" s="37"/>
      <c r="AZW22" s="37"/>
      <c r="AZX22" s="37"/>
      <c r="AZY22" s="37"/>
      <c r="AZZ22" s="37"/>
      <c r="BAA22" s="37"/>
      <c r="BAB22" s="37"/>
      <c r="BAC22" s="37"/>
      <c r="BAD22" s="37"/>
      <c r="BAE22" s="37"/>
      <c r="BAF22" s="37"/>
      <c r="BAG22" s="37"/>
      <c r="BAH22" s="37"/>
      <c r="BAI22" s="37"/>
      <c r="BAJ22" s="37"/>
      <c r="BAK22" s="37"/>
      <c r="BAL22" s="37"/>
      <c r="BAM22" s="37"/>
      <c r="BAN22" s="37"/>
      <c r="BAO22" s="37"/>
      <c r="BAP22" s="37"/>
      <c r="BAQ22" s="37"/>
      <c r="BAR22" s="37"/>
      <c r="BAS22" s="37"/>
      <c r="BAT22" s="37"/>
      <c r="BAU22" s="37"/>
      <c r="BAV22" s="37"/>
      <c r="BAW22" s="37"/>
      <c r="BAX22" s="37"/>
      <c r="BAY22" s="37"/>
      <c r="BAZ22" s="37"/>
      <c r="BBA22" s="37"/>
      <c r="BBB22" s="37"/>
      <c r="BBC22" s="37"/>
      <c r="BBD22" s="37"/>
      <c r="BBE22" s="37"/>
      <c r="BBF22" s="37"/>
      <c r="BBG22" s="37"/>
      <c r="BBH22" s="37"/>
      <c r="BBI22" s="37"/>
      <c r="BBJ22" s="37"/>
      <c r="BBK22" s="37"/>
      <c r="BBL22" s="37"/>
      <c r="BBM22" s="37"/>
      <c r="BBN22" s="37"/>
      <c r="BBO22" s="37"/>
      <c r="BBP22" s="37"/>
      <c r="BBQ22" s="37"/>
      <c r="BBR22" s="37"/>
      <c r="BBS22" s="37"/>
      <c r="BBT22" s="37"/>
      <c r="BBU22" s="37"/>
      <c r="BBV22" s="37"/>
      <c r="BBW22" s="37"/>
      <c r="BBX22" s="37"/>
      <c r="BBY22" s="37"/>
      <c r="BBZ22" s="37"/>
      <c r="BCA22" s="37"/>
      <c r="BCB22" s="37"/>
      <c r="BCC22" s="37"/>
      <c r="BCD22" s="37"/>
      <c r="BCE22" s="37"/>
      <c r="BCF22" s="37"/>
      <c r="BCG22" s="37"/>
      <c r="BCH22" s="37"/>
      <c r="BCI22" s="37"/>
      <c r="BCJ22" s="37"/>
      <c r="BCK22" s="37"/>
      <c r="BCL22" s="37"/>
      <c r="BCM22" s="37"/>
      <c r="BCN22" s="37"/>
      <c r="BCO22" s="37"/>
      <c r="BCP22" s="37"/>
      <c r="BCQ22" s="37"/>
      <c r="BCR22" s="37"/>
      <c r="BCS22" s="37"/>
      <c r="BCT22" s="37"/>
      <c r="BCU22" s="37"/>
      <c r="BCV22" s="37"/>
      <c r="BCW22" s="37"/>
      <c r="BCX22" s="37"/>
      <c r="BCY22" s="37"/>
      <c r="BCZ22" s="37"/>
      <c r="BDA22" s="37"/>
      <c r="BDB22" s="37"/>
      <c r="BDC22" s="37"/>
      <c r="BDD22" s="37"/>
      <c r="BDE22" s="37"/>
      <c r="BDF22" s="37"/>
      <c r="BDG22" s="37"/>
      <c r="BDH22" s="37"/>
      <c r="BDI22" s="37"/>
      <c r="BDJ22" s="37"/>
      <c r="BDK22" s="37"/>
      <c r="BDL22" s="37"/>
      <c r="BDM22" s="37"/>
      <c r="BDN22" s="37"/>
      <c r="BDO22" s="37"/>
      <c r="BDP22" s="37"/>
      <c r="BDQ22" s="37"/>
      <c r="BDR22" s="37"/>
      <c r="BDS22" s="37"/>
      <c r="BDT22" s="37"/>
      <c r="BDU22" s="37"/>
      <c r="BDV22" s="37"/>
      <c r="BDW22" s="37"/>
      <c r="BDX22" s="37"/>
      <c r="BDY22" s="37"/>
      <c r="BDZ22" s="37"/>
      <c r="BEA22" s="37"/>
      <c r="BEB22" s="37"/>
      <c r="BEC22" s="37"/>
      <c r="BED22" s="37"/>
      <c r="BEE22" s="37"/>
      <c r="BEF22" s="37"/>
      <c r="BEG22" s="37"/>
      <c r="BEH22" s="37"/>
      <c r="BEI22" s="37"/>
      <c r="BEJ22" s="37"/>
      <c r="BEK22" s="37"/>
      <c r="BEL22" s="37"/>
      <c r="BEM22" s="37"/>
      <c r="BEN22" s="37"/>
      <c r="BEO22" s="37"/>
      <c r="BEP22" s="37"/>
      <c r="BEQ22" s="37"/>
      <c r="BER22" s="37"/>
      <c r="BES22" s="37"/>
      <c r="BET22" s="37"/>
      <c r="BEU22" s="37"/>
      <c r="BEV22" s="37"/>
      <c r="BEW22" s="37"/>
      <c r="BEX22" s="37"/>
      <c r="BEY22" s="37"/>
      <c r="BEZ22" s="37"/>
      <c r="BFA22" s="37"/>
      <c r="BFB22" s="37"/>
      <c r="BFC22" s="37"/>
      <c r="BFD22" s="37"/>
      <c r="BFE22" s="37"/>
      <c r="BFF22" s="37"/>
      <c r="BFG22" s="37"/>
      <c r="BFH22" s="37"/>
      <c r="BFI22" s="37"/>
      <c r="BFJ22" s="37"/>
      <c r="BFK22" s="37"/>
      <c r="BFL22" s="37"/>
      <c r="BFM22" s="37"/>
      <c r="BFN22" s="37"/>
      <c r="BFO22" s="37"/>
      <c r="BFP22" s="37"/>
      <c r="BFQ22" s="37"/>
      <c r="BFR22" s="37"/>
      <c r="BFS22" s="37"/>
      <c r="BFT22" s="37"/>
      <c r="BFU22" s="37"/>
      <c r="BFV22" s="37"/>
      <c r="BFW22" s="37"/>
      <c r="BFX22" s="37"/>
      <c r="BFY22" s="37"/>
      <c r="BFZ22" s="37"/>
      <c r="BGA22" s="37"/>
      <c r="BGB22" s="37"/>
      <c r="BGC22" s="37"/>
      <c r="BGD22" s="37"/>
      <c r="BGE22" s="37"/>
      <c r="BGF22" s="37"/>
      <c r="BGG22" s="37"/>
      <c r="BGH22" s="37"/>
      <c r="BGI22" s="37"/>
      <c r="BGJ22" s="37"/>
      <c r="BGK22" s="37"/>
      <c r="BGL22" s="37"/>
      <c r="BGM22" s="37"/>
      <c r="BGN22" s="37"/>
      <c r="BGO22" s="37"/>
      <c r="BGP22" s="37"/>
      <c r="BGQ22" s="37"/>
      <c r="BGR22" s="37"/>
      <c r="BGS22" s="37"/>
      <c r="BGT22" s="37"/>
      <c r="BGU22" s="37"/>
      <c r="BGV22" s="37"/>
      <c r="BGW22" s="37"/>
      <c r="BGX22" s="37"/>
      <c r="BGY22" s="37"/>
      <c r="BGZ22" s="37"/>
      <c r="BHA22" s="37"/>
      <c r="BHB22" s="37"/>
      <c r="BHC22" s="37"/>
      <c r="BHD22" s="37"/>
      <c r="BHE22" s="37"/>
      <c r="BHF22" s="37"/>
      <c r="BHG22" s="37"/>
      <c r="BHH22" s="37"/>
      <c r="BHI22" s="37"/>
      <c r="BHJ22" s="37"/>
      <c r="BHK22" s="37"/>
      <c r="BHL22" s="37"/>
      <c r="BHM22" s="37"/>
      <c r="BHN22" s="37"/>
      <c r="BHO22" s="37"/>
      <c r="BHP22" s="37"/>
      <c r="BHQ22" s="37"/>
      <c r="BHR22" s="37"/>
      <c r="BHS22" s="37"/>
      <c r="BHT22" s="37"/>
      <c r="BHU22" s="37"/>
      <c r="BHV22" s="37"/>
      <c r="BHW22" s="37"/>
      <c r="BHX22" s="37"/>
      <c r="BHY22" s="37"/>
      <c r="BHZ22" s="37"/>
      <c r="BIA22" s="37"/>
      <c r="BIB22" s="37"/>
      <c r="BIC22" s="37"/>
      <c r="BID22" s="37"/>
      <c r="BIE22" s="37"/>
      <c r="BIF22" s="37"/>
      <c r="BIG22" s="37"/>
      <c r="BIH22" s="37"/>
      <c r="BII22" s="37"/>
      <c r="BIJ22" s="37"/>
      <c r="BIK22" s="37"/>
      <c r="BIL22" s="37"/>
      <c r="BIM22" s="37"/>
      <c r="BIN22" s="37"/>
      <c r="BIO22" s="37"/>
      <c r="BIP22" s="37"/>
      <c r="BIQ22" s="37"/>
      <c r="BIR22" s="37"/>
      <c r="BIS22" s="37"/>
      <c r="BIT22" s="37"/>
      <c r="BIU22" s="37"/>
      <c r="BIV22" s="37"/>
      <c r="BIW22" s="37"/>
      <c r="BIX22" s="37"/>
      <c r="BIY22" s="37"/>
      <c r="BIZ22" s="37"/>
      <c r="BJA22" s="37"/>
      <c r="BJB22" s="37"/>
      <c r="BJC22" s="37"/>
      <c r="BJD22" s="37"/>
      <c r="BJE22" s="37"/>
      <c r="BJF22" s="37"/>
      <c r="BJG22" s="37"/>
      <c r="BJH22" s="37"/>
      <c r="BJI22" s="37"/>
      <c r="BJJ22" s="37"/>
      <c r="BJK22" s="37"/>
      <c r="BJL22" s="37"/>
      <c r="BJM22" s="37"/>
      <c r="BJN22" s="37"/>
      <c r="BJO22" s="37"/>
      <c r="BJP22" s="37"/>
      <c r="BJQ22" s="37"/>
      <c r="BJR22" s="37"/>
      <c r="BJS22" s="37"/>
      <c r="BJT22" s="37"/>
      <c r="BJU22" s="37"/>
      <c r="BJV22" s="37"/>
      <c r="BJW22" s="37"/>
      <c r="BJX22" s="37"/>
      <c r="BJY22" s="37"/>
      <c r="BJZ22" s="37"/>
      <c r="BKA22" s="37"/>
      <c r="BKB22" s="37"/>
      <c r="BKC22" s="37"/>
      <c r="BKD22" s="37"/>
      <c r="BKE22" s="37"/>
      <c r="BKF22" s="37"/>
      <c r="BKG22" s="37"/>
      <c r="BKH22" s="37"/>
      <c r="BKI22" s="37"/>
      <c r="BKJ22" s="37"/>
      <c r="BKK22" s="37"/>
      <c r="BKL22" s="37"/>
      <c r="BKM22" s="37"/>
      <c r="BKN22" s="37"/>
      <c r="BKO22" s="37"/>
      <c r="BKP22" s="37"/>
      <c r="BKQ22" s="37"/>
      <c r="BKR22" s="37"/>
      <c r="BKS22" s="37"/>
      <c r="BKT22" s="37"/>
      <c r="BKU22" s="37"/>
      <c r="BKV22" s="37"/>
      <c r="BKW22" s="37"/>
      <c r="BKX22" s="37"/>
      <c r="BKY22" s="37"/>
      <c r="BKZ22" s="37"/>
      <c r="BLA22" s="37"/>
      <c r="BLB22" s="37"/>
      <c r="BLC22" s="37"/>
      <c r="BLD22" s="37"/>
      <c r="BLE22" s="37"/>
      <c r="BLF22" s="37"/>
      <c r="BLG22" s="37"/>
      <c r="BLH22" s="37"/>
      <c r="BLI22" s="37"/>
      <c r="BLJ22" s="37"/>
      <c r="BLK22" s="37"/>
      <c r="BLL22" s="37"/>
      <c r="BLM22" s="37"/>
      <c r="BLN22" s="37"/>
      <c r="BLO22" s="37"/>
      <c r="BLP22" s="37"/>
      <c r="BLQ22" s="37"/>
      <c r="BLR22" s="37"/>
      <c r="BLS22" s="37"/>
      <c r="BLT22" s="37"/>
      <c r="BLU22" s="37"/>
      <c r="BLV22" s="37"/>
      <c r="BLW22" s="37"/>
      <c r="BLX22" s="37"/>
      <c r="BLY22" s="37"/>
      <c r="BLZ22" s="37"/>
      <c r="BMA22" s="37"/>
      <c r="BMB22" s="37"/>
      <c r="BMC22" s="37"/>
      <c r="BMD22" s="37"/>
      <c r="BME22" s="37"/>
      <c r="BMF22" s="37"/>
      <c r="BMG22" s="37"/>
      <c r="BMH22" s="37"/>
      <c r="BMI22" s="37"/>
      <c r="BMJ22" s="37"/>
      <c r="BMK22" s="37"/>
      <c r="BML22" s="37"/>
      <c r="BMM22" s="37"/>
      <c r="BMN22" s="37"/>
      <c r="BMO22" s="37"/>
      <c r="BMP22" s="37"/>
      <c r="BMQ22" s="37"/>
      <c r="BMR22" s="37"/>
      <c r="BMS22" s="37"/>
      <c r="BMT22" s="37"/>
      <c r="BMU22" s="37"/>
      <c r="BMV22" s="37"/>
      <c r="BMW22" s="37"/>
      <c r="BMX22" s="37"/>
      <c r="BMY22" s="37"/>
      <c r="BMZ22" s="37"/>
      <c r="BNA22" s="37"/>
      <c r="BNB22" s="37"/>
      <c r="BNC22" s="37"/>
      <c r="BND22" s="37"/>
      <c r="BNE22" s="37"/>
      <c r="BNF22" s="37"/>
      <c r="BNG22" s="37"/>
      <c r="BNH22" s="37"/>
      <c r="BNI22" s="37"/>
      <c r="BNJ22" s="37"/>
      <c r="BNK22" s="37"/>
      <c r="BNL22" s="37"/>
      <c r="BNM22" s="37"/>
      <c r="BNN22" s="37"/>
      <c r="BNO22" s="37"/>
      <c r="BNP22" s="37"/>
      <c r="BNQ22" s="37"/>
      <c r="BNR22" s="37"/>
      <c r="BNS22" s="37"/>
      <c r="BNT22" s="37"/>
      <c r="BNU22" s="37"/>
      <c r="BNV22" s="37"/>
      <c r="BNW22" s="37"/>
      <c r="BNX22" s="37"/>
      <c r="BNY22" s="37"/>
      <c r="BNZ22" s="37"/>
      <c r="BOA22" s="37"/>
      <c r="BOB22" s="37"/>
      <c r="BOC22" s="37"/>
      <c r="BOD22" s="37"/>
      <c r="BOE22" s="37"/>
      <c r="BOF22" s="37"/>
      <c r="BOG22" s="37"/>
      <c r="BOH22" s="37"/>
      <c r="BOI22" s="37"/>
      <c r="BOJ22" s="37"/>
      <c r="BOK22" s="37"/>
      <c r="BOL22" s="37"/>
      <c r="BOM22" s="37"/>
      <c r="BON22" s="37"/>
      <c r="BOO22" s="37"/>
      <c r="BOP22" s="37"/>
      <c r="BOQ22" s="37"/>
      <c r="BOR22" s="37"/>
      <c r="BOS22" s="37"/>
      <c r="BOT22" s="37"/>
      <c r="BOU22" s="37"/>
      <c r="BOV22" s="37"/>
      <c r="BOW22" s="37"/>
      <c r="BOX22" s="37"/>
      <c r="BOY22" s="37"/>
      <c r="BOZ22" s="37"/>
      <c r="BPA22" s="37"/>
      <c r="BPB22" s="37"/>
      <c r="BPC22" s="37"/>
      <c r="BPD22" s="37"/>
      <c r="BPE22" s="37"/>
      <c r="BPF22" s="37"/>
      <c r="BPG22" s="37"/>
      <c r="BPH22" s="37"/>
      <c r="BPI22" s="37"/>
      <c r="BPJ22" s="37"/>
      <c r="BPK22" s="37"/>
      <c r="BPL22" s="37"/>
      <c r="BPM22" s="37"/>
      <c r="BPN22" s="37"/>
      <c r="BPO22" s="37"/>
      <c r="BPP22" s="37"/>
      <c r="BPQ22" s="37"/>
      <c r="BPR22" s="37"/>
      <c r="BPS22" s="37"/>
      <c r="BPT22" s="37"/>
      <c r="BPU22" s="37"/>
      <c r="BPV22" s="37"/>
      <c r="BPW22" s="37"/>
      <c r="BPX22" s="37"/>
      <c r="BPY22" s="37"/>
      <c r="BPZ22" s="37"/>
      <c r="BQA22" s="37"/>
      <c r="BQB22" s="37"/>
      <c r="BQC22" s="37"/>
      <c r="BQD22" s="37"/>
      <c r="BQE22" s="37"/>
      <c r="BQF22" s="37"/>
      <c r="BQG22" s="37"/>
      <c r="BQH22" s="37"/>
      <c r="BQI22" s="37"/>
      <c r="BQJ22" s="37"/>
      <c r="BQK22" s="37"/>
      <c r="BQL22" s="37"/>
      <c r="BQM22" s="37"/>
      <c r="BQN22" s="37"/>
      <c r="BQO22" s="37"/>
      <c r="BQP22" s="37"/>
      <c r="BQQ22" s="37"/>
      <c r="BQR22" s="37"/>
      <c r="BQS22" s="37"/>
      <c r="BQT22" s="37"/>
      <c r="BQU22" s="37"/>
      <c r="BQV22" s="37"/>
      <c r="BQW22" s="37"/>
      <c r="BQX22" s="37"/>
      <c r="BQY22" s="37"/>
      <c r="BQZ22" s="37"/>
      <c r="BRA22" s="37"/>
      <c r="BRB22" s="37"/>
      <c r="BRC22" s="37"/>
      <c r="BRD22" s="37"/>
      <c r="BRE22" s="37"/>
      <c r="BRF22" s="37"/>
      <c r="BRG22" s="37"/>
      <c r="BRH22" s="37"/>
      <c r="BRI22" s="37"/>
      <c r="BRJ22" s="37"/>
      <c r="BRK22" s="37"/>
      <c r="BRL22" s="37"/>
      <c r="BRM22" s="37"/>
      <c r="BRN22" s="37"/>
      <c r="BRO22" s="37"/>
      <c r="BRP22" s="37"/>
      <c r="BRQ22" s="37"/>
      <c r="BRR22" s="37"/>
      <c r="BRS22" s="37"/>
      <c r="BRT22" s="37"/>
      <c r="BRU22" s="37"/>
      <c r="BRV22" s="37"/>
      <c r="BRW22" s="37"/>
      <c r="BRX22" s="37"/>
      <c r="BRY22" s="37"/>
      <c r="BRZ22" s="37"/>
      <c r="BSA22" s="37"/>
      <c r="BSB22" s="37"/>
      <c r="BSC22" s="37"/>
      <c r="BSD22" s="37"/>
      <c r="BSE22" s="37"/>
      <c r="BSF22" s="37"/>
      <c r="BSG22" s="37"/>
      <c r="BSH22" s="37"/>
      <c r="BSI22" s="37"/>
      <c r="BSJ22" s="37"/>
      <c r="BSK22" s="37"/>
      <c r="BSL22" s="37"/>
      <c r="BSM22" s="37"/>
      <c r="BSN22" s="37"/>
      <c r="BSO22" s="37"/>
      <c r="BSP22" s="37"/>
      <c r="BSQ22" s="37"/>
      <c r="BSR22" s="37"/>
      <c r="BSS22" s="37"/>
      <c r="BST22" s="37"/>
      <c r="BSU22" s="37"/>
      <c r="BSV22" s="37"/>
      <c r="BSW22" s="37"/>
      <c r="BSX22" s="37"/>
      <c r="BSY22" s="37"/>
      <c r="BSZ22" s="37"/>
      <c r="BTA22" s="37"/>
      <c r="BTB22" s="37"/>
      <c r="BTC22" s="37"/>
      <c r="BTD22" s="37"/>
      <c r="BTE22" s="37"/>
      <c r="BTF22" s="37"/>
      <c r="BTG22" s="37"/>
      <c r="BTH22" s="37"/>
      <c r="BTI22" s="37"/>
      <c r="BTJ22" s="37"/>
      <c r="BTK22" s="37"/>
      <c r="BTL22" s="37"/>
      <c r="BTM22" s="37"/>
      <c r="BTN22" s="37"/>
      <c r="BTO22" s="37"/>
      <c r="BTP22" s="37"/>
      <c r="BTQ22" s="37"/>
      <c r="BTR22" s="37"/>
      <c r="BTS22" s="37"/>
      <c r="BTT22" s="37"/>
      <c r="BTU22" s="37"/>
      <c r="BTV22" s="37"/>
      <c r="BTW22" s="37"/>
      <c r="BTX22" s="37"/>
      <c r="BTY22" s="37"/>
      <c r="BTZ22" s="37"/>
      <c r="BUA22" s="37"/>
      <c r="BUB22" s="37"/>
      <c r="BUC22" s="37"/>
      <c r="BUD22" s="37"/>
      <c r="BUE22" s="37"/>
      <c r="BUF22" s="37"/>
      <c r="BUG22" s="37"/>
      <c r="BUH22" s="37"/>
      <c r="BUI22" s="37"/>
      <c r="BUJ22" s="37"/>
      <c r="BUK22" s="37"/>
      <c r="BUL22" s="37"/>
      <c r="BUM22" s="37"/>
      <c r="BUN22" s="37"/>
      <c r="BUO22" s="37"/>
      <c r="BUP22" s="37"/>
      <c r="BUQ22" s="37"/>
      <c r="BUR22" s="37"/>
      <c r="BUS22" s="37"/>
      <c r="BUT22" s="37"/>
      <c r="BUU22" s="37"/>
      <c r="BUV22" s="37"/>
      <c r="BUW22" s="37"/>
      <c r="BUX22" s="37"/>
      <c r="BUY22" s="37"/>
      <c r="BUZ22" s="37"/>
      <c r="BVA22" s="37"/>
      <c r="BVB22" s="37"/>
      <c r="BVC22" s="37"/>
      <c r="BVD22" s="37"/>
      <c r="BVE22" s="37"/>
      <c r="BVF22" s="37"/>
      <c r="BVG22" s="37"/>
      <c r="BVH22" s="37"/>
      <c r="BVI22" s="37"/>
      <c r="BVJ22" s="37"/>
      <c r="BVK22" s="37"/>
      <c r="BVL22" s="37"/>
      <c r="BVM22" s="37"/>
      <c r="BVN22" s="37"/>
      <c r="BVO22" s="37"/>
      <c r="BVP22" s="37"/>
      <c r="BVQ22" s="37"/>
      <c r="BVR22" s="37"/>
      <c r="BVS22" s="37"/>
      <c r="BVT22" s="37"/>
      <c r="BVU22" s="37"/>
      <c r="BVV22" s="37"/>
      <c r="BVW22" s="37"/>
      <c r="BVX22" s="37"/>
      <c r="BVY22" s="37"/>
      <c r="BVZ22" s="37"/>
      <c r="BWA22" s="37"/>
      <c r="BWB22" s="37"/>
      <c r="BWC22" s="37"/>
      <c r="BWD22" s="37"/>
      <c r="BWE22" s="37"/>
      <c r="BWF22" s="37"/>
      <c r="BWG22" s="37"/>
      <c r="BWH22" s="37"/>
      <c r="BWI22" s="37"/>
      <c r="BWJ22" s="37"/>
    </row>
    <row r="23" spans="1:1960" x14ac:dyDescent="0.25">
      <c r="A23" s="38">
        <v>18</v>
      </c>
      <c r="B23" s="39">
        <v>20</v>
      </c>
      <c r="C23" s="40">
        <v>1000</v>
      </c>
      <c r="D23" s="41" t="s">
        <v>23</v>
      </c>
      <c r="E23" s="271">
        <f ca="1"/>
        <v>69</v>
      </c>
      <c r="F23" s="33">
        <v>-100</v>
      </c>
      <c r="G23" s="33">
        <v>1000</v>
      </c>
      <c r="H23" s="43">
        <f ca="1"/>
        <v>-100</v>
      </c>
      <c r="I23" s="33">
        <f ca="1"/>
        <v>50</v>
      </c>
      <c r="J23" s="35">
        <v>18</v>
      </c>
      <c r="K23" s="36">
        <v>20</v>
      </c>
      <c r="L23" s="37">
        <v>20</v>
      </c>
      <c r="M23" s="37">
        <v>20</v>
      </c>
      <c r="N23" s="37">
        <v>20</v>
      </c>
      <c r="O23" s="37">
        <v>20</v>
      </c>
      <c r="P23" s="37">
        <v>20</v>
      </c>
      <c r="Q23" s="37">
        <v>20</v>
      </c>
      <c r="R23" s="37">
        <v>20</v>
      </c>
      <c r="S23" s="37">
        <v>20</v>
      </c>
      <c r="T23" s="37">
        <v>20</v>
      </c>
      <c r="U23" s="37">
        <v>20</v>
      </c>
      <c r="V23" s="37">
        <v>20</v>
      </c>
      <c r="W23" s="37">
        <v>20</v>
      </c>
      <c r="X23" s="37">
        <v>20</v>
      </c>
      <c r="Y23" s="37">
        <v>20</v>
      </c>
      <c r="Z23" s="37">
        <v>20</v>
      </c>
      <c r="AA23" s="37">
        <v>20</v>
      </c>
      <c r="AB23" s="37">
        <v>20</v>
      </c>
      <c r="AC23" s="37">
        <v>20</v>
      </c>
      <c r="AD23" s="37">
        <v>20</v>
      </c>
      <c r="AE23" s="37">
        <v>20</v>
      </c>
      <c r="AF23" s="37">
        <v>20</v>
      </c>
      <c r="AG23" s="37">
        <v>20</v>
      </c>
      <c r="AH23" s="37">
        <v>20</v>
      </c>
      <c r="AI23" s="37">
        <v>20</v>
      </c>
      <c r="AJ23" s="37">
        <v>20</v>
      </c>
      <c r="AK23" s="37">
        <v>20</v>
      </c>
      <c r="AL23" s="37">
        <v>20</v>
      </c>
      <c r="AM23" s="37">
        <v>20</v>
      </c>
      <c r="AN23" s="37">
        <v>20</v>
      </c>
      <c r="AO23" s="37">
        <v>20</v>
      </c>
      <c r="AP23" s="37">
        <v>20</v>
      </c>
      <c r="AQ23" s="37">
        <v>20</v>
      </c>
      <c r="AR23" s="37">
        <v>20</v>
      </c>
      <c r="AS23" s="37">
        <v>20</v>
      </c>
      <c r="AT23" s="37">
        <v>20</v>
      </c>
      <c r="AU23" s="37">
        <v>20</v>
      </c>
      <c r="AV23" s="37">
        <v>20</v>
      </c>
      <c r="AW23" s="37">
        <v>20</v>
      </c>
      <c r="AX23" s="37">
        <v>20</v>
      </c>
      <c r="AY23" s="37">
        <v>20</v>
      </c>
      <c r="AZ23" s="37">
        <v>20</v>
      </c>
      <c r="BA23" s="37">
        <v>20</v>
      </c>
      <c r="BB23" s="37">
        <v>20</v>
      </c>
      <c r="BC23" s="37">
        <v>20</v>
      </c>
      <c r="BD23" s="37">
        <v>20</v>
      </c>
      <c r="BE23" s="37">
        <v>20</v>
      </c>
      <c r="BF23" s="37">
        <v>20</v>
      </c>
      <c r="BG23" s="37">
        <v>20</v>
      </c>
      <c r="BH23" s="37">
        <v>20</v>
      </c>
      <c r="BI23" s="37">
        <v>20</v>
      </c>
      <c r="BJ23" s="37">
        <v>20</v>
      </c>
      <c r="BK23" s="37">
        <v>20</v>
      </c>
      <c r="BL23" s="37">
        <v>20</v>
      </c>
      <c r="BM23" s="37">
        <v>20</v>
      </c>
      <c r="BN23" s="37">
        <v>20</v>
      </c>
      <c r="BO23" s="37">
        <v>20</v>
      </c>
      <c r="BP23" s="37">
        <v>20</v>
      </c>
      <c r="BQ23" s="37">
        <v>20</v>
      </c>
      <c r="BR23" s="37">
        <v>20</v>
      </c>
      <c r="BS23" s="37">
        <v>20</v>
      </c>
      <c r="BT23" s="37">
        <v>20</v>
      </c>
      <c r="BU23" s="37">
        <v>20</v>
      </c>
      <c r="BV23" s="37">
        <v>20</v>
      </c>
      <c r="BW23" s="37">
        <v>20</v>
      </c>
      <c r="BX23" s="37">
        <v>20</v>
      </c>
      <c r="BY23" s="37">
        <v>20</v>
      </c>
      <c r="BZ23" s="37">
        <v>20</v>
      </c>
      <c r="CA23" s="37">
        <v>0</v>
      </c>
      <c r="CB23" s="37">
        <v>0</v>
      </c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  <c r="AMD23" s="37"/>
      <c r="AME23" s="37"/>
      <c r="AMF23" s="37"/>
      <c r="AMG23" s="37"/>
      <c r="AMH23" s="37"/>
      <c r="AMI23" s="37"/>
      <c r="AMJ23" s="37"/>
      <c r="AMK23" s="37"/>
      <c r="AML23" s="37"/>
      <c r="AMM23" s="37"/>
      <c r="AMN23" s="37"/>
      <c r="AMO23" s="37"/>
      <c r="AMP23" s="37"/>
      <c r="AMQ23" s="37"/>
      <c r="AMR23" s="37"/>
      <c r="AMS23" s="37"/>
      <c r="AMT23" s="37"/>
      <c r="AMU23" s="37"/>
      <c r="AMV23" s="37"/>
      <c r="AMW23" s="37"/>
      <c r="AMX23" s="37"/>
      <c r="AMY23" s="37"/>
      <c r="AMZ23" s="37"/>
      <c r="ANA23" s="37"/>
      <c r="ANB23" s="37"/>
      <c r="ANC23" s="37"/>
      <c r="AND23" s="37"/>
      <c r="ANE23" s="37"/>
      <c r="ANF23" s="37"/>
      <c r="ANG23" s="37"/>
      <c r="ANH23" s="37"/>
      <c r="ANI23" s="37"/>
      <c r="ANJ23" s="37"/>
      <c r="ANK23" s="37"/>
      <c r="ANL23" s="37"/>
      <c r="ANM23" s="37"/>
      <c r="ANN23" s="37"/>
      <c r="ANO23" s="37"/>
      <c r="ANP23" s="37"/>
      <c r="ANQ23" s="37"/>
      <c r="ANR23" s="37"/>
      <c r="ANS23" s="37"/>
      <c r="ANT23" s="37"/>
      <c r="ANU23" s="37"/>
      <c r="ANV23" s="37"/>
      <c r="ANW23" s="37"/>
      <c r="ANX23" s="37"/>
      <c r="ANY23" s="37"/>
      <c r="ANZ23" s="37"/>
      <c r="AOA23" s="37"/>
      <c r="AOB23" s="37"/>
      <c r="AOC23" s="37"/>
      <c r="AOD23" s="37"/>
      <c r="AOE23" s="37"/>
      <c r="AOF23" s="37"/>
      <c r="AOG23" s="37"/>
      <c r="AOH23" s="37"/>
      <c r="AOI23" s="37"/>
      <c r="AOJ23" s="37"/>
      <c r="AOK23" s="37"/>
      <c r="AOL23" s="37"/>
      <c r="AOM23" s="37"/>
      <c r="AON23" s="37"/>
      <c r="AOO23" s="37"/>
      <c r="AOP23" s="37"/>
      <c r="AOQ23" s="37"/>
      <c r="AOR23" s="37"/>
      <c r="AOS23" s="37"/>
      <c r="AOT23" s="37"/>
      <c r="AOU23" s="37"/>
      <c r="AOV23" s="37"/>
      <c r="AOW23" s="37"/>
      <c r="AOX23" s="37"/>
      <c r="AOY23" s="37"/>
      <c r="AOZ23" s="37"/>
      <c r="APA23" s="37"/>
      <c r="APB23" s="37"/>
      <c r="APC23" s="37"/>
      <c r="APD23" s="37"/>
      <c r="APE23" s="37"/>
      <c r="APF23" s="37"/>
      <c r="APG23" s="37"/>
      <c r="APH23" s="37"/>
      <c r="API23" s="37"/>
      <c r="APJ23" s="37"/>
      <c r="APK23" s="37"/>
      <c r="APL23" s="37"/>
      <c r="APM23" s="37"/>
      <c r="APN23" s="37"/>
      <c r="APO23" s="37"/>
      <c r="APP23" s="37"/>
      <c r="APQ23" s="37"/>
      <c r="APR23" s="37"/>
      <c r="APS23" s="37"/>
      <c r="APT23" s="37"/>
      <c r="APU23" s="37"/>
      <c r="APV23" s="37"/>
      <c r="APW23" s="37"/>
      <c r="APX23" s="37"/>
      <c r="APY23" s="37"/>
      <c r="APZ23" s="37"/>
      <c r="AQA23" s="37"/>
      <c r="AQB23" s="37"/>
      <c r="AQC23" s="37"/>
      <c r="AQD23" s="37"/>
      <c r="AQE23" s="37"/>
      <c r="AQF23" s="37"/>
      <c r="AQG23" s="37"/>
      <c r="AQH23" s="37"/>
      <c r="AQI23" s="37"/>
      <c r="AQJ23" s="37"/>
      <c r="AQK23" s="37"/>
      <c r="AQL23" s="37"/>
      <c r="AQM23" s="37"/>
      <c r="AQN23" s="37"/>
      <c r="AQO23" s="37"/>
      <c r="AQP23" s="37"/>
      <c r="AQQ23" s="37"/>
      <c r="AQR23" s="37"/>
      <c r="AQS23" s="37"/>
      <c r="AQT23" s="37"/>
      <c r="AQU23" s="37"/>
      <c r="AQV23" s="37"/>
      <c r="AQW23" s="37"/>
      <c r="AQX23" s="37"/>
      <c r="AQY23" s="37"/>
      <c r="AQZ23" s="37"/>
      <c r="ARA23" s="37"/>
      <c r="ARB23" s="37"/>
      <c r="ARC23" s="37"/>
      <c r="ARD23" s="37"/>
      <c r="ARE23" s="37"/>
      <c r="ARF23" s="37"/>
      <c r="ARG23" s="37"/>
      <c r="ARH23" s="37"/>
      <c r="ARI23" s="37"/>
      <c r="ARJ23" s="37"/>
      <c r="ARK23" s="37"/>
      <c r="ARL23" s="37"/>
      <c r="ARM23" s="37"/>
      <c r="ARN23" s="37"/>
      <c r="ARO23" s="37"/>
      <c r="ARP23" s="37"/>
      <c r="ARQ23" s="37"/>
      <c r="ARR23" s="37"/>
      <c r="ARS23" s="37"/>
      <c r="ART23" s="37"/>
      <c r="ARU23" s="37"/>
      <c r="ARV23" s="37"/>
      <c r="ARW23" s="37"/>
      <c r="ARX23" s="37"/>
      <c r="ARY23" s="37"/>
      <c r="ARZ23" s="37"/>
      <c r="ASA23" s="37"/>
      <c r="ASB23" s="37"/>
      <c r="ASC23" s="37"/>
      <c r="ASD23" s="37"/>
      <c r="ASE23" s="37"/>
      <c r="ASF23" s="37"/>
      <c r="ASG23" s="37"/>
      <c r="ASH23" s="37"/>
      <c r="ASI23" s="37"/>
      <c r="ASJ23" s="37"/>
      <c r="ASK23" s="37"/>
      <c r="ASL23" s="37"/>
      <c r="ASM23" s="37"/>
      <c r="ASN23" s="37"/>
      <c r="ASO23" s="37"/>
      <c r="ASP23" s="37"/>
      <c r="ASQ23" s="37"/>
      <c r="ASR23" s="37"/>
      <c r="ASS23" s="37"/>
      <c r="AST23" s="37"/>
      <c r="ASU23" s="37"/>
      <c r="ASV23" s="37"/>
      <c r="ASW23" s="37"/>
      <c r="ASX23" s="37"/>
      <c r="ASY23" s="37"/>
      <c r="ASZ23" s="37"/>
      <c r="ATA23" s="37"/>
      <c r="ATB23" s="37"/>
      <c r="ATC23" s="37"/>
      <c r="ATD23" s="37"/>
      <c r="ATE23" s="37"/>
      <c r="ATF23" s="37"/>
      <c r="ATG23" s="37"/>
      <c r="ATH23" s="37"/>
      <c r="ATI23" s="37"/>
      <c r="ATJ23" s="37"/>
      <c r="ATK23" s="37"/>
      <c r="ATL23" s="37"/>
      <c r="ATM23" s="37"/>
      <c r="ATN23" s="37"/>
      <c r="ATO23" s="37"/>
      <c r="ATP23" s="37"/>
      <c r="ATQ23" s="37"/>
      <c r="ATR23" s="37"/>
      <c r="ATS23" s="37"/>
      <c r="ATT23" s="37"/>
      <c r="ATU23" s="37"/>
      <c r="ATV23" s="37"/>
      <c r="ATW23" s="37"/>
      <c r="ATX23" s="37"/>
      <c r="ATY23" s="37"/>
      <c r="ATZ23" s="37"/>
      <c r="AUA23" s="37"/>
      <c r="AUB23" s="37"/>
      <c r="AUC23" s="37"/>
      <c r="AUD23" s="37"/>
      <c r="AUE23" s="37"/>
      <c r="AUF23" s="37"/>
      <c r="AUG23" s="37"/>
      <c r="AUH23" s="37"/>
      <c r="AUI23" s="37"/>
      <c r="AUJ23" s="37"/>
      <c r="AUK23" s="37"/>
      <c r="AUL23" s="37"/>
      <c r="AUM23" s="37"/>
      <c r="AUN23" s="37"/>
      <c r="AUO23" s="37"/>
      <c r="AUP23" s="37"/>
      <c r="AUQ23" s="37"/>
      <c r="AUR23" s="37"/>
      <c r="AUS23" s="37"/>
      <c r="AUT23" s="37"/>
      <c r="AUU23" s="37"/>
      <c r="AUV23" s="37"/>
      <c r="AUW23" s="37"/>
      <c r="AUX23" s="37"/>
      <c r="AUY23" s="37"/>
      <c r="AUZ23" s="37"/>
      <c r="AVA23" s="37"/>
      <c r="AVB23" s="37"/>
      <c r="AVC23" s="37"/>
      <c r="AVD23" s="37"/>
      <c r="AVE23" s="37"/>
      <c r="AVF23" s="37"/>
      <c r="AVG23" s="37"/>
      <c r="AVH23" s="37"/>
      <c r="AVI23" s="37"/>
      <c r="AVJ23" s="37"/>
      <c r="AVK23" s="37"/>
      <c r="AVL23" s="37"/>
      <c r="AVM23" s="37"/>
      <c r="AVN23" s="37"/>
      <c r="AVO23" s="37"/>
      <c r="AVP23" s="37"/>
      <c r="AVQ23" s="37"/>
      <c r="AVR23" s="37"/>
      <c r="AVS23" s="37"/>
      <c r="AVT23" s="37"/>
      <c r="AVU23" s="37"/>
      <c r="AVV23" s="37"/>
      <c r="AVW23" s="37"/>
      <c r="AVX23" s="37"/>
      <c r="AVY23" s="37"/>
      <c r="AVZ23" s="37"/>
      <c r="AWA23" s="37"/>
      <c r="AWB23" s="37"/>
      <c r="AWC23" s="37"/>
      <c r="AWD23" s="37"/>
      <c r="AWE23" s="37"/>
      <c r="AWF23" s="37"/>
      <c r="AWG23" s="37"/>
      <c r="AWH23" s="37"/>
      <c r="AWI23" s="37"/>
      <c r="AWJ23" s="37"/>
      <c r="AWK23" s="37"/>
      <c r="AWL23" s="37"/>
      <c r="AWM23" s="37"/>
      <c r="AWN23" s="37"/>
      <c r="AWO23" s="37"/>
      <c r="AWP23" s="37"/>
      <c r="AWQ23" s="37"/>
      <c r="AWR23" s="37"/>
      <c r="AWS23" s="37"/>
      <c r="AWT23" s="37"/>
      <c r="AWU23" s="37"/>
      <c r="AWV23" s="37"/>
      <c r="AWW23" s="37"/>
      <c r="AWX23" s="37"/>
      <c r="AWY23" s="37"/>
      <c r="AWZ23" s="37"/>
      <c r="AXA23" s="37"/>
      <c r="AXB23" s="37"/>
      <c r="AXC23" s="37"/>
      <c r="AXD23" s="37"/>
      <c r="AXE23" s="37"/>
      <c r="AXF23" s="37"/>
      <c r="AXG23" s="37"/>
      <c r="AXH23" s="37"/>
      <c r="AXI23" s="37"/>
      <c r="AXJ23" s="37"/>
      <c r="AXK23" s="37"/>
      <c r="AXL23" s="37"/>
      <c r="AXM23" s="37"/>
      <c r="AXN23" s="37"/>
      <c r="AXO23" s="37"/>
      <c r="AXP23" s="37"/>
      <c r="AXQ23" s="37"/>
      <c r="AXR23" s="37"/>
      <c r="AXS23" s="37"/>
      <c r="AXT23" s="37"/>
      <c r="AXU23" s="37"/>
      <c r="AXV23" s="37"/>
      <c r="AXW23" s="37"/>
      <c r="AXX23" s="37"/>
      <c r="AXY23" s="37"/>
      <c r="AXZ23" s="37"/>
      <c r="AYA23" s="37"/>
      <c r="AYB23" s="37"/>
      <c r="AYC23" s="37"/>
      <c r="AYD23" s="37"/>
      <c r="AYE23" s="37"/>
      <c r="AYF23" s="37"/>
      <c r="AYG23" s="37"/>
      <c r="AYH23" s="37"/>
      <c r="AYI23" s="37"/>
      <c r="AYJ23" s="37"/>
      <c r="AYK23" s="37"/>
      <c r="AYL23" s="37"/>
      <c r="AYM23" s="37"/>
      <c r="AYN23" s="37"/>
      <c r="AYO23" s="37"/>
      <c r="AYP23" s="37"/>
      <c r="AYQ23" s="37"/>
      <c r="AYR23" s="37"/>
      <c r="AYS23" s="37"/>
      <c r="AYT23" s="37"/>
      <c r="AYU23" s="37"/>
      <c r="AYV23" s="37"/>
      <c r="AYW23" s="37"/>
      <c r="AYX23" s="37"/>
      <c r="AYY23" s="37"/>
      <c r="AYZ23" s="37"/>
      <c r="AZA23" s="37"/>
      <c r="AZB23" s="37"/>
      <c r="AZC23" s="37"/>
      <c r="AZD23" s="37"/>
      <c r="AZE23" s="37"/>
      <c r="AZF23" s="37"/>
      <c r="AZG23" s="37"/>
      <c r="AZH23" s="37"/>
      <c r="AZI23" s="37"/>
      <c r="AZJ23" s="37"/>
      <c r="AZK23" s="37"/>
      <c r="AZL23" s="37"/>
      <c r="AZM23" s="37"/>
      <c r="AZN23" s="37"/>
      <c r="AZO23" s="37"/>
      <c r="AZP23" s="37"/>
      <c r="AZQ23" s="37"/>
      <c r="AZR23" s="37"/>
      <c r="AZS23" s="37"/>
      <c r="AZT23" s="37"/>
      <c r="AZU23" s="37"/>
      <c r="AZV23" s="37"/>
      <c r="AZW23" s="37"/>
      <c r="AZX23" s="37"/>
      <c r="AZY23" s="37"/>
      <c r="AZZ23" s="37"/>
      <c r="BAA23" s="37"/>
      <c r="BAB23" s="37"/>
      <c r="BAC23" s="37"/>
      <c r="BAD23" s="37"/>
      <c r="BAE23" s="37"/>
      <c r="BAF23" s="37"/>
      <c r="BAG23" s="37"/>
      <c r="BAH23" s="37"/>
      <c r="BAI23" s="37"/>
      <c r="BAJ23" s="37"/>
      <c r="BAK23" s="37"/>
      <c r="BAL23" s="37"/>
      <c r="BAM23" s="37"/>
      <c r="BAN23" s="37"/>
      <c r="BAO23" s="37"/>
      <c r="BAP23" s="37"/>
      <c r="BAQ23" s="37"/>
      <c r="BAR23" s="37"/>
      <c r="BAS23" s="37"/>
      <c r="BAT23" s="37"/>
      <c r="BAU23" s="37"/>
      <c r="BAV23" s="37"/>
      <c r="BAW23" s="37"/>
      <c r="BAX23" s="37"/>
      <c r="BAY23" s="37"/>
      <c r="BAZ23" s="37"/>
      <c r="BBA23" s="37"/>
      <c r="BBB23" s="37"/>
      <c r="BBC23" s="37"/>
      <c r="BBD23" s="37"/>
      <c r="BBE23" s="37"/>
      <c r="BBF23" s="37"/>
      <c r="BBG23" s="37"/>
      <c r="BBH23" s="37"/>
      <c r="BBI23" s="37"/>
      <c r="BBJ23" s="37"/>
      <c r="BBK23" s="37"/>
      <c r="BBL23" s="37"/>
      <c r="BBM23" s="37"/>
      <c r="BBN23" s="37"/>
      <c r="BBO23" s="37"/>
      <c r="BBP23" s="37"/>
      <c r="BBQ23" s="37"/>
      <c r="BBR23" s="37"/>
      <c r="BBS23" s="37"/>
      <c r="BBT23" s="37"/>
      <c r="BBU23" s="37"/>
      <c r="BBV23" s="37"/>
      <c r="BBW23" s="37"/>
      <c r="BBX23" s="37"/>
      <c r="BBY23" s="37"/>
      <c r="BBZ23" s="37"/>
      <c r="BCA23" s="37"/>
      <c r="BCB23" s="37"/>
      <c r="BCC23" s="37"/>
      <c r="BCD23" s="37"/>
      <c r="BCE23" s="37"/>
      <c r="BCF23" s="37"/>
      <c r="BCG23" s="37"/>
      <c r="BCH23" s="37"/>
      <c r="BCI23" s="37"/>
      <c r="BCJ23" s="37"/>
      <c r="BCK23" s="37"/>
      <c r="BCL23" s="37"/>
      <c r="BCM23" s="37"/>
      <c r="BCN23" s="37"/>
      <c r="BCO23" s="37"/>
      <c r="BCP23" s="37"/>
      <c r="BCQ23" s="37"/>
      <c r="BCR23" s="37"/>
      <c r="BCS23" s="37"/>
      <c r="BCT23" s="37"/>
      <c r="BCU23" s="37"/>
      <c r="BCV23" s="37"/>
      <c r="BCW23" s="37"/>
      <c r="BCX23" s="37"/>
      <c r="BCY23" s="37"/>
      <c r="BCZ23" s="37"/>
      <c r="BDA23" s="37"/>
      <c r="BDB23" s="37"/>
      <c r="BDC23" s="37"/>
      <c r="BDD23" s="37"/>
      <c r="BDE23" s="37"/>
      <c r="BDF23" s="37"/>
      <c r="BDG23" s="37"/>
      <c r="BDH23" s="37"/>
      <c r="BDI23" s="37"/>
      <c r="BDJ23" s="37"/>
      <c r="BDK23" s="37"/>
      <c r="BDL23" s="37"/>
      <c r="BDM23" s="37"/>
      <c r="BDN23" s="37"/>
      <c r="BDO23" s="37"/>
      <c r="BDP23" s="37"/>
      <c r="BDQ23" s="37"/>
      <c r="BDR23" s="37"/>
      <c r="BDS23" s="37"/>
      <c r="BDT23" s="37"/>
      <c r="BDU23" s="37"/>
      <c r="BDV23" s="37"/>
      <c r="BDW23" s="37"/>
      <c r="BDX23" s="37"/>
      <c r="BDY23" s="37"/>
      <c r="BDZ23" s="37"/>
      <c r="BEA23" s="37"/>
      <c r="BEB23" s="37"/>
      <c r="BEC23" s="37"/>
      <c r="BED23" s="37"/>
      <c r="BEE23" s="37"/>
      <c r="BEF23" s="37"/>
      <c r="BEG23" s="37"/>
      <c r="BEH23" s="37"/>
      <c r="BEI23" s="37"/>
      <c r="BEJ23" s="37"/>
      <c r="BEK23" s="37"/>
      <c r="BEL23" s="37"/>
      <c r="BEM23" s="37"/>
      <c r="BEN23" s="37"/>
      <c r="BEO23" s="37"/>
      <c r="BEP23" s="37"/>
      <c r="BEQ23" s="37"/>
      <c r="BER23" s="37"/>
      <c r="BES23" s="37"/>
      <c r="BET23" s="37"/>
      <c r="BEU23" s="37"/>
      <c r="BEV23" s="37"/>
      <c r="BEW23" s="37"/>
      <c r="BEX23" s="37"/>
      <c r="BEY23" s="37"/>
      <c r="BEZ23" s="37"/>
      <c r="BFA23" s="37"/>
      <c r="BFB23" s="37"/>
      <c r="BFC23" s="37"/>
      <c r="BFD23" s="37"/>
      <c r="BFE23" s="37"/>
      <c r="BFF23" s="37"/>
      <c r="BFG23" s="37"/>
      <c r="BFH23" s="37"/>
      <c r="BFI23" s="37"/>
      <c r="BFJ23" s="37"/>
      <c r="BFK23" s="37"/>
      <c r="BFL23" s="37"/>
      <c r="BFM23" s="37"/>
      <c r="BFN23" s="37"/>
      <c r="BFO23" s="37"/>
      <c r="BFP23" s="37"/>
      <c r="BFQ23" s="37"/>
      <c r="BFR23" s="37"/>
      <c r="BFS23" s="37"/>
      <c r="BFT23" s="37"/>
      <c r="BFU23" s="37"/>
      <c r="BFV23" s="37"/>
      <c r="BFW23" s="37"/>
      <c r="BFX23" s="37"/>
      <c r="BFY23" s="37"/>
      <c r="BFZ23" s="37"/>
      <c r="BGA23" s="37"/>
      <c r="BGB23" s="37"/>
      <c r="BGC23" s="37"/>
      <c r="BGD23" s="37"/>
      <c r="BGE23" s="37"/>
      <c r="BGF23" s="37"/>
      <c r="BGG23" s="37"/>
      <c r="BGH23" s="37"/>
      <c r="BGI23" s="37"/>
      <c r="BGJ23" s="37"/>
      <c r="BGK23" s="37"/>
      <c r="BGL23" s="37"/>
      <c r="BGM23" s="37"/>
      <c r="BGN23" s="37"/>
      <c r="BGO23" s="37"/>
      <c r="BGP23" s="37"/>
      <c r="BGQ23" s="37"/>
      <c r="BGR23" s="37"/>
      <c r="BGS23" s="37"/>
      <c r="BGT23" s="37"/>
      <c r="BGU23" s="37"/>
      <c r="BGV23" s="37"/>
      <c r="BGW23" s="37"/>
      <c r="BGX23" s="37"/>
      <c r="BGY23" s="37"/>
      <c r="BGZ23" s="37"/>
      <c r="BHA23" s="37"/>
      <c r="BHB23" s="37"/>
      <c r="BHC23" s="37"/>
      <c r="BHD23" s="37"/>
      <c r="BHE23" s="37"/>
      <c r="BHF23" s="37"/>
      <c r="BHG23" s="37"/>
      <c r="BHH23" s="37"/>
      <c r="BHI23" s="37"/>
      <c r="BHJ23" s="37"/>
      <c r="BHK23" s="37"/>
      <c r="BHL23" s="37"/>
      <c r="BHM23" s="37"/>
      <c r="BHN23" s="37"/>
      <c r="BHO23" s="37"/>
      <c r="BHP23" s="37"/>
      <c r="BHQ23" s="37"/>
      <c r="BHR23" s="37"/>
      <c r="BHS23" s="37"/>
      <c r="BHT23" s="37"/>
      <c r="BHU23" s="37"/>
      <c r="BHV23" s="37"/>
      <c r="BHW23" s="37"/>
      <c r="BHX23" s="37"/>
      <c r="BHY23" s="37"/>
      <c r="BHZ23" s="37"/>
      <c r="BIA23" s="37"/>
      <c r="BIB23" s="37"/>
      <c r="BIC23" s="37"/>
      <c r="BID23" s="37"/>
      <c r="BIE23" s="37"/>
      <c r="BIF23" s="37"/>
      <c r="BIG23" s="37"/>
      <c r="BIH23" s="37"/>
      <c r="BII23" s="37"/>
      <c r="BIJ23" s="37"/>
      <c r="BIK23" s="37"/>
      <c r="BIL23" s="37"/>
      <c r="BIM23" s="37"/>
      <c r="BIN23" s="37"/>
      <c r="BIO23" s="37"/>
      <c r="BIP23" s="37"/>
      <c r="BIQ23" s="37"/>
      <c r="BIR23" s="37"/>
      <c r="BIS23" s="37"/>
      <c r="BIT23" s="37"/>
      <c r="BIU23" s="37"/>
      <c r="BIV23" s="37"/>
      <c r="BIW23" s="37"/>
      <c r="BIX23" s="37"/>
      <c r="BIY23" s="37"/>
      <c r="BIZ23" s="37"/>
      <c r="BJA23" s="37"/>
      <c r="BJB23" s="37"/>
      <c r="BJC23" s="37"/>
      <c r="BJD23" s="37"/>
      <c r="BJE23" s="37"/>
      <c r="BJF23" s="37"/>
      <c r="BJG23" s="37"/>
      <c r="BJH23" s="37"/>
      <c r="BJI23" s="37"/>
      <c r="BJJ23" s="37"/>
      <c r="BJK23" s="37"/>
      <c r="BJL23" s="37"/>
      <c r="BJM23" s="37"/>
      <c r="BJN23" s="37"/>
      <c r="BJO23" s="37"/>
      <c r="BJP23" s="37"/>
      <c r="BJQ23" s="37"/>
      <c r="BJR23" s="37"/>
      <c r="BJS23" s="37"/>
      <c r="BJT23" s="37"/>
      <c r="BJU23" s="37"/>
      <c r="BJV23" s="37"/>
      <c r="BJW23" s="37"/>
      <c r="BJX23" s="37"/>
      <c r="BJY23" s="37"/>
      <c r="BJZ23" s="37"/>
      <c r="BKA23" s="37"/>
      <c r="BKB23" s="37"/>
      <c r="BKC23" s="37"/>
      <c r="BKD23" s="37"/>
      <c r="BKE23" s="37"/>
      <c r="BKF23" s="37"/>
      <c r="BKG23" s="37"/>
      <c r="BKH23" s="37"/>
      <c r="BKI23" s="37"/>
      <c r="BKJ23" s="37"/>
      <c r="BKK23" s="37"/>
      <c r="BKL23" s="37"/>
      <c r="BKM23" s="37"/>
      <c r="BKN23" s="37"/>
      <c r="BKO23" s="37"/>
      <c r="BKP23" s="37"/>
      <c r="BKQ23" s="37"/>
      <c r="BKR23" s="37"/>
      <c r="BKS23" s="37"/>
      <c r="BKT23" s="37"/>
      <c r="BKU23" s="37"/>
      <c r="BKV23" s="37"/>
      <c r="BKW23" s="37"/>
      <c r="BKX23" s="37"/>
      <c r="BKY23" s="37"/>
      <c r="BKZ23" s="37"/>
      <c r="BLA23" s="37"/>
      <c r="BLB23" s="37"/>
      <c r="BLC23" s="37"/>
      <c r="BLD23" s="37"/>
      <c r="BLE23" s="37"/>
      <c r="BLF23" s="37"/>
      <c r="BLG23" s="37"/>
      <c r="BLH23" s="37"/>
      <c r="BLI23" s="37"/>
      <c r="BLJ23" s="37"/>
      <c r="BLK23" s="37"/>
      <c r="BLL23" s="37"/>
      <c r="BLM23" s="37"/>
      <c r="BLN23" s="37"/>
      <c r="BLO23" s="37"/>
      <c r="BLP23" s="37"/>
      <c r="BLQ23" s="37"/>
      <c r="BLR23" s="37"/>
      <c r="BLS23" s="37"/>
      <c r="BLT23" s="37"/>
      <c r="BLU23" s="37"/>
      <c r="BLV23" s="37"/>
      <c r="BLW23" s="37"/>
      <c r="BLX23" s="37"/>
      <c r="BLY23" s="37"/>
      <c r="BLZ23" s="37"/>
      <c r="BMA23" s="37"/>
      <c r="BMB23" s="37"/>
      <c r="BMC23" s="37"/>
      <c r="BMD23" s="37"/>
      <c r="BME23" s="37"/>
      <c r="BMF23" s="37"/>
      <c r="BMG23" s="37"/>
      <c r="BMH23" s="37"/>
      <c r="BMI23" s="37"/>
      <c r="BMJ23" s="37"/>
      <c r="BMK23" s="37"/>
      <c r="BML23" s="37"/>
      <c r="BMM23" s="37"/>
      <c r="BMN23" s="37"/>
      <c r="BMO23" s="37"/>
      <c r="BMP23" s="37"/>
      <c r="BMQ23" s="37"/>
      <c r="BMR23" s="37"/>
      <c r="BMS23" s="37"/>
      <c r="BMT23" s="37"/>
      <c r="BMU23" s="37"/>
      <c r="BMV23" s="37"/>
      <c r="BMW23" s="37"/>
      <c r="BMX23" s="37"/>
      <c r="BMY23" s="37"/>
      <c r="BMZ23" s="37"/>
      <c r="BNA23" s="37"/>
      <c r="BNB23" s="37"/>
      <c r="BNC23" s="37"/>
      <c r="BND23" s="37"/>
      <c r="BNE23" s="37"/>
      <c r="BNF23" s="37"/>
      <c r="BNG23" s="37"/>
      <c r="BNH23" s="37"/>
      <c r="BNI23" s="37"/>
      <c r="BNJ23" s="37"/>
      <c r="BNK23" s="37"/>
      <c r="BNL23" s="37"/>
      <c r="BNM23" s="37"/>
      <c r="BNN23" s="37"/>
      <c r="BNO23" s="37"/>
      <c r="BNP23" s="37"/>
      <c r="BNQ23" s="37"/>
      <c r="BNR23" s="37"/>
      <c r="BNS23" s="37"/>
      <c r="BNT23" s="37"/>
      <c r="BNU23" s="37"/>
      <c r="BNV23" s="37"/>
      <c r="BNW23" s="37"/>
      <c r="BNX23" s="37"/>
      <c r="BNY23" s="37"/>
      <c r="BNZ23" s="37"/>
      <c r="BOA23" s="37"/>
      <c r="BOB23" s="37"/>
      <c r="BOC23" s="37"/>
      <c r="BOD23" s="37"/>
      <c r="BOE23" s="37"/>
      <c r="BOF23" s="37"/>
      <c r="BOG23" s="37"/>
      <c r="BOH23" s="37"/>
      <c r="BOI23" s="37"/>
      <c r="BOJ23" s="37"/>
      <c r="BOK23" s="37"/>
      <c r="BOL23" s="37"/>
      <c r="BOM23" s="37"/>
      <c r="BON23" s="37"/>
      <c r="BOO23" s="37"/>
      <c r="BOP23" s="37"/>
      <c r="BOQ23" s="37"/>
      <c r="BOR23" s="37"/>
      <c r="BOS23" s="37"/>
      <c r="BOT23" s="37"/>
      <c r="BOU23" s="37"/>
      <c r="BOV23" s="37"/>
      <c r="BOW23" s="37"/>
      <c r="BOX23" s="37"/>
      <c r="BOY23" s="37"/>
      <c r="BOZ23" s="37"/>
      <c r="BPA23" s="37"/>
      <c r="BPB23" s="37"/>
      <c r="BPC23" s="37"/>
      <c r="BPD23" s="37"/>
      <c r="BPE23" s="37"/>
      <c r="BPF23" s="37"/>
      <c r="BPG23" s="37"/>
      <c r="BPH23" s="37"/>
      <c r="BPI23" s="37"/>
      <c r="BPJ23" s="37"/>
      <c r="BPK23" s="37"/>
      <c r="BPL23" s="37"/>
      <c r="BPM23" s="37"/>
      <c r="BPN23" s="37"/>
      <c r="BPO23" s="37"/>
      <c r="BPP23" s="37"/>
      <c r="BPQ23" s="37"/>
      <c r="BPR23" s="37"/>
      <c r="BPS23" s="37"/>
      <c r="BPT23" s="37"/>
      <c r="BPU23" s="37"/>
      <c r="BPV23" s="37"/>
      <c r="BPW23" s="37"/>
      <c r="BPX23" s="37"/>
      <c r="BPY23" s="37"/>
      <c r="BPZ23" s="37"/>
      <c r="BQA23" s="37"/>
      <c r="BQB23" s="37"/>
      <c r="BQC23" s="37"/>
      <c r="BQD23" s="37"/>
      <c r="BQE23" s="37"/>
      <c r="BQF23" s="37"/>
      <c r="BQG23" s="37"/>
      <c r="BQH23" s="37"/>
      <c r="BQI23" s="37"/>
      <c r="BQJ23" s="37"/>
      <c r="BQK23" s="37"/>
      <c r="BQL23" s="37"/>
      <c r="BQM23" s="37"/>
      <c r="BQN23" s="37"/>
      <c r="BQO23" s="37"/>
      <c r="BQP23" s="37"/>
      <c r="BQQ23" s="37"/>
      <c r="BQR23" s="37"/>
      <c r="BQS23" s="37"/>
      <c r="BQT23" s="37"/>
      <c r="BQU23" s="37"/>
      <c r="BQV23" s="37"/>
      <c r="BQW23" s="37"/>
      <c r="BQX23" s="37"/>
      <c r="BQY23" s="37"/>
      <c r="BQZ23" s="37"/>
      <c r="BRA23" s="37"/>
      <c r="BRB23" s="37"/>
      <c r="BRC23" s="37"/>
      <c r="BRD23" s="37"/>
      <c r="BRE23" s="37"/>
      <c r="BRF23" s="37"/>
      <c r="BRG23" s="37"/>
      <c r="BRH23" s="37"/>
      <c r="BRI23" s="37"/>
      <c r="BRJ23" s="37"/>
      <c r="BRK23" s="37"/>
      <c r="BRL23" s="37"/>
      <c r="BRM23" s="37"/>
      <c r="BRN23" s="37"/>
      <c r="BRO23" s="37"/>
      <c r="BRP23" s="37"/>
      <c r="BRQ23" s="37"/>
      <c r="BRR23" s="37"/>
      <c r="BRS23" s="37"/>
      <c r="BRT23" s="37"/>
      <c r="BRU23" s="37"/>
      <c r="BRV23" s="37"/>
      <c r="BRW23" s="37"/>
      <c r="BRX23" s="37"/>
      <c r="BRY23" s="37"/>
      <c r="BRZ23" s="37"/>
      <c r="BSA23" s="37"/>
      <c r="BSB23" s="37"/>
      <c r="BSC23" s="37"/>
      <c r="BSD23" s="37"/>
      <c r="BSE23" s="37"/>
      <c r="BSF23" s="37"/>
      <c r="BSG23" s="37"/>
      <c r="BSH23" s="37"/>
      <c r="BSI23" s="37"/>
      <c r="BSJ23" s="37"/>
      <c r="BSK23" s="37"/>
      <c r="BSL23" s="37"/>
      <c r="BSM23" s="37"/>
      <c r="BSN23" s="37"/>
      <c r="BSO23" s="37"/>
      <c r="BSP23" s="37"/>
      <c r="BSQ23" s="37"/>
      <c r="BSR23" s="37"/>
      <c r="BSS23" s="37"/>
      <c r="BST23" s="37"/>
      <c r="BSU23" s="37"/>
      <c r="BSV23" s="37"/>
      <c r="BSW23" s="37"/>
      <c r="BSX23" s="37"/>
      <c r="BSY23" s="37"/>
      <c r="BSZ23" s="37"/>
      <c r="BTA23" s="37"/>
      <c r="BTB23" s="37"/>
      <c r="BTC23" s="37"/>
      <c r="BTD23" s="37"/>
      <c r="BTE23" s="37"/>
      <c r="BTF23" s="37"/>
      <c r="BTG23" s="37"/>
      <c r="BTH23" s="37"/>
      <c r="BTI23" s="37"/>
      <c r="BTJ23" s="37"/>
      <c r="BTK23" s="37"/>
      <c r="BTL23" s="37"/>
      <c r="BTM23" s="37"/>
      <c r="BTN23" s="37"/>
      <c r="BTO23" s="37"/>
      <c r="BTP23" s="37"/>
      <c r="BTQ23" s="37"/>
      <c r="BTR23" s="37"/>
      <c r="BTS23" s="37"/>
      <c r="BTT23" s="37"/>
      <c r="BTU23" s="37"/>
      <c r="BTV23" s="37"/>
      <c r="BTW23" s="37"/>
      <c r="BTX23" s="37"/>
      <c r="BTY23" s="37"/>
      <c r="BTZ23" s="37"/>
      <c r="BUA23" s="37"/>
      <c r="BUB23" s="37"/>
      <c r="BUC23" s="37"/>
      <c r="BUD23" s="37"/>
      <c r="BUE23" s="37"/>
      <c r="BUF23" s="37"/>
      <c r="BUG23" s="37"/>
      <c r="BUH23" s="37"/>
      <c r="BUI23" s="37"/>
      <c r="BUJ23" s="37"/>
      <c r="BUK23" s="37"/>
      <c r="BUL23" s="37"/>
      <c r="BUM23" s="37"/>
      <c r="BUN23" s="37"/>
      <c r="BUO23" s="37"/>
      <c r="BUP23" s="37"/>
      <c r="BUQ23" s="37"/>
      <c r="BUR23" s="37"/>
      <c r="BUS23" s="37"/>
      <c r="BUT23" s="37"/>
      <c r="BUU23" s="37"/>
      <c r="BUV23" s="37"/>
      <c r="BUW23" s="37"/>
      <c r="BUX23" s="37"/>
      <c r="BUY23" s="37"/>
      <c r="BUZ23" s="37"/>
      <c r="BVA23" s="37"/>
      <c r="BVB23" s="37"/>
      <c r="BVC23" s="37"/>
      <c r="BVD23" s="37"/>
      <c r="BVE23" s="37"/>
      <c r="BVF23" s="37"/>
      <c r="BVG23" s="37"/>
      <c r="BVH23" s="37"/>
      <c r="BVI23" s="37"/>
      <c r="BVJ23" s="37"/>
      <c r="BVK23" s="37"/>
      <c r="BVL23" s="37"/>
      <c r="BVM23" s="37"/>
      <c r="BVN23" s="37"/>
      <c r="BVO23" s="37"/>
      <c r="BVP23" s="37"/>
      <c r="BVQ23" s="37"/>
      <c r="BVR23" s="37"/>
      <c r="BVS23" s="37"/>
      <c r="BVT23" s="37"/>
      <c r="BVU23" s="37"/>
      <c r="BVV23" s="37"/>
      <c r="BVW23" s="37"/>
      <c r="BVX23" s="37"/>
      <c r="BVY23" s="37"/>
      <c r="BVZ23" s="37"/>
      <c r="BWA23" s="37"/>
      <c r="BWB23" s="37"/>
      <c r="BWC23" s="37"/>
      <c r="BWD23" s="37"/>
      <c r="BWE23" s="37"/>
      <c r="BWF23" s="37"/>
      <c r="BWG23" s="37"/>
      <c r="BWH23" s="37"/>
      <c r="BWI23" s="37"/>
      <c r="BWJ23" s="37"/>
    </row>
    <row r="24" spans="1:1960" x14ac:dyDescent="0.25">
      <c r="A24" s="38">
        <v>19</v>
      </c>
      <c r="B24" s="39">
        <v>20</v>
      </c>
      <c r="C24" s="40">
        <v>1000</v>
      </c>
      <c r="D24" s="41" t="s">
        <v>23</v>
      </c>
      <c r="E24" s="271">
        <f ca="1"/>
        <v>69</v>
      </c>
      <c r="F24" s="33">
        <v>-100</v>
      </c>
      <c r="G24" s="33">
        <v>1000</v>
      </c>
      <c r="H24" s="43">
        <f ca="1"/>
        <v>-100</v>
      </c>
      <c r="I24" s="33">
        <f ca="1"/>
        <v>50.9</v>
      </c>
      <c r="J24" s="35">
        <v>19</v>
      </c>
      <c r="K24" s="36">
        <v>20</v>
      </c>
      <c r="L24" s="37">
        <v>20</v>
      </c>
      <c r="M24" s="37">
        <v>20</v>
      </c>
      <c r="N24" s="37">
        <v>20</v>
      </c>
      <c r="O24" s="37">
        <v>20</v>
      </c>
      <c r="P24" s="37">
        <v>20</v>
      </c>
      <c r="Q24" s="37">
        <v>20</v>
      </c>
      <c r="R24" s="37">
        <v>20</v>
      </c>
      <c r="S24" s="37">
        <v>20</v>
      </c>
      <c r="T24" s="37">
        <v>20</v>
      </c>
      <c r="U24" s="37">
        <v>20</v>
      </c>
      <c r="V24" s="37">
        <v>20</v>
      </c>
      <c r="W24" s="37">
        <v>20</v>
      </c>
      <c r="X24" s="37">
        <v>20</v>
      </c>
      <c r="Y24" s="37">
        <v>20</v>
      </c>
      <c r="Z24" s="37">
        <v>20</v>
      </c>
      <c r="AA24" s="37">
        <v>20</v>
      </c>
      <c r="AB24" s="37">
        <v>20</v>
      </c>
      <c r="AC24" s="37">
        <v>20</v>
      </c>
      <c r="AD24" s="37">
        <v>20</v>
      </c>
      <c r="AE24" s="37">
        <v>20</v>
      </c>
      <c r="AF24" s="37">
        <v>20</v>
      </c>
      <c r="AG24" s="37">
        <v>20</v>
      </c>
      <c r="AH24" s="37">
        <v>20</v>
      </c>
      <c r="AI24" s="37">
        <v>20</v>
      </c>
      <c r="AJ24" s="37">
        <v>20</v>
      </c>
      <c r="AK24" s="37">
        <v>20</v>
      </c>
      <c r="AL24" s="37">
        <v>20</v>
      </c>
      <c r="AM24" s="37">
        <v>20</v>
      </c>
      <c r="AN24" s="37">
        <v>20</v>
      </c>
      <c r="AO24" s="37">
        <v>20</v>
      </c>
      <c r="AP24" s="37">
        <v>20</v>
      </c>
      <c r="AQ24" s="37">
        <v>20</v>
      </c>
      <c r="AR24" s="37">
        <v>20</v>
      </c>
      <c r="AS24" s="37">
        <v>20</v>
      </c>
      <c r="AT24" s="37">
        <v>20</v>
      </c>
      <c r="AU24" s="37">
        <v>20</v>
      </c>
      <c r="AV24" s="37">
        <v>20</v>
      </c>
      <c r="AW24" s="37">
        <v>20</v>
      </c>
      <c r="AX24" s="37">
        <v>20</v>
      </c>
      <c r="AY24" s="37">
        <v>20</v>
      </c>
      <c r="AZ24" s="37">
        <v>20</v>
      </c>
      <c r="BA24" s="37">
        <v>20</v>
      </c>
      <c r="BB24" s="37">
        <v>20</v>
      </c>
      <c r="BC24" s="37">
        <v>20</v>
      </c>
      <c r="BD24" s="37">
        <v>20</v>
      </c>
      <c r="BE24" s="37">
        <v>20</v>
      </c>
      <c r="BF24" s="37">
        <v>20</v>
      </c>
      <c r="BG24" s="37">
        <v>20</v>
      </c>
      <c r="BH24" s="37">
        <v>20</v>
      </c>
      <c r="BI24" s="37">
        <v>20</v>
      </c>
      <c r="BJ24" s="37">
        <v>20</v>
      </c>
      <c r="BK24" s="37">
        <v>20</v>
      </c>
      <c r="BL24" s="37">
        <v>20</v>
      </c>
      <c r="BM24" s="37">
        <v>20</v>
      </c>
      <c r="BN24" s="37">
        <v>20</v>
      </c>
      <c r="BO24" s="37">
        <v>20</v>
      </c>
      <c r="BP24" s="37">
        <v>20</v>
      </c>
      <c r="BQ24" s="37">
        <v>20</v>
      </c>
      <c r="BR24" s="37">
        <v>20</v>
      </c>
      <c r="BS24" s="37">
        <v>20</v>
      </c>
      <c r="BT24" s="37">
        <v>20</v>
      </c>
      <c r="BU24" s="37">
        <v>20</v>
      </c>
      <c r="BV24" s="37">
        <v>20</v>
      </c>
      <c r="BW24" s="37">
        <v>20</v>
      </c>
      <c r="BX24" s="37">
        <v>20</v>
      </c>
      <c r="BY24" s="37">
        <v>20</v>
      </c>
      <c r="BZ24" s="37">
        <v>20</v>
      </c>
      <c r="CA24" s="37">
        <v>0</v>
      </c>
      <c r="CB24" s="37">
        <v>0</v>
      </c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  <c r="AMD24" s="37"/>
      <c r="AME24" s="37"/>
      <c r="AMF24" s="37"/>
      <c r="AMG24" s="37"/>
      <c r="AMH24" s="37"/>
      <c r="AMI24" s="37"/>
      <c r="AMJ24" s="37"/>
      <c r="AMK24" s="37"/>
      <c r="AML24" s="37"/>
      <c r="AMM24" s="37"/>
      <c r="AMN24" s="37"/>
      <c r="AMO24" s="37"/>
      <c r="AMP24" s="37"/>
      <c r="AMQ24" s="37"/>
      <c r="AMR24" s="37"/>
      <c r="AMS24" s="37"/>
      <c r="AMT24" s="37"/>
      <c r="AMU24" s="37"/>
      <c r="AMV24" s="37"/>
      <c r="AMW24" s="37"/>
      <c r="AMX24" s="37"/>
      <c r="AMY24" s="37"/>
      <c r="AMZ24" s="37"/>
      <c r="ANA24" s="37"/>
      <c r="ANB24" s="37"/>
      <c r="ANC24" s="37"/>
      <c r="AND24" s="37"/>
      <c r="ANE24" s="37"/>
      <c r="ANF24" s="37"/>
      <c r="ANG24" s="37"/>
      <c r="ANH24" s="37"/>
      <c r="ANI24" s="37"/>
      <c r="ANJ24" s="37"/>
      <c r="ANK24" s="37"/>
      <c r="ANL24" s="37"/>
      <c r="ANM24" s="37"/>
      <c r="ANN24" s="37"/>
      <c r="ANO24" s="37"/>
      <c r="ANP24" s="37"/>
      <c r="ANQ24" s="37"/>
      <c r="ANR24" s="37"/>
      <c r="ANS24" s="37"/>
      <c r="ANT24" s="37"/>
      <c r="ANU24" s="37"/>
      <c r="ANV24" s="37"/>
      <c r="ANW24" s="37"/>
      <c r="ANX24" s="37"/>
      <c r="ANY24" s="37"/>
      <c r="ANZ24" s="37"/>
      <c r="AOA24" s="37"/>
      <c r="AOB24" s="37"/>
      <c r="AOC24" s="37"/>
      <c r="AOD24" s="37"/>
      <c r="AOE24" s="37"/>
      <c r="AOF24" s="37"/>
      <c r="AOG24" s="37"/>
      <c r="AOH24" s="37"/>
      <c r="AOI24" s="37"/>
      <c r="AOJ24" s="37"/>
      <c r="AOK24" s="37"/>
      <c r="AOL24" s="37"/>
      <c r="AOM24" s="37"/>
      <c r="AON24" s="37"/>
      <c r="AOO24" s="37"/>
      <c r="AOP24" s="37"/>
      <c r="AOQ24" s="37"/>
      <c r="AOR24" s="37"/>
      <c r="AOS24" s="37"/>
      <c r="AOT24" s="37"/>
      <c r="AOU24" s="37"/>
      <c r="AOV24" s="37"/>
      <c r="AOW24" s="37"/>
      <c r="AOX24" s="37"/>
      <c r="AOY24" s="37"/>
      <c r="AOZ24" s="37"/>
      <c r="APA24" s="37"/>
      <c r="APB24" s="37"/>
      <c r="APC24" s="37"/>
      <c r="APD24" s="37"/>
      <c r="APE24" s="37"/>
      <c r="APF24" s="37"/>
      <c r="APG24" s="37"/>
      <c r="APH24" s="37"/>
      <c r="API24" s="37"/>
      <c r="APJ24" s="37"/>
      <c r="APK24" s="37"/>
      <c r="APL24" s="37"/>
      <c r="APM24" s="37"/>
      <c r="APN24" s="37"/>
      <c r="APO24" s="37"/>
      <c r="APP24" s="37"/>
      <c r="APQ24" s="37"/>
      <c r="APR24" s="37"/>
      <c r="APS24" s="37"/>
      <c r="APT24" s="37"/>
      <c r="APU24" s="37"/>
      <c r="APV24" s="37"/>
      <c r="APW24" s="37"/>
      <c r="APX24" s="37"/>
      <c r="APY24" s="37"/>
      <c r="APZ24" s="37"/>
      <c r="AQA24" s="37"/>
      <c r="AQB24" s="37"/>
      <c r="AQC24" s="37"/>
      <c r="AQD24" s="37"/>
      <c r="AQE24" s="37"/>
      <c r="AQF24" s="37"/>
      <c r="AQG24" s="37"/>
      <c r="AQH24" s="37"/>
      <c r="AQI24" s="37"/>
      <c r="AQJ24" s="37"/>
      <c r="AQK24" s="37"/>
      <c r="AQL24" s="37"/>
      <c r="AQM24" s="37"/>
      <c r="AQN24" s="37"/>
      <c r="AQO24" s="37"/>
      <c r="AQP24" s="37"/>
      <c r="AQQ24" s="37"/>
      <c r="AQR24" s="37"/>
      <c r="AQS24" s="37"/>
      <c r="AQT24" s="37"/>
      <c r="AQU24" s="37"/>
      <c r="AQV24" s="37"/>
      <c r="AQW24" s="37"/>
      <c r="AQX24" s="37"/>
      <c r="AQY24" s="37"/>
      <c r="AQZ24" s="37"/>
      <c r="ARA24" s="37"/>
      <c r="ARB24" s="37"/>
      <c r="ARC24" s="37"/>
      <c r="ARD24" s="37"/>
      <c r="ARE24" s="37"/>
      <c r="ARF24" s="37"/>
      <c r="ARG24" s="37"/>
      <c r="ARH24" s="37"/>
      <c r="ARI24" s="37"/>
      <c r="ARJ24" s="37"/>
      <c r="ARK24" s="37"/>
      <c r="ARL24" s="37"/>
      <c r="ARM24" s="37"/>
      <c r="ARN24" s="37"/>
      <c r="ARO24" s="37"/>
      <c r="ARP24" s="37"/>
      <c r="ARQ24" s="37"/>
      <c r="ARR24" s="37"/>
      <c r="ARS24" s="37"/>
      <c r="ART24" s="37"/>
      <c r="ARU24" s="37"/>
      <c r="ARV24" s="37"/>
      <c r="ARW24" s="37"/>
      <c r="ARX24" s="37"/>
      <c r="ARY24" s="37"/>
      <c r="ARZ24" s="37"/>
      <c r="ASA24" s="37"/>
      <c r="ASB24" s="37"/>
      <c r="ASC24" s="37"/>
      <c r="ASD24" s="37"/>
      <c r="ASE24" s="37"/>
      <c r="ASF24" s="37"/>
      <c r="ASG24" s="37"/>
      <c r="ASH24" s="37"/>
      <c r="ASI24" s="37"/>
      <c r="ASJ24" s="37"/>
      <c r="ASK24" s="37"/>
      <c r="ASL24" s="37"/>
      <c r="ASM24" s="37"/>
      <c r="ASN24" s="37"/>
      <c r="ASO24" s="37"/>
      <c r="ASP24" s="37"/>
      <c r="ASQ24" s="37"/>
      <c r="ASR24" s="37"/>
      <c r="ASS24" s="37"/>
      <c r="AST24" s="37"/>
      <c r="ASU24" s="37"/>
      <c r="ASV24" s="37"/>
      <c r="ASW24" s="37"/>
      <c r="ASX24" s="37"/>
      <c r="ASY24" s="37"/>
      <c r="ASZ24" s="37"/>
      <c r="ATA24" s="37"/>
      <c r="ATB24" s="37"/>
      <c r="ATC24" s="37"/>
      <c r="ATD24" s="37"/>
      <c r="ATE24" s="37"/>
      <c r="ATF24" s="37"/>
      <c r="ATG24" s="37"/>
      <c r="ATH24" s="37"/>
      <c r="ATI24" s="37"/>
      <c r="ATJ24" s="37"/>
      <c r="ATK24" s="37"/>
      <c r="ATL24" s="37"/>
      <c r="ATM24" s="37"/>
      <c r="ATN24" s="37"/>
      <c r="ATO24" s="37"/>
      <c r="ATP24" s="37"/>
      <c r="ATQ24" s="37"/>
      <c r="ATR24" s="37"/>
      <c r="ATS24" s="37"/>
      <c r="ATT24" s="37"/>
      <c r="ATU24" s="37"/>
      <c r="ATV24" s="37"/>
      <c r="ATW24" s="37"/>
      <c r="ATX24" s="37"/>
      <c r="ATY24" s="37"/>
      <c r="ATZ24" s="37"/>
      <c r="AUA24" s="37"/>
      <c r="AUB24" s="37"/>
      <c r="AUC24" s="37"/>
      <c r="AUD24" s="37"/>
      <c r="AUE24" s="37"/>
      <c r="AUF24" s="37"/>
      <c r="AUG24" s="37"/>
      <c r="AUH24" s="37"/>
      <c r="AUI24" s="37"/>
      <c r="AUJ24" s="37"/>
      <c r="AUK24" s="37"/>
      <c r="AUL24" s="37"/>
      <c r="AUM24" s="37"/>
      <c r="AUN24" s="37"/>
      <c r="AUO24" s="37"/>
      <c r="AUP24" s="37"/>
      <c r="AUQ24" s="37"/>
      <c r="AUR24" s="37"/>
      <c r="AUS24" s="37"/>
      <c r="AUT24" s="37"/>
      <c r="AUU24" s="37"/>
      <c r="AUV24" s="37"/>
      <c r="AUW24" s="37"/>
      <c r="AUX24" s="37"/>
      <c r="AUY24" s="37"/>
      <c r="AUZ24" s="37"/>
      <c r="AVA24" s="37"/>
      <c r="AVB24" s="37"/>
      <c r="AVC24" s="37"/>
      <c r="AVD24" s="37"/>
      <c r="AVE24" s="37"/>
      <c r="AVF24" s="37"/>
      <c r="AVG24" s="37"/>
      <c r="AVH24" s="37"/>
      <c r="AVI24" s="37"/>
      <c r="AVJ24" s="37"/>
      <c r="AVK24" s="37"/>
      <c r="AVL24" s="37"/>
      <c r="AVM24" s="37"/>
      <c r="AVN24" s="37"/>
      <c r="AVO24" s="37"/>
      <c r="AVP24" s="37"/>
      <c r="AVQ24" s="37"/>
      <c r="AVR24" s="37"/>
      <c r="AVS24" s="37"/>
      <c r="AVT24" s="37"/>
      <c r="AVU24" s="37"/>
      <c r="AVV24" s="37"/>
      <c r="AVW24" s="37"/>
      <c r="AVX24" s="37"/>
      <c r="AVY24" s="37"/>
      <c r="AVZ24" s="37"/>
      <c r="AWA24" s="37"/>
      <c r="AWB24" s="37"/>
      <c r="AWC24" s="37"/>
      <c r="AWD24" s="37"/>
      <c r="AWE24" s="37"/>
      <c r="AWF24" s="37"/>
      <c r="AWG24" s="37"/>
      <c r="AWH24" s="37"/>
      <c r="AWI24" s="37"/>
      <c r="AWJ24" s="37"/>
      <c r="AWK24" s="37"/>
      <c r="AWL24" s="37"/>
      <c r="AWM24" s="37"/>
      <c r="AWN24" s="37"/>
      <c r="AWO24" s="37"/>
      <c r="AWP24" s="37"/>
      <c r="AWQ24" s="37"/>
      <c r="AWR24" s="37"/>
      <c r="AWS24" s="37"/>
      <c r="AWT24" s="37"/>
      <c r="AWU24" s="37"/>
      <c r="AWV24" s="37"/>
      <c r="AWW24" s="37"/>
      <c r="AWX24" s="37"/>
      <c r="AWY24" s="37"/>
      <c r="AWZ24" s="37"/>
      <c r="AXA24" s="37"/>
      <c r="AXB24" s="37"/>
      <c r="AXC24" s="37"/>
      <c r="AXD24" s="37"/>
      <c r="AXE24" s="37"/>
      <c r="AXF24" s="37"/>
      <c r="AXG24" s="37"/>
      <c r="AXH24" s="37"/>
      <c r="AXI24" s="37"/>
      <c r="AXJ24" s="37"/>
      <c r="AXK24" s="37"/>
      <c r="AXL24" s="37"/>
      <c r="AXM24" s="37"/>
      <c r="AXN24" s="37"/>
      <c r="AXO24" s="37"/>
      <c r="AXP24" s="37"/>
      <c r="AXQ24" s="37"/>
      <c r="AXR24" s="37"/>
      <c r="AXS24" s="37"/>
      <c r="AXT24" s="37"/>
      <c r="AXU24" s="37"/>
      <c r="AXV24" s="37"/>
      <c r="AXW24" s="37"/>
      <c r="AXX24" s="37"/>
      <c r="AXY24" s="37"/>
      <c r="AXZ24" s="37"/>
      <c r="AYA24" s="37"/>
      <c r="AYB24" s="37"/>
      <c r="AYC24" s="37"/>
      <c r="AYD24" s="37"/>
      <c r="AYE24" s="37"/>
      <c r="AYF24" s="37"/>
      <c r="AYG24" s="37"/>
      <c r="AYH24" s="37"/>
      <c r="AYI24" s="37"/>
      <c r="AYJ24" s="37"/>
      <c r="AYK24" s="37"/>
      <c r="AYL24" s="37"/>
      <c r="AYM24" s="37"/>
      <c r="AYN24" s="37"/>
      <c r="AYO24" s="37"/>
      <c r="AYP24" s="37"/>
      <c r="AYQ24" s="37"/>
      <c r="AYR24" s="37"/>
      <c r="AYS24" s="37"/>
      <c r="AYT24" s="37"/>
      <c r="AYU24" s="37"/>
      <c r="AYV24" s="37"/>
      <c r="AYW24" s="37"/>
      <c r="AYX24" s="37"/>
      <c r="AYY24" s="37"/>
      <c r="AYZ24" s="37"/>
      <c r="AZA24" s="37"/>
      <c r="AZB24" s="37"/>
      <c r="AZC24" s="37"/>
      <c r="AZD24" s="37"/>
      <c r="AZE24" s="37"/>
      <c r="AZF24" s="37"/>
      <c r="AZG24" s="37"/>
      <c r="AZH24" s="37"/>
      <c r="AZI24" s="37"/>
      <c r="AZJ24" s="37"/>
      <c r="AZK24" s="37"/>
      <c r="AZL24" s="37"/>
      <c r="AZM24" s="37"/>
      <c r="AZN24" s="37"/>
      <c r="AZO24" s="37"/>
      <c r="AZP24" s="37"/>
      <c r="AZQ24" s="37"/>
      <c r="AZR24" s="37"/>
      <c r="AZS24" s="37"/>
      <c r="AZT24" s="37"/>
      <c r="AZU24" s="37"/>
      <c r="AZV24" s="37"/>
      <c r="AZW24" s="37"/>
      <c r="AZX24" s="37"/>
      <c r="AZY24" s="37"/>
      <c r="AZZ24" s="37"/>
      <c r="BAA24" s="37"/>
      <c r="BAB24" s="37"/>
      <c r="BAC24" s="37"/>
      <c r="BAD24" s="37"/>
      <c r="BAE24" s="37"/>
      <c r="BAF24" s="37"/>
      <c r="BAG24" s="37"/>
      <c r="BAH24" s="37"/>
      <c r="BAI24" s="37"/>
      <c r="BAJ24" s="37"/>
      <c r="BAK24" s="37"/>
      <c r="BAL24" s="37"/>
      <c r="BAM24" s="37"/>
      <c r="BAN24" s="37"/>
      <c r="BAO24" s="37"/>
      <c r="BAP24" s="37"/>
      <c r="BAQ24" s="37"/>
      <c r="BAR24" s="37"/>
      <c r="BAS24" s="37"/>
      <c r="BAT24" s="37"/>
      <c r="BAU24" s="37"/>
      <c r="BAV24" s="37"/>
      <c r="BAW24" s="37"/>
      <c r="BAX24" s="37"/>
      <c r="BAY24" s="37"/>
      <c r="BAZ24" s="37"/>
      <c r="BBA24" s="37"/>
      <c r="BBB24" s="37"/>
      <c r="BBC24" s="37"/>
      <c r="BBD24" s="37"/>
      <c r="BBE24" s="37"/>
      <c r="BBF24" s="37"/>
      <c r="BBG24" s="37"/>
      <c r="BBH24" s="37"/>
      <c r="BBI24" s="37"/>
      <c r="BBJ24" s="37"/>
      <c r="BBK24" s="37"/>
      <c r="BBL24" s="37"/>
      <c r="BBM24" s="37"/>
      <c r="BBN24" s="37"/>
      <c r="BBO24" s="37"/>
      <c r="BBP24" s="37"/>
      <c r="BBQ24" s="37"/>
      <c r="BBR24" s="37"/>
      <c r="BBS24" s="37"/>
      <c r="BBT24" s="37"/>
      <c r="BBU24" s="37"/>
      <c r="BBV24" s="37"/>
      <c r="BBW24" s="37"/>
      <c r="BBX24" s="37"/>
      <c r="BBY24" s="37"/>
      <c r="BBZ24" s="37"/>
      <c r="BCA24" s="37"/>
      <c r="BCB24" s="37"/>
      <c r="BCC24" s="37"/>
      <c r="BCD24" s="37"/>
      <c r="BCE24" s="37"/>
      <c r="BCF24" s="37"/>
      <c r="BCG24" s="37"/>
      <c r="BCH24" s="37"/>
      <c r="BCI24" s="37"/>
      <c r="BCJ24" s="37"/>
      <c r="BCK24" s="37"/>
      <c r="BCL24" s="37"/>
      <c r="BCM24" s="37"/>
      <c r="BCN24" s="37"/>
      <c r="BCO24" s="37"/>
      <c r="BCP24" s="37"/>
      <c r="BCQ24" s="37"/>
      <c r="BCR24" s="37"/>
      <c r="BCS24" s="37"/>
      <c r="BCT24" s="37"/>
      <c r="BCU24" s="37"/>
      <c r="BCV24" s="37"/>
      <c r="BCW24" s="37"/>
      <c r="BCX24" s="37"/>
      <c r="BCY24" s="37"/>
      <c r="BCZ24" s="37"/>
      <c r="BDA24" s="37"/>
      <c r="BDB24" s="37"/>
      <c r="BDC24" s="37"/>
      <c r="BDD24" s="37"/>
      <c r="BDE24" s="37"/>
      <c r="BDF24" s="37"/>
      <c r="BDG24" s="37"/>
      <c r="BDH24" s="37"/>
      <c r="BDI24" s="37"/>
      <c r="BDJ24" s="37"/>
      <c r="BDK24" s="37"/>
      <c r="BDL24" s="37"/>
      <c r="BDM24" s="37"/>
      <c r="BDN24" s="37"/>
      <c r="BDO24" s="37"/>
      <c r="BDP24" s="37"/>
      <c r="BDQ24" s="37"/>
      <c r="BDR24" s="37"/>
      <c r="BDS24" s="37"/>
      <c r="BDT24" s="37"/>
      <c r="BDU24" s="37"/>
      <c r="BDV24" s="37"/>
      <c r="BDW24" s="37"/>
      <c r="BDX24" s="37"/>
      <c r="BDY24" s="37"/>
      <c r="BDZ24" s="37"/>
      <c r="BEA24" s="37"/>
      <c r="BEB24" s="37"/>
      <c r="BEC24" s="37"/>
      <c r="BED24" s="37"/>
      <c r="BEE24" s="37"/>
      <c r="BEF24" s="37"/>
      <c r="BEG24" s="37"/>
      <c r="BEH24" s="37"/>
      <c r="BEI24" s="37"/>
      <c r="BEJ24" s="37"/>
      <c r="BEK24" s="37"/>
      <c r="BEL24" s="37"/>
      <c r="BEM24" s="37"/>
      <c r="BEN24" s="37"/>
      <c r="BEO24" s="37"/>
      <c r="BEP24" s="37"/>
      <c r="BEQ24" s="37"/>
      <c r="BER24" s="37"/>
      <c r="BES24" s="37"/>
      <c r="BET24" s="37"/>
      <c r="BEU24" s="37"/>
      <c r="BEV24" s="37"/>
      <c r="BEW24" s="37"/>
      <c r="BEX24" s="37"/>
      <c r="BEY24" s="37"/>
      <c r="BEZ24" s="37"/>
      <c r="BFA24" s="37"/>
      <c r="BFB24" s="37"/>
      <c r="BFC24" s="37"/>
      <c r="BFD24" s="37"/>
      <c r="BFE24" s="37"/>
      <c r="BFF24" s="37"/>
      <c r="BFG24" s="37"/>
      <c r="BFH24" s="37"/>
      <c r="BFI24" s="37"/>
      <c r="BFJ24" s="37"/>
      <c r="BFK24" s="37"/>
      <c r="BFL24" s="37"/>
      <c r="BFM24" s="37"/>
      <c r="BFN24" s="37"/>
      <c r="BFO24" s="37"/>
      <c r="BFP24" s="37"/>
      <c r="BFQ24" s="37"/>
      <c r="BFR24" s="37"/>
      <c r="BFS24" s="37"/>
      <c r="BFT24" s="37"/>
      <c r="BFU24" s="37"/>
      <c r="BFV24" s="37"/>
      <c r="BFW24" s="37"/>
      <c r="BFX24" s="37"/>
      <c r="BFY24" s="37"/>
      <c r="BFZ24" s="37"/>
      <c r="BGA24" s="37"/>
      <c r="BGB24" s="37"/>
      <c r="BGC24" s="37"/>
      <c r="BGD24" s="37"/>
      <c r="BGE24" s="37"/>
      <c r="BGF24" s="37"/>
      <c r="BGG24" s="37"/>
      <c r="BGH24" s="37"/>
      <c r="BGI24" s="37"/>
      <c r="BGJ24" s="37"/>
      <c r="BGK24" s="37"/>
      <c r="BGL24" s="37"/>
      <c r="BGM24" s="37"/>
      <c r="BGN24" s="37"/>
      <c r="BGO24" s="37"/>
      <c r="BGP24" s="37"/>
      <c r="BGQ24" s="37"/>
      <c r="BGR24" s="37"/>
      <c r="BGS24" s="37"/>
      <c r="BGT24" s="37"/>
      <c r="BGU24" s="37"/>
      <c r="BGV24" s="37"/>
      <c r="BGW24" s="37"/>
      <c r="BGX24" s="37"/>
      <c r="BGY24" s="37"/>
      <c r="BGZ24" s="37"/>
      <c r="BHA24" s="37"/>
      <c r="BHB24" s="37"/>
      <c r="BHC24" s="37"/>
      <c r="BHD24" s="37"/>
      <c r="BHE24" s="37"/>
      <c r="BHF24" s="37"/>
      <c r="BHG24" s="37"/>
      <c r="BHH24" s="37"/>
      <c r="BHI24" s="37"/>
      <c r="BHJ24" s="37"/>
      <c r="BHK24" s="37"/>
      <c r="BHL24" s="37"/>
      <c r="BHM24" s="37"/>
      <c r="BHN24" s="37"/>
      <c r="BHO24" s="37"/>
      <c r="BHP24" s="37"/>
      <c r="BHQ24" s="37"/>
      <c r="BHR24" s="37"/>
      <c r="BHS24" s="37"/>
      <c r="BHT24" s="37"/>
      <c r="BHU24" s="37"/>
      <c r="BHV24" s="37"/>
      <c r="BHW24" s="37"/>
      <c r="BHX24" s="37"/>
      <c r="BHY24" s="37"/>
      <c r="BHZ24" s="37"/>
      <c r="BIA24" s="37"/>
      <c r="BIB24" s="37"/>
      <c r="BIC24" s="37"/>
      <c r="BID24" s="37"/>
      <c r="BIE24" s="37"/>
      <c r="BIF24" s="37"/>
      <c r="BIG24" s="37"/>
      <c r="BIH24" s="37"/>
      <c r="BII24" s="37"/>
      <c r="BIJ24" s="37"/>
      <c r="BIK24" s="37"/>
      <c r="BIL24" s="37"/>
      <c r="BIM24" s="37"/>
      <c r="BIN24" s="37"/>
      <c r="BIO24" s="37"/>
      <c r="BIP24" s="37"/>
      <c r="BIQ24" s="37"/>
      <c r="BIR24" s="37"/>
      <c r="BIS24" s="37"/>
      <c r="BIT24" s="37"/>
      <c r="BIU24" s="37"/>
      <c r="BIV24" s="37"/>
      <c r="BIW24" s="37"/>
      <c r="BIX24" s="37"/>
      <c r="BIY24" s="37"/>
      <c r="BIZ24" s="37"/>
      <c r="BJA24" s="37"/>
      <c r="BJB24" s="37"/>
      <c r="BJC24" s="37"/>
      <c r="BJD24" s="37"/>
      <c r="BJE24" s="37"/>
      <c r="BJF24" s="37"/>
      <c r="BJG24" s="37"/>
      <c r="BJH24" s="37"/>
      <c r="BJI24" s="37"/>
      <c r="BJJ24" s="37"/>
      <c r="BJK24" s="37"/>
      <c r="BJL24" s="37"/>
      <c r="BJM24" s="37"/>
      <c r="BJN24" s="37"/>
      <c r="BJO24" s="37"/>
      <c r="BJP24" s="37"/>
      <c r="BJQ24" s="37"/>
      <c r="BJR24" s="37"/>
      <c r="BJS24" s="37"/>
      <c r="BJT24" s="37"/>
      <c r="BJU24" s="37"/>
      <c r="BJV24" s="37"/>
      <c r="BJW24" s="37"/>
      <c r="BJX24" s="37"/>
      <c r="BJY24" s="37"/>
      <c r="BJZ24" s="37"/>
      <c r="BKA24" s="37"/>
      <c r="BKB24" s="37"/>
      <c r="BKC24" s="37"/>
      <c r="BKD24" s="37"/>
      <c r="BKE24" s="37"/>
      <c r="BKF24" s="37"/>
      <c r="BKG24" s="37"/>
      <c r="BKH24" s="37"/>
      <c r="BKI24" s="37"/>
      <c r="BKJ24" s="37"/>
      <c r="BKK24" s="37"/>
      <c r="BKL24" s="37"/>
      <c r="BKM24" s="37"/>
      <c r="BKN24" s="37"/>
      <c r="BKO24" s="37"/>
      <c r="BKP24" s="37"/>
      <c r="BKQ24" s="37"/>
      <c r="BKR24" s="37"/>
      <c r="BKS24" s="37"/>
      <c r="BKT24" s="37"/>
      <c r="BKU24" s="37"/>
      <c r="BKV24" s="37"/>
      <c r="BKW24" s="37"/>
      <c r="BKX24" s="37"/>
      <c r="BKY24" s="37"/>
      <c r="BKZ24" s="37"/>
      <c r="BLA24" s="37"/>
      <c r="BLB24" s="37"/>
      <c r="BLC24" s="37"/>
      <c r="BLD24" s="37"/>
      <c r="BLE24" s="37"/>
      <c r="BLF24" s="37"/>
      <c r="BLG24" s="37"/>
      <c r="BLH24" s="37"/>
      <c r="BLI24" s="37"/>
      <c r="BLJ24" s="37"/>
      <c r="BLK24" s="37"/>
      <c r="BLL24" s="37"/>
      <c r="BLM24" s="37"/>
      <c r="BLN24" s="37"/>
      <c r="BLO24" s="37"/>
      <c r="BLP24" s="37"/>
      <c r="BLQ24" s="37"/>
      <c r="BLR24" s="37"/>
      <c r="BLS24" s="37"/>
      <c r="BLT24" s="37"/>
      <c r="BLU24" s="37"/>
      <c r="BLV24" s="37"/>
      <c r="BLW24" s="37"/>
      <c r="BLX24" s="37"/>
      <c r="BLY24" s="37"/>
      <c r="BLZ24" s="37"/>
      <c r="BMA24" s="37"/>
      <c r="BMB24" s="37"/>
      <c r="BMC24" s="37"/>
      <c r="BMD24" s="37"/>
      <c r="BME24" s="37"/>
      <c r="BMF24" s="37"/>
      <c r="BMG24" s="37"/>
      <c r="BMH24" s="37"/>
      <c r="BMI24" s="37"/>
      <c r="BMJ24" s="37"/>
      <c r="BMK24" s="37"/>
      <c r="BML24" s="37"/>
      <c r="BMM24" s="37"/>
      <c r="BMN24" s="37"/>
      <c r="BMO24" s="37"/>
      <c r="BMP24" s="37"/>
      <c r="BMQ24" s="37"/>
      <c r="BMR24" s="37"/>
      <c r="BMS24" s="37"/>
      <c r="BMT24" s="37"/>
      <c r="BMU24" s="37"/>
      <c r="BMV24" s="37"/>
      <c r="BMW24" s="37"/>
      <c r="BMX24" s="37"/>
      <c r="BMY24" s="37"/>
      <c r="BMZ24" s="37"/>
      <c r="BNA24" s="37"/>
      <c r="BNB24" s="37"/>
      <c r="BNC24" s="37"/>
      <c r="BND24" s="37"/>
      <c r="BNE24" s="37"/>
      <c r="BNF24" s="37"/>
      <c r="BNG24" s="37"/>
      <c r="BNH24" s="37"/>
      <c r="BNI24" s="37"/>
      <c r="BNJ24" s="37"/>
      <c r="BNK24" s="37"/>
      <c r="BNL24" s="37"/>
      <c r="BNM24" s="37"/>
      <c r="BNN24" s="37"/>
      <c r="BNO24" s="37"/>
      <c r="BNP24" s="37"/>
      <c r="BNQ24" s="37"/>
      <c r="BNR24" s="37"/>
      <c r="BNS24" s="37"/>
      <c r="BNT24" s="37"/>
      <c r="BNU24" s="37"/>
      <c r="BNV24" s="37"/>
      <c r="BNW24" s="37"/>
      <c r="BNX24" s="37"/>
      <c r="BNY24" s="37"/>
      <c r="BNZ24" s="37"/>
      <c r="BOA24" s="37"/>
      <c r="BOB24" s="37"/>
      <c r="BOC24" s="37"/>
      <c r="BOD24" s="37"/>
      <c r="BOE24" s="37"/>
      <c r="BOF24" s="37"/>
      <c r="BOG24" s="37"/>
      <c r="BOH24" s="37"/>
      <c r="BOI24" s="37"/>
      <c r="BOJ24" s="37"/>
      <c r="BOK24" s="37"/>
      <c r="BOL24" s="37"/>
      <c r="BOM24" s="37"/>
      <c r="BON24" s="37"/>
      <c r="BOO24" s="37"/>
      <c r="BOP24" s="37"/>
      <c r="BOQ24" s="37"/>
      <c r="BOR24" s="37"/>
      <c r="BOS24" s="37"/>
      <c r="BOT24" s="37"/>
      <c r="BOU24" s="37"/>
      <c r="BOV24" s="37"/>
      <c r="BOW24" s="37"/>
      <c r="BOX24" s="37"/>
      <c r="BOY24" s="37"/>
      <c r="BOZ24" s="37"/>
      <c r="BPA24" s="37"/>
      <c r="BPB24" s="37"/>
      <c r="BPC24" s="37"/>
      <c r="BPD24" s="37"/>
      <c r="BPE24" s="37"/>
      <c r="BPF24" s="37"/>
      <c r="BPG24" s="37"/>
      <c r="BPH24" s="37"/>
      <c r="BPI24" s="37"/>
      <c r="BPJ24" s="37"/>
      <c r="BPK24" s="37"/>
      <c r="BPL24" s="37"/>
      <c r="BPM24" s="37"/>
      <c r="BPN24" s="37"/>
      <c r="BPO24" s="37"/>
      <c r="BPP24" s="37"/>
      <c r="BPQ24" s="37"/>
      <c r="BPR24" s="37"/>
      <c r="BPS24" s="37"/>
      <c r="BPT24" s="37"/>
      <c r="BPU24" s="37"/>
      <c r="BPV24" s="37"/>
      <c r="BPW24" s="37"/>
      <c r="BPX24" s="37"/>
      <c r="BPY24" s="37"/>
      <c r="BPZ24" s="37"/>
      <c r="BQA24" s="37"/>
      <c r="BQB24" s="37"/>
      <c r="BQC24" s="37"/>
      <c r="BQD24" s="37"/>
      <c r="BQE24" s="37"/>
      <c r="BQF24" s="37"/>
      <c r="BQG24" s="37"/>
      <c r="BQH24" s="37"/>
      <c r="BQI24" s="37"/>
      <c r="BQJ24" s="37"/>
      <c r="BQK24" s="37"/>
      <c r="BQL24" s="37"/>
      <c r="BQM24" s="37"/>
      <c r="BQN24" s="37"/>
      <c r="BQO24" s="37"/>
      <c r="BQP24" s="37"/>
      <c r="BQQ24" s="37"/>
      <c r="BQR24" s="37"/>
      <c r="BQS24" s="37"/>
      <c r="BQT24" s="37"/>
      <c r="BQU24" s="37"/>
      <c r="BQV24" s="37"/>
      <c r="BQW24" s="37"/>
      <c r="BQX24" s="37"/>
      <c r="BQY24" s="37"/>
      <c r="BQZ24" s="37"/>
      <c r="BRA24" s="37"/>
      <c r="BRB24" s="37"/>
      <c r="BRC24" s="37"/>
      <c r="BRD24" s="37"/>
      <c r="BRE24" s="37"/>
      <c r="BRF24" s="37"/>
      <c r="BRG24" s="37"/>
      <c r="BRH24" s="37"/>
      <c r="BRI24" s="37"/>
      <c r="BRJ24" s="37"/>
      <c r="BRK24" s="37"/>
      <c r="BRL24" s="37"/>
      <c r="BRM24" s="37"/>
      <c r="BRN24" s="37"/>
      <c r="BRO24" s="37"/>
      <c r="BRP24" s="37"/>
      <c r="BRQ24" s="37"/>
      <c r="BRR24" s="37"/>
      <c r="BRS24" s="37"/>
      <c r="BRT24" s="37"/>
      <c r="BRU24" s="37"/>
      <c r="BRV24" s="37"/>
      <c r="BRW24" s="37"/>
      <c r="BRX24" s="37"/>
      <c r="BRY24" s="37"/>
      <c r="BRZ24" s="37"/>
      <c r="BSA24" s="37"/>
      <c r="BSB24" s="37"/>
      <c r="BSC24" s="37"/>
      <c r="BSD24" s="37"/>
      <c r="BSE24" s="37"/>
      <c r="BSF24" s="37"/>
      <c r="BSG24" s="37"/>
      <c r="BSH24" s="37"/>
      <c r="BSI24" s="37"/>
      <c r="BSJ24" s="37"/>
      <c r="BSK24" s="37"/>
      <c r="BSL24" s="37"/>
      <c r="BSM24" s="37"/>
      <c r="BSN24" s="37"/>
      <c r="BSO24" s="37"/>
      <c r="BSP24" s="37"/>
      <c r="BSQ24" s="37"/>
      <c r="BSR24" s="37"/>
      <c r="BSS24" s="37"/>
      <c r="BST24" s="37"/>
      <c r="BSU24" s="37"/>
      <c r="BSV24" s="37"/>
      <c r="BSW24" s="37"/>
      <c r="BSX24" s="37"/>
      <c r="BSY24" s="37"/>
      <c r="BSZ24" s="37"/>
      <c r="BTA24" s="37"/>
      <c r="BTB24" s="37"/>
      <c r="BTC24" s="37"/>
      <c r="BTD24" s="37"/>
      <c r="BTE24" s="37"/>
      <c r="BTF24" s="37"/>
      <c r="BTG24" s="37"/>
      <c r="BTH24" s="37"/>
      <c r="BTI24" s="37"/>
      <c r="BTJ24" s="37"/>
      <c r="BTK24" s="37"/>
      <c r="BTL24" s="37"/>
      <c r="BTM24" s="37"/>
      <c r="BTN24" s="37"/>
      <c r="BTO24" s="37"/>
      <c r="BTP24" s="37"/>
      <c r="BTQ24" s="37"/>
      <c r="BTR24" s="37"/>
      <c r="BTS24" s="37"/>
      <c r="BTT24" s="37"/>
      <c r="BTU24" s="37"/>
      <c r="BTV24" s="37"/>
      <c r="BTW24" s="37"/>
      <c r="BTX24" s="37"/>
      <c r="BTY24" s="37"/>
      <c r="BTZ24" s="37"/>
      <c r="BUA24" s="37"/>
      <c r="BUB24" s="37"/>
      <c r="BUC24" s="37"/>
      <c r="BUD24" s="37"/>
      <c r="BUE24" s="37"/>
      <c r="BUF24" s="37"/>
      <c r="BUG24" s="37"/>
      <c r="BUH24" s="37"/>
      <c r="BUI24" s="37"/>
      <c r="BUJ24" s="37"/>
      <c r="BUK24" s="37"/>
      <c r="BUL24" s="37"/>
      <c r="BUM24" s="37"/>
      <c r="BUN24" s="37"/>
      <c r="BUO24" s="37"/>
      <c r="BUP24" s="37"/>
      <c r="BUQ24" s="37"/>
      <c r="BUR24" s="37"/>
      <c r="BUS24" s="37"/>
      <c r="BUT24" s="37"/>
      <c r="BUU24" s="37"/>
      <c r="BUV24" s="37"/>
      <c r="BUW24" s="37"/>
      <c r="BUX24" s="37"/>
      <c r="BUY24" s="37"/>
      <c r="BUZ24" s="37"/>
      <c r="BVA24" s="37"/>
      <c r="BVB24" s="37"/>
      <c r="BVC24" s="37"/>
      <c r="BVD24" s="37"/>
      <c r="BVE24" s="37"/>
      <c r="BVF24" s="37"/>
      <c r="BVG24" s="37"/>
      <c r="BVH24" s="37"/>
      <c r="BVI24" s="37"/>
      <c r="BVJ24" s="37"/>
      <c r="BVK24" s="37"/>
      <c r="BVL24" s="37"/>
      <c r="BVM24" s="37"/>
      <c r="BVN24" s="37"/>
      <c r="BVO24" s="37"/>
      <c r="BVP24" s="37"/>
      <c r="BVQ24" s="37"/>
      <c r="BVR24" s="37"/>
      <c r="BVS24" s="37"/>
      <c r="BVT24" s="37"/>
      <c r="BVU24" s="37"/>
      <c r="BVV24" s="37"/>
      <c r="BVW24" s="37"/>
      <c r="BVX24" s="37"/>
      <c r="BVY24" s="37"/>
      <c r="BVZ24" s="37"/>
      <c r="BWA24" s="37"/>
      <c r="BWB24" s="37"/>
      <c r="BWC24" s="37"/>
      <c r="BWD24" s="37"/>
      <c r="BWE24" s="37"/>
      <c r="BWF24" s="37"/>
      <c r="BWG24" s="37"/>
      <c r="BWH24" s="37"/>
      <c r="BWI24" s="37"/>
      <c r="BWJ24" s="37"/>
    </row>
    <row r="25" spans="1:1960" x14ac:dyDescent="0.25">
      <c r="A25" s="38">
        <v>20</v>
      </c>
      <c r="B25" s="39">
        <v>20</v>
      </c>
      <c r="C25" s="40">
        <v>1000</v>
      </c>
      <c r="D25" s="41" t="s">
        <v>23</v>
      </c>
      <c r="E25" s="271">
        <f ca="1"/>
        <v>69</v>
      </c>
      <c r="F25" s="33">
        <v>-100</v>
      </c>
      <c r="G25" s="33">
        <v>1000</v>
      </c>
      <c r="H25" s="43">
        <f ca="1"/>
        <v>-100</v>
      </c>
      <c r="I25" s="33">
        <f ca="1"/>
        <v>51</v>
      </c>
      <c r="J25" s="35">
        <v>20</v>
      </c>
      <c r="K25" s="36">
        <v>20</v>
      </c>
      <c r="L25" s="37">
        <v>20</v>
      </c>
      <c r="M25" s="37">
        <v>20</v>
      </c>
      <c r="N25" s="37">
        <v>20</v>
      </c>
      <c r="O25" s="37">
        <v>20</v>
      </c>
      <c r="P25" s="37">
        <v>20</v>
      </c>
      <c r="Q25" s="37">
        <v>20</v>
      </c>
      <c r="R25" s="37">
        <v>20</v>
      </c>
      <c r="S25" s="37">
        <v>20</v>
      </c>
      <c r="T25" s="37">
        <v>20</v>
      </c>
      <c r="U25" s="37">
        <v>20</v>
      </c>
      <c r="V25" s="37">
        <v>20</v>
      </c>
      <c r="W25" s="37">
        <v>20</v>
      </c>
      <c r="X25" s="37">
        <v>20</v>
      </c>
      <c r="Y25" s="37">
        <v>20</v>
      </c>
      <c r="Z25" s="37">
        <v>20</v>
      </c>
      <c r="AA25" s="37">
        <v>20</v>
      </c>
      <c r="AB25" s="37">
        <v>20</v>
      </c>
      <c r="AC25" s="37">
        <v>20</v>
      </c>
      <c r="AD25" s="37">
        <v>20</v>
      </c>
      <c r="AE25" s="37">
        <v>20</v>
      </c>
      <c r="AF25" s="37">
        <v>20</v>
      </c>
      <c r="AG25" s="37">
        <v>20</v>
      </c>
      <c r="AH25" s="37">
        <v>20</v>
      </c>
      <c r="AI25" s="37">
        <v>20</v>
      </c>
      <c r="AJ25" s="37">
        <v>20</v>
      </c>
      <c r="AK25" s="37">
        <v>20</v>
      </c>
      <c r="AL25" s="37">
        <v>20</v>
      </c>
      <c r="AM25" s="37">
        <v>20</v>
      </c>
      <c r="AN25" s="37">
        <v>20</v>
      </c>
      <c r="AO25" s="37">
        <v>20</v>
      </c>
      <c r="AP25" s="37">
        <v>20</v>
      </c>
      <c r="AQ25" s="37">
        <v>20</v>
      </c>
      <c r="AR25" s="37">
        <v>20</v>
      </c>
      <c r="AS25" s="37">
        <v>20</v>
      </c>
      <c r="AT25" s="37">
        <v>20</v>
      </c>
      <c r="AU25" s="37">
        <v>20</v>
      </c>
      <c r="AV25" s="37">
        <v>20</v>
      </c>
      <c r="AW25" s="37">
        <v>20</v>
      </c>
      <c r="AX25" s="37">
        <v>20</v>
      </c>
      <c r="AY25" s="37">
        <v>20</v>
      </c>
      <c r="AZ25" s="37">
        <v>20</v>
      </c>
      <c r="BA25" s="37">
        <v>20</v>
      </c>
      <c r="BB25" s="37">
        <v>20</v>
      </c>
      <c r="BC25" s="37">
        <v>20</v>
      </c>
      <c r="BD25" s="37">
        <v>20</v>
      </c>
      <c r="BE25" s="37">
        <v>20</v>
      </c>
      <c r="BF25" s="37">
        <v>20</v>
      </c>
      <c r="BG25" s="37">
        <v>20</v>
      </c>
      <c r="BH25" s="37">
        <v>20</v>
      </c>
      <c r="BI25" s="37">
        <v>20</v>
      </c>
      <c r="BJ25" s="37">
        <v>20</v>
      </c>
      <c r="BK25" s="37">
        <v>20</v>
      </c>
      <c r="BL25" s="37">
        <v>20</v>
      </c>
      <c r="BM25" s="37">
        <v>20</v>
      </c>
      <c r="BN25" s="37">
        <v>20</v>
      </c>
      <c r="BO25" s="37">
        <v>20</v>
      </c>
      <c r="BP25" s="37">
        <v>20</v>
      </c>
      <c r="BQ25" s="37">
        <v>20</v>
      </c>
      <c r="BR25" s="37">
        <v>20</v>
      </c>
      <c r="BS25" s="37">
        <v>20</v>
      </c>
      <c r="BT25" s="37">
        <v>20</v>
      </c>
      <c r="BU25" s="37">
        <v>20</v>
      </c>
      <c r="BV25" s="37">
        <v>20</v>
      </c>
      <c r="BW25" s="37">
        <v>20</v>
      </c>
      <c r="BX25" s="37">
        <v>20</v>
      </c>
      <c r="BY25" s="37">
        <v>20</v>
      </c>
      <c r="BZ25" s="37">
        <v>20</v>
      </c>
      <c r="CA25" s="37">
        <v>0</v>
      </c>
      <c r="CB25" s="37">
        <v>0</v>
      </c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  <c r="AMD25" s="37"/>
      <c r="AME25" s="37"/>
      <c r="AMF25" s="37"/>
      <c r="AMG25" s="37"/>
      <c r="AMH25" s="37"/>
      <c r="AMI25" s="37"/>
      <c r="AMJ25" s="37"/>
      <c r="AMK25" s="37"/>
      <c r="AML25" s="37"/>
      <c r="AMM25" s="37"/>
      <c r="AMN25" s="37"/>
      <c r="AMO25" s="37"/>
      <c r="AMP25" s="37"/>
      <c r="AMQ25" s="37"/>
      <c r="AMR25" s="37"/>
      <c r="AMS25" s="37"/>
      <c r="AMT25" s="37"/>
      <c r="AMU25" s="37"/>
      <c r="AMV25" s="37"/>
      <c r="AMW25" s="37"/>
      <c r="AMX25" s="37"/>
      <c r="AMY25" s="37"/>
      <c r="AMZ25" s="37"/>
      <c r="ANA25" s="37"/>
      <c r="ANB25" s="37"/>
      <c r="ANC25" s="37"/>
      <c r="AND25" s="37"/>
      <c r="ANE25" s="37"/>
      <c r="ANF25" s="37"/>
      <c r="ANG25" s="37"/>
      <c r="ANH25" s="37"/>
      <c r="ANI25" s="37"/>
      <c r="ANJ25" s="37"/>
      <c r="ANK25" s="37"/>
      <c r="ANL25" s="37"/>
      <c r="ANM25" s="37"/>
      <c r="ANN25" s="37"/>
      <c r="ANO25" s="37"/>
      <c r="ANP25" s="37"/>
      <c r="ANQ25" s="37"/>
      <c r="ANR25" s="37"/>
      <c r="ANS25" s="37"/>
      <c r="ANT25" s="37"/>
      <c r="ANU25" s="37"/>
      <c r="ANV25" s="37"/>
      <c r="ANW25" s="37"/>
      <c r="ANX25" s="37"/>
      <c r="ANY25" s="37"/>
      <c r="ANZ25" s="37"/>
      <c r="AOA25" s="37"/>
      <c r="AOB25" s="37"/>
      <c r="AOC25" s="37"/>
      <c r="AOD25" s="37"/>
      <c r="AOE25" s="37"/>
      <c r="AOF25" s="37"/>
      <c r="AOG25" s="37"/>
      <c r="AOH25" s="37"/>
      <c r="AOI25" s="37"/>
      <c r="AOJ25" s="37"/>
      <c r="AOK25" s="37"/>
      <c r="AOL25" s="37"/>
      <c r="AOM25" s="37"/>
      <c r="AON25" s="37"/>
      <c r="AOO25" s="37"/>
      <c r="AOP25" s="37"/>
      <c r="AOQ25" s="37"/>
      <c r="AOR25" s="37"/>
      <c r="AOS25" s="37"/>
      <c r="AOT25" s="37"/>
      <c r="AOU25" s="37"/>
      <c r="AOV25" s="37"/>
      <c r="AOW25" s="37"/>
      <c r="AOX25" s="37"/>
      <c r="AOY25" s="37"/>
      <c r="AOZ25" s="37"/>
      <c r="APA25" s="37"/>
      <c r="APB25" s="37"/>
      <c r="APC25" s="37"/>
      <c r="APD25" s="37"/>
      <c r="APE25" s="37"/>
      <c r="APF25" s="37"/>
      <c r="APG25" s="37"/>
      <c r="APH25" s="37"/>
      <c r="API25" s="37"/>
      <c r="APJ25" s="37"/>
      <c r="APK25" s="37"/>
      <c r="APL25" s="37"/>
      <c r="APM25" s="37"/>
      <c r="APN25" s="37"/>
      <c r="APO25" s="37"/>
      <c r="APP25" s="37"/>
      <c r="APQ25" s="37"/>
      <c r="APR25" s="37"/>
      <c r="APS25" s="37"/>
      <c r="APT25" s="37"/>
      <c r="APU25" s="37"/>
      <c r="APV25" s="37"/>
      <c r="APW25" s="37"/>
      <c r="APX25" s="37"/>
      <c r="APY25" s="37"/>
      <c r="APZ25" s="37"/>
      <c r="AQA25" s="37"/>
      <c r="AQB25" s="37"/>
      <c r="AQC25" s="37"/>
      <c r="AQD25" s="37"/>
      <c r="AQE25" s="37"/>
      <c r="AQF25" s="37"/>
      <c r="AQG25" s="37"/>
      <c r="AQH25" s="37"/>
      <c r="AQI25" s="37"/>
      <c r="AQJ25" s="37"/>
      <c r="AQK25" s="37"/>
      <c r="AQL25" s="37"/>
      <c r="AQM25" s="37"/>
      <c r="AQN25" s="37"/>
      <c r="AQO25" s="37"/>
      <c r="AQP25" s="37"/>
      <c r="AQQ25" s="37"/>
      <c r="AQR25" s="37"/>
      <c r="AQS25" s="37"/>
      <c r="AQT25" s="37"/>
      <c r="AQU25" s="37"/>
      <c r="AQV25" s="37"/>
      <c r="AQW25" s="37"/>
      <c r="AQX25" s="37"/>
      <c r="AQY25" s="37"/>
      <c r="AQZ25" s="37"/>
      <c r="ARA25" s="37"/>
      <c r="ARB25" s="37"/>
      <c r="ARC25" s="37"/>
      <c r="ARD25" s="37"/>
      <c r="ARE25" s="37"/>
      <c r="ARF25" s="37"/>
      <c r="ARG25" s="37"/>
      <c r="ARH25" s="37"/>
      <c r="ARI25" s="37"/>
      <c r="ARJ25" s="37"/>
      <c r="ARK25" s="37"/>
      <c r="ARL25" s="37"/>
      <c r="ARM25" s="37"/>
      <c r="ARN25" s="37"/>
      <c r="ARO25" s="37"/>
      <c r="ARP25" s="37"/>
      <c r="ARQ25" s="37"/>
      <c r="ARR25" s="37"/>
      <c r="ARS25" s="37"/>
      <c r="ART25" s="37"/>
      <c r="ARU25" s="37"/>
      <c r="ARV25" s="37"/>
      <c r="ARW25" s="37"/>
      <c r="ARX25" s="37"/>
      <c r="ARY25" s="37"/>
      <c r="ARZ25" s="37"/>
      <c r="ASA25" s="37"/>
      <c r="ASB25" s="37"/>
      <c r="ASC25" s="37"/>
      <c r="ASD25" s="37"/>
      <c r="ASE25" s="37"/>
      <c r="ASF25" s="37"/>
      <c r="ASG25" s="37"/>
      <c r="ASH25" s="37"/>
      <c r="ASI25" s="37"/>
      <c r="ASJ25" s="37"/>
      <c r="ASK25" s="37"/>
      <c r="ASL25" s="37"/>
      <c r="ASM25" s="37"/>
      <c r="ASN25" s="37"/>
      <c r="ASO25" s="37"/>
      <c r="ASP25" s="37"/>
      <c r="ASQ25" s="37"/>
      <c r="ASR25" s="37"/>
      <c r="ASS25" s="37"/>
      <c r="AST25" s="37"/>
      <c r="ASU25" s="37"/>
      <c r="ASV25" s="37"/>
      <c r="ASW25" s="37"/>
      <c r="ASX25" s="37"/>
      <c r="ASY25" s="37"/>
      <c r="ASZ25" s="37"/>
      <c r="ATA25" s="37"/>
      <c r="ATB25" s="37"/>
      <c r="ATC25" s="37"/>
      <c r="ATD25" s="37"/>
      <c r="ATE25" s="37"/>
      <c r="ATF25" s="37"/>
      <c r="ATG25" s="37"/>
      <c r="ATH25" s="37"/>
      <c r="ATI25" s="37"/>
      <c r="ATJ25" s="37"/>
      <c r="ATK25" s="37"/>
      <c r="ATL25" s="37"/>
      <c r="ATM25" s="37"/>
      <c r="ATN25" s="37"/>
      <c r="ATO25" s="37"/>
      <c r="ATP25" s="37"/>
      <c r="ATQ25" s="37"/>
      <c r="ATR25" s="37"/>
      <c r="ATS25" s="37"/>
      <c r="ATT25" s="37"/>
      <c r="ATU25" s="37"/>
      <c r="ATV25" s="37"/>
      <c r="ATW25" s="37"/>
      <c r="ATX25" s="37"/>
      <c r="ATY25" s="37"/>
      <c r="ATZ25" s="37"/>
      <c r="AUA25" s="37"/>
      <c r="AUB25" s="37"/>
      <c r="AUC25" s="37"/>
      <c r="AUD25" s="37"/>
      <c r="AUE25" s="37"/>
      <c r="AUF25" s="37"/>
      <c r="AUG25" s="37"/>
      <c r="AUH25" s="37"/>
      <c r="AUI25" s="37"/>
      <c r="AUJ25" s="37"/>
      <c r="AUK25" s="37"/>
      <c r="AUL25" s="37"/>
      <c r="AUM25" s="37"/>
      <c r="AUN25" s="37"/>
      <c r="AUO25" s="37"/>
      <c r="AUP25" s="37"/>
      <c r="AUQ25" s="37"/>
      <c r="AUR25" s="37"/>
      <c r="AUS25" s="37"/>
      <c r="AUT25" s="37"/>
      <c r="AUU25" s="37"/>
      <c r="AUV25" s="37"/>
      <c r="AUW25" s="37"/>
      <c r="AUX25" s="37"/>
      <c r="AUY25" s="37"/>
      <c r="AUZ25" s="37"/>
      <c r="AVA25" s="37"/>
      <c r="AVB25" s="37"/>
      <c r="AVC25" s="37"/>
      <c r="AVD25" s="37"/>
      <c r="AVE25" s="37"/>
      <c r="AVF25" s="37"/>
      <c r="AVG25" s="37"/>
      <c r="AVH25" s="37"/>
      <c r="AVI25" s="37"/>
      <c r="AVJ25" s="37"/>
      <c r="AVK25" s="37"/>
      <c r="AVL25" s="37"/>
      <c r="AVM25" s="37"/>
      <c r="AVN25" s="37"/>
      <c r="AVO25" s="37"/>
      <c r="AVP25" s="37"/>
      <c r="AVQ25" s="37"/>
      <c r="AVR25" s="37"/>
      <c r="AVS25" s="37"/>
      <c r="AVT25" s="37"/>
      <c r="AVU25" s="37"/>
      <c r="AVV25" s="37"/>
      <c r="AVW25" s="37"/>
      <c r="AVX25" s="37"/>
      <c r="AVY25" s="37"/>
      <c r="AVZ25" s="37"/>
      <c r="AWA25" s="37"/>
      <c r="AWB25" s="37"/>
      <c r="AWC25" s="37"/>
      <c r="AWD25" s="37"/>
      <c r="AWE25" s="37"/>
      <c r="AWF25" s="37"/>
      <c r="AWG25" s="37"/>
      <c r="AWH25" s="37"/>
      <c r="AWI25" s="37"/>
      <c r="AWJ25" s="37"/>
      <c r="AWK25" s="37"/>
      <c r="AWL25" s="37"/>
      <c r="AWM25" s="37"/>
      <c r="AWN25" s="37"/>
      <c r="AWO25" s="37"/>
      <c r="AWP25" s="37"/>
      <c r="AWQ25" s="37"/>
      <c r="AWR25" s="37"/>
      <c r="AWS25" s="37"/>
      <c r="AWT25" s="37"/>
      <c r="AWU25" s="37"/>
      <c r="AWV25" s="37"/>
      <c r="AWW25" s="37"/>
      <c r="AWX25" s="37"/>
      <c r="AWY25" s="37"/>
      <c r="AWZ25" s="37"/>
      <c r="AXA25" s="37"/>
      <c r="AXB25" s="37"/>
      <c r="AXC25" s="37"/>
      <c r="AXD25" s="37"/>
      <c r="AXE25" s="37"/>
      <c r="AXF25" s="37"/>
      <c r="AXG25" s="37"/>
      <c r="AXH25" s="37"/>
      <c r="AXI25" s="37"/>
      <c r="AXJ25" s="37"/>
      <c r="AXK25" s="37"/>
      <c r="AXL25" s="37"/>
      <c r="AXM25" s="37"/>
      <c r="AXN25" s="37"/>
      <c r="AXO25" s="37"/>
      <c r="AXP25" s="37"/>
      <c r="AXQ25" s="37"/>
      <c r="AXR25" s="37"/>
      <c r="AXS25" s="37"/>
      <c r="AXT25" s="37"/>
      <c r="AXU25" s="37"/>
      <c r="AXV25" s="37"/>
      <c r="AXW25" s="37"/>
      <c r="AXX25" s="37"/>
      <c r="AXY25" s="37"/>
      <c r="AXZ25" s="37"/>
      <c r="AYA25" s="37"/>
      <c r="AYB25" s="37"/>
      <c r="AYC25" s="37"/>
      <c r="AYD25" s="37"/>
      <c r="AYE25" s="37"/>
      <c r="AYF25" s="37"/>
      <c r="AYG25" s="37"/>
      <c r="AYH25" s="37"/>
      <c r="AYI25" s="37"/>
      <c r="AYJ25" s="37"/>
      <c r="AYK25" s="37"/>
      <c r="AYL25" s="37"/>
      <c r="AYM25" s="37"/>
      <c r="AYN25" s="37"/>
      <c r="AYO25" s="37"/>
      <c r="AYP25" s="37"/>
      <c r="AYQ25" s="37"/>
      <c r="AYR25" s="37"/>
      <c r="AYS25" s="37"/>
      <c r="AYT25" s="37"/>
      <c r="AYU25" s="37"/>
      <c r="AYV25" s="37"/>
      <c r="AYW25" s="37"/>
      <c r="AYX25" s="37"/>
      <c r="AYY25" s="37"/>
      <c r="AYZ25" s="37"/>
      <c r="AZA25" s="37"/>
      <c r="AZB25" s="37"/>
      <c r="AZC25" s="37"/>
      <c r="AZD25" s="37"/>
      <c r="AZE25" s="37"/>
      <c r="AZF25" s="37"/>
      <c r="AZG25" s="37"/>
      <c r="AZH25" s="37"/>
      <c r="AZI25" s="37"/>
      <c r="AZJ25" s="37"/>
      <c r="AZK25" s="37"/>
      <c r="AZL25" s="37"/>
      <c r="AZM25" s="37"/>
      <c r="AZN25" s="37"/>
      <c r="AZO25" s="37"/>
      <c r="AZP25" s="37"/>
      <c r="AZQ25" s="37"/>
      <c r="AZR25" s="37"/>
      <c r="AZS25" s="37"/>
      <c r="AZT25" s="37"/>
      <c r="AZU25" s="37"/>
      <c r="AZV25" s="37"/>
      <c r="AZW25" s="37"/>
      <c r="AZX25" s="37"/>
      <c r="AZY25" s="37"/>
      <c r="AZZ25" s="37"/>
      <c r="BAA25" s="37"/>
      <c r="BAB25" s="37"/>
      <c r="BAC25" s="37"/>
      <c r="BAD25" s="37"/>
      <c r="BAE25" s="37"/>
      <c r="BAF25" s="37"/>
      <c r="BAG25" s="37"/>
      <c r="BAH25" s="37"/>
      <c r="BAI25" s="37"/>
      <c r="BAJ25" s="37"/>
      <c r="BAK25" s="37"/>
      <c r="BAL25" s="37"/>
      <c r="BAM25" s="37"/>
      <c r="BAN25" s="37"/>
      <c r="BAO25" s="37"/>
      <c r="BAP25" s="37"/>
      <c r="BAQ25" s="37"/>
      <c r="BAR25" s="37"/>
      <c r="BAS25" s="37"/>
      <c r="BAT25" s="37"/>
      <c r="BAU25" s="37"/>
      <c r="BAV25" s="37"/>
      <c r="BAW25" s="37"/>
      <c r="BAX25" s="37"/>
      <c r="BAY25" s="37"/>
      <c r="BAZ25" s="37"/>
      <c r="BBA25" s="37"/>
      <c r="BBB25" s="37"/>
      <c r="BBC25" s="37"/>
      <c r="BBD25" s="37"/>
      <c r="BBE25" s="37"/>
      <c r="BBF25" s="37"/>
      <c r="BBG25" s="37"/>
      <c r="BBH25" s="37"/>
      <c r="BBI25" s="37"/>
      <c r="BBJ25" s="37"/>
      <c r="BBK25" s="37"/>
      <c r="BBL25" s="37"/>
      <c r="BBM25" s="37"/>
      <c r="BBN25" s="37"/>
      <c r="BBO25" s="37"/>
      <c r="BBP25" s="37"/>
      <c r="BBQ25" s="37"/>
      <c r="BBR25" s="37"/>
      <c r="BBS25" s="37"/>
      <c r="BBT25" s="37"/>
      <c r="BBU25" s="37"/>
      <c r="BBV25" s="37"/>
      <c r="BBW25" s="37"/>
      <c r="BBX25" s="37"/>
      <c r="BBY25" s="37"/>
      <c r="BBZ25" s="37"/>
      <c r="BCA25" s="37"/>
      <c r="BCB25" s="37"/>
      <c r="BCC25" s="37"/>
      <c r="BCD25" s="37"/>
      <c r="BCE25" s="37"/>
      <c r="BCF25" s="37"/>
      <c r="BCG25" s="37"/>
      <c r="BCH25" s="37"/>
      <c r="BCI25" s="37"/>
      <c r="BCJ25" s="37"/>
      <c r="BCK25" s="37"/>
      <c r="BCL25" s="37"/>
      <c r="BCM25" s="37"/>
      <c r="BCN25" s="37"/>
      <c r="BCO25" s="37"/>
      <c r="BCP25" s="37"/>
      <c r="BCQ25" s="37"/>
      <c r="BCR25" s="37"/>
      <c r="BCS25" s="37"/>
      <c r="BCT25" s="37"/>
      <c r="BCU25" s="37"/>
      <c r="BCV25" s="37"/>
      <c r="BCW25" s="37"/>
      <c r="BCX25" s="37"/>
      <c r="BCY25" s="37"/>
      <c r="BCZ25" s="37"/>
      <c r="BDA25" s="37"/>
      <c r="BDB25" s="37"/>
      <c r="BDC25" s="37"/>
      <c r="BDD25" s="37"/>
      <c r="BDE25" s="37"/>
      <c r="BDF25" s="37"/>
      <c r="BDG25" s="37"/>
      <c r="BDH25" s="37"/>
      <c r="BDI25" s="37"/>
      <c r="BDJ25" s="37"/>
      <c r="BDK25" s="37"/>
      <c r="BDL25" s="37"/>
      <c r="BDM25" s="37"/>
      <c r="BDN25" s="37"/>
      <c r="BDO25" s="37"/>
      <c r="BDP25" s="37"/>
      <c r="BDQ25" s="37"/>
      <c r="BDR25" s="37"/>
      <c r="BDS25" s="37"/>
      <c r="BDT25" s="37"/>
      <c r="BDU25" s="37"/>
      <c r="BDV25" s="37"/>
      <c r="BDW25" s="37"/>
      <c r="BDX25" s="37"/>
      <c r="BDY25" s="37"/>
      <c r="BDZ25" s="37"/>
      <c r="BEA25" s="37"/>
      <c r="BEB25" s="37"/>
      <c r="BEC25" s="37"/>
      <c r="BED25" s="37"/>
      <c r="BEE25" s="37"/>
      <c r="BEF25" s="37"/>
      <c r="BEG25" s="37"/>
      <c r="BEH25" s="37"/>
      <c r="BEI25" s="37"/>
      <c r="BEJ25" s="37"/>
      <c r="BEK25" s="37"/>
      <c r="BEL25" s="37"/>
      <c r="BEM25" s="37"/>
      <c r="BEN25" s="37"/>
      <c r="BEO25" s="37"/>
      <c r="BEP25" s="37"/>
      <c r="BEQ25" s="37"/>
      <c r="BER25" s="37"/>
      <c r="BES25" s="37"/>
      <c r="BET25" s="37"/>
      <c r="BEU25" s="37"/>
      <c r="BEV25" s="37"/>
      <c r="BEW25" s="37"/>
      <c r="BEX25" s="37"/>
      <c r="BEY25" s="37"/>
      <c r="BEZ25" s="37"/>
      <c r="BFA25" s="37"/>
      <c r="BFB25" s="37"/>
      <c r="BFC25" s="37"/>
      <c r="BFD25" s="37"/>
      <c r="BFE25" s="37"/>
      <c r="BFF25" s="37"/>
      <c r="BFG25" s="37"/>
      <c r="BFH25" s="37"/>
      <c r="BFI25" s="37"/>
      <c r="BFJ25" s="37"/>
      <c r="BFK25" s="37"/>
      <c r="BFL25" s="37"/>
      <c r="BFM25" s="37"/>
      <c r="BFN25" s="37"/>
      <c r="BFO25" s="37"/>
      <c r="BFP25" s="37"/>
      <c r="BFQ25" s="37"/>
      <c r="BFR25" s="37"/>
      <c r="BFS25" s="37"/>
      <c r="BFT25" s="37"/>
      <c r="BFU25" s="37"/>
      <c r="BFV25" s="37"/>
      <c r="BFW25" s="37"/>
      <c r="BFX25" s="37"/>
      <c r="BFY25" s="37"/>
      <c r="BFZ25" s="37"/>
      <c r="BGA25" s="37"/>
      <c r="BGB25" s="37"/>
      <c r="BGC25" s="37"/>
      <c r="BGD25" s="37"/>
      <c r="BGE25" s="37"/>
      <c r="BGF25" s="37"/>
      <c r="BGG25" s="37"/>
      <c r="BGH25" s="37"/>
      <c r="BGI25" s="37"/>
      <c r="BGJ25" s="37"/>
      <c r="BGK25" s="37"/>
      <c r="BGL25" s="37"/>
      <c r="BGM25" s="37"/>
      <c r="BGN25" s="37"/>
      <c r="BGO25" s="37"/>
      <c r="BGP25" s="37"/>
      <c r="BGQ25" s="37"/>
      <c r="BGR25" s="37"/>
      <c r="BGS25" s="37"/>
      <c r="BGT25" s="37"/>
      <c r="BGU25" s="37"/>
      <c r="BGV25" s="37"/>
      <c r="BGW25" s="37"/>
      <c r="BGX25" s="37"/>
      <c r="BGY25" s="37"/>
      <c r="BGZ25" s="37"/>
      <c r="BHA25" s="37"/>
      <c r="BHB25" s="37"/>
      <c r="BHC25" s="37"/>
      <c r="BHD25" s="37"/>
      <c r="BHE25" s="37"/>
      <c r="BHF25" s="37"/>
      <c r="BHG25" s="37"/>
      <c r="BHH25" s="37"/>
      <c r="BHI25" s="37"/>
      <c r="BHJ25" s="37"/>
      <c r="BHK25" s="37"/>
      <c r="BHL25" s="37"/>
      <c r="BHM25" s="37"/>
      <c r="BHN25" s="37"/>
      <c r="BHO25" s="37"/>
      <c r="BHP25" s="37"/>
      <c r="BHQ25" s="37"/>
      <c r="BHR25" s="37"/>
      <c r="BHS25" s="37"/>
      <c r="BHT25" s="37"/>
      <c r="BHU25" s="37"/>
      <c r="BHV25" s="37"/>
      <c r="BHW25" s="37"/>
      <c r="BHX25" s="37"/>
      <c r="BHY25" s="37"/>
      <c r="BHZ25" s="37"/>
      <c r="BIA25" s="37"/>
      <c r="BIB25" s="37"/>
      <c r="BIC25" s="37"/>
      <c r="BID25" s="37"/>
      <c r="BIE25" s="37"/>
      <c r="BIF25" s="37"/>
      <c r="BIG25" s="37"/>
      <c r="BIH25" s="37"/>
      <c r="BII25" s="37"/>
      <c r="BIJ25" s="37"/>
      <c r="BIK25" s="37"/>
      <c r="BIL25" s="37"/>
      <c r="BIM25" s="37"/>
      <c r="BIN25" s="37"/>
      <c r="BIO25" s="37"/>
      <c r="BIP25" s="37"/>
      <c r="BIQ25" s="37"/>
      <c r="BIR25" s="37"/>
      <c r="BIS25" s="37"/>
      <c r="BIT25" s="37"/>
      <c r="BIU25" s="37"/>
      <c r="BIV25" s="37"/>
      <c r="BIW25" s="37"/>
      <c r="BIX25" s="37"/>
      <c r="BIY25" s="37"/>
      <c r="BIZ25" s="37"/>
      <c r="BJA25" s="37"/>
      <c r="BJB25" s="37"/>
      <c r="BJC25" s="37"/>
      <c r="BJD25" s="37"/>
      <c r="BJE25" s="37"/>
      <c r="BJF25" s="37"/>
      <c r="BJG25" s="37"/>
      <c r="BJH25" s="37"/>
      <c r="BJI25" s="37"/>
      <c r="BJJ25" s="37"/>
      <c r="BJK25" s="37"/>
      <c r="BJL25" s="37"/>
      <c r="BJM25" s="37"/>
      <c r="BJN25" s="37"/>
      <c r="BJO25" s="37"/>
      <c r="BJP25" s="37"/>
      <c r="BJQ25" s="37"/>
      <c r="BJR25" s="37"/>
      <c r="BJS25" s="37"/>
      <c r="BJT25" s="37"/>
      <c r="BJU25" s="37"/>
      <c r="BJV25" s="37"/>
      <c r="BJW25" s="37"/>
      <c r="BJX25" s="37"/>
      <c r="BJY25" s="37"/>
      <c r="BJZ25" s="37"/>
      <c r="BKA25" s="37"/>
      <c r="BKB25" s="37"/>
      <c r="BKC25" s="37"/>
      <c r="BKD25" s="37"/>
      <c r="BKE25" s="37"/>
      <c r="BKF25" s="37"/>
      <c r="BKG25" s="37"/>
      <c r="BKH25" s="37"/>
      <c r="BKI25" s="37"/>
      <c r="BKJ25" s="37"/>
      <c r="BKK25" s="37"/>
      <c r="BKL25" s="37"/>
      <c r="BKM25" s="37"/>
      <c r="BKN25" s="37"/>
      <c r="BKO25" s="37"/>
      <c r="BKP25" s="37"/>
      <c r="BKQ25" s="37"/>
      <c r="BKR25" s="37"/>
      <c r="BKS25" s="37"/>
      <c r="BKT25" s="37"/>
      <c r="BKU25" s="37"/>
      <c r="BKV25" s="37"/>
      <c r="BKW25" s="37"/>
      <c r="BKX25" s="37"/>
      <c r="BKY25" s="37"/>
      <c r="BKZ25" s="37"/>
      <c r="BLA25" s="37"/>
      <c r="BLB25" s="37"/>
      <c r="BLC25" s="37"/>
      <c r="BLD25" s="37"/>
      <c r="BLE25" s="37"/>
      <c r="BLF25" s="37"/>
      <c r="BLG25" s="37"/>
      <c r="BLH25" s="37"/>
      <c r="BLI25" s="37"/>
      <c r="BLJ25" s="37"/>
      <c r="BLK25" s="37"/>
      <c r="BLL25" s="37"/>
      <c r="BLM25" s="37"/>
      <c r="BLN25" s="37"/>
      <c r="BLO25" s="37"/>
      <c r="BLP25" s="37"/>
      <c r="BLQ25" s="37"/>
      <c r="BLR25" s="37"/>
      <c r="BLS25" s="37"/>
      <c r="BLT25" s="37"/>
      <c r="BLU25" s="37"/>
      <c r="BLV25" s="37"/>
      <c r="BLW25" s="37"/>
      <c r="BLX25" s="37"/>
      <c r="BLY25" s="37"/>
      <c r="BLZ25" s="37"/>
      <c r="BMA25" s="37"/>
      <c r="BMB25" s="37"/>
      <c r="BMC25" s="37"/>
      <c r="BMD25" s="37"/>
      <c r="BME25" s="37"/>
      <c r="BMF25" s="37"/>
      <c r="BMG25" s="37"/>
      <c r="BMH25" s="37"/>
      <c r="BMI25" s="37"/>
      <c r="BMJ25" s="37"/>
      <c r="BMK25" s="37"/>
      <c r="BML25" s="37"/>
      <c r="BMM25" s="37"/>
      <c r="BMN25" s="37"/>
      <c r="BMO25" s="37"/>
      <c r="BMP25" s="37"/>
      <c r="BMQ25" s="37"/>
      <c r="BMR25" s="37"/>
      <c r="BMS25" s="37"/>
      <c r="BMT25" s="37"/>
      <c r="BMU25" s="37"/>
      <c r="BMV25" s="37"/>
      <c r="BMW25" s="37"/>
      <c r="BMX25" s="37"/>
      <c r="BMY25" s="37"/>
      <c r="BMZ25" s="37"/>
      <c r="BNA25" s="37"/>
      <c r="BNB25" s="37"/>
      <c r="BNC25" s="37"/>
      <c r="BND25" s="37"/>
      <c r="BNE25" s="37"/>
      <c r="BNF25" s="37"/>
      <c r="BNG25" s="37"/>
      <c r="BNH25" s="37"/>
      <c r="BNI25" s="37"/>
      <c r="BNJ25" s="37"/>
      <c r="BNK25" s="37"/>
      <c r="BNL25" s="37"/>
      <c r="BNM25" s="37"/>
      <c r="BNN25" s="37"/>
      <c r="BNO25" s="37"/>
      <c r="BNP25" s="37"/>
      <c r="BNQ25" s="37"/>
      <c r="BNR25" s="37"/>
      <c r="BNS25" s="37"/>
      <c r="BNT25" s="37"/>
      <c r="BNU25" s="37"/>
      <c r="BNV25" s="37"/>
      <c r="BNW25" s="37"/>
      <c r="BNX25" s="37"/>
      <c r="BNY25" s="37"/>
      <c r="BNZ25" s="37"/>
      <c r="BOA25" s="37"/>
      <c r="BOB25" s="37"/>
      <c r="BOC25" s="37"/>
      <c r="BOD25" s="37"/>
      <c r="BOE25" s="37"/>
      <c r="BOF25" s="37"/>
      <c r="BOG25" s="37"/>
      <c r="BOH25" s="37"/>
      <c r="BOI25" s="37"/>
      <c r="BOJ25" s="37"/>
      <c r="BOK25" s="37"/>
      <c r="BOL25" s="37"/>
      <c r="BOM25" s="37"/>
      <c r="BON25" s="37"/>
      <c r="BOO25" s="37"/>
      <c r="BOP25" s="37"/>
      <c r="BOQ25" s="37"/>
      <c r="BOR25" s="37"/>
      <c r="BOS25" s="37"/>
      <c r="BOT25" s="37"/>
      <c r="BOU25" s="37"/>
      <c r="BOV25" s="37"/>
      <c r="BOW25" s="37"/>
      <c r="BOX25" s="37"/>
      <c r="BOY25" s="37"/>
      <c r="BOZ25" s="37"/>
      <c r="BPA25" s="37"/>
      <c r="BPB25" s="37"/>
      <c r="BPC25" s="37"/>
      <c r="BPD25" s="37"/>
      <c r="BPE25" s="37"/>
      <c r="BPF25" s="37"/>
      <c r="BPG25" s="37"/>
      <c r="BPH25" s="37"/>
      <c r="BPI25" s="37"/>
      <c r="BPJ25" s="37"/>
      <c r="BPK25" s="37"/>
      <c r="BPL25" s="37"/>
      <c r="BPM25" s="37"/>
      <c r="BPN25" s="37"/>
      <c r="BPO25" s="37"/>
      <c r="BPP25" s="37"/>
      <c r="BPQ25" s="37"/>
      <c r="BPR25" s="37"/>
      <c r="BPS25" s="37"/>
      <c r="BPT25" s="37"/>
      <c r="BPU25" s="37"/>
      <c r="BPV25" s="37"/>
      <c r="BPW25" s="37"/>
      <c r="BPX25" s="37"/>
      <c r="BPY25" s="37"/>
      <c r="BPZ25" s="37"/>
      <c r="BQA25" s="37"/>
      <c r="BQB25" s="37"/>
      <c r="BQC25" s="37"/>
      <c r="BQD25" s="37"/>
      <c r="BQE25" s="37"/>
      <c r="BQF25" s="37"/>
      <c r="BQG25" s="37"/>
      <c r="BQH25" s="37"/>
      <c r="BQI25" s="37"/>
      <c r="BQJ25" s="37"/>
      <c r="BQK25" s="37"/>
      <c r="BQL25" s="37"/>
      <c r="BQM25" s="37"/>
      <c r="BQN25" s="37"/>
      <c r="BQO25" s="37"/>
      <c r="BQP25" s="37"/>
      <c r="BQQ25" s="37"/>
      <c r="BQR25" s="37"/>
      <c r="BQS25" s="37"/>
      <c r="BQT25" s="37"/>
      <c r="BQU25" s="37"/>
      <c r="BQV25" s="37"/>
      <c r="BQW25" s="37"/>
      <c r="BQX25" s="37"/>
      <c r="BQY25" s="37"/>
      <c r="BQZ25" s="37"/>
      <c r="BRA25" s="37"/>
      <c r="BRB25" s="37"/>
      <c r="BRC25" s="37"/>
      <c r="BRD25" s="37"/>
      <c r="BRE25" s="37"/>
      <c r="BRF25" s="37"/>
      <c r="BRG25" s="37"/>
      <c r="BRH25" s="37"/>
      <c r="BRI25" s="37"/>
      <c r="BRJ25" s="37"/>
      <c r="BRK25" s="37"/>
      <c r="BRL25" s="37"/>
      <c r="BRM25" s="37"/>
      <c r="BRN25" s="37"/>
      <c r="BRO25" s="37"/>
      <c r="BRP25" s="37"/>
      <c r="BRQ25" s="37"/>
      <c r="BRR25" s="37"/>
      <c r="BRS25" s="37"/>
      <c r="BRT25" s="37"/>
      <c r="BRU25" s="37"/>
      <c r="BRV25" s="37"/>
      <c r="BRW25" s="37"/>
      <c r="BRX25" s="37"/>
      <c r="BRY25" s="37"/>
      <c r="BRZ25" s="37"/>
      <c r="BSA25" s="37"/>
      <c r="BSB25" s="37"/>
      <c r="BSC25" s="37"/>
      <c r="BSD25" s="37"/>
      <c r="BSE25" s="37"/>
      <c r="BSF25" s="37"/>
      <c r="BSG25" s="37"/>
      <c r="BSH25" s="37"/>
      <c r="BSI25" s="37"/>
      <c r="BSJ25" s="37"/>
      <c r="BSK25" s="37"/>
      <c r="BSL25" s="37"/>
      <c r="BSM25" s="37"/>
      <c r="BSN25" s="37"/>
      <c r="BSO25" s="37"/>
      <c r="BSP25" s="37"/>
      <c r="BSQ25" s="37"/>
      <c r="BSR25" s="37"/>
      <c r="BSS25" s="37"/>
      <c r="BST25" s="37"/>
      <c r="BSU25" s="37"/>
      <c r="BSV25" s="37"/>
      <c r="BSW25" s="37"/>
      <c r="BSX25" s="37"/>
      <c r="BSY25" s="37"/>
      <c r="BSZ25" s="37"/>
      <c r="BTA25" s="37"/>
      <c r="BTB25" s="37"/>
      <c r="BTC25" s="37"/>
      <c r="BTD25" s="37"/>
      <c r="BTE25" s="37"/>
      <c r="BTF25" s="37"/>
      <c r="BTG25" s="37"/>
      <c r="BTH25" s="37"/>
      <c r="BTI25" s="37"/>
      <c r="BTJ25" s="37"/>
      <c r="BTK25" s="37"/>
      <c r="BTL25" s="37"/>
      <c r="BTM25" s="37"/>
      <c r="BTN25" s="37"/>
      <c r="BTO25" s="37"/>
      <c r="BTP25" s="37"/>
      <c r="BTQ25" s="37"/>
      <c r="BTR25" s="37"/>
      <c r="BTS25" s="37"/>
      <c r="BTT25" s="37"/>
      <c r="BTU25" s="37"/>
      <c r="BTV25" s="37"/>
      <c r="BTW25" s="37"/>
      <c r="BTX25" s="37"/>
      <c r="BTY25" s="37"/>
      <c r="BTZ25" s="37"/>
      <c r="BUA25" s="37"/>
      <c r="BUB25" s="37"/>
      <c r="BUC25" s="37"/>
      <c r="BUD25" s="37"/>
      <c r="BUE25" s="37"/>
      <c r="BUF25" s="37"/>
      <c r="BUG25" s="37"/>
      <c r="BUH25" s="37"/>
      <c r="BUI25" s="37"/>
      <c r="BUJ25" s="37"/>
      <c r="BUK25" s="37"/>
      <c r="BUL25" s="37"/>
      <c r="BUM25" s="37"/>
      <c r="BUN25" s="37"/>
      <c r="BUO25" s="37"/>
      <c r="BUP25" s="37"/>
      <c r="BUQ25" s="37"/>
      <c r="BUR25" s="37"/>
      <c r="BUS25" s="37"/>
      <c r="BUT25" s="37"/>
      <c r="BUU25" s="37"/>
      <c r="BUV25" s="37"/>
      <c r="BUW25" s="37"/>
      <c r="BUX25" s="37"/>
      <c r="BUY25" s="37"/>
      <c r="BUZ25" s="37"/>
      <c r="BVA25" s="37"/>
      <c r="BVB25" s="37"/>
      <c r="BVC25" s="37"/>
      <c r="BVD25" s="37"/>
      <c r="BVE25" s="37"/>
      <c r="BVF25" s="37"/>
      <c r="BVG25" s="37"/>
      <c r="BVH25" s="37"/>
      <c r="BVI25" s="37"/>
      <c r="BVJ25" s="37"/>
      <c r="BVK25" s="37"/>
      <c r="BVL25" s="37"/>
      <c r="BVM25" s="37"/>
      <c r="BVN25" s="37"/>
      <c r="BVO25" s="37"/>
      <c r="BVP25" s="37"/>
      <c r="BVQ25" s="37"/>
      <c r="BVR25" s="37"/>
      <c r="BVS25" s="37"/>
      <c r="BVT25" s="37"/>
      <c r="BVU25" s="37"/>
      <c r="BVV25" s="37"/>
      <c r="BVW25" s="37"/>
      <c r="BVX25" s="37"/>
      <c r="BVY25" s="37"/>
      <c r="BVZ25" s="37"/>
      <c r="BWA25" s="37"/>
      <c r="BWB25" s="37"/>
      <c r="BWC25" s="37"/>
      <c r="BWD25" s="37"/>
      <c r="BWE25" s="37"/>
      <c r="BWF25" s="37"/>
      <c r="BWG25" s="37"/>
      <c r="BWH25" s="37"/>
      <c r="BWI25" s="37"/>
      <c r="BWJ25" s="37"/>
    </row>
    <row r="26" spans="1:1960" x14ac:dyDescent="0.25">
      <c r="A26" s="38">
        <v>21</v>
      </c>
      <c r="B26" s="39">
        <v>20</v>
      </c>
      <c r="C26" s="40">
        <v>1000</v>
      </c>
      <c r="D26" s="41" t="s">
        <v>23</v>
      </c>
      <c r="E26" s="271">
        <f ca="1"/>
        <v>69</v>
      </c>
      <c r="F26" s="33">
        <v>-100</v>
      </c>
      <c r="G26" s="33">
        <v>1000</v>
      </c>
      <c r="H26" s="43">
        <f ca="1"/>
        <v>-100</v>
      </c>
      <c r="I26" s="33">
        <f ca="1"/>
        <v>51.9</v>
      </c>
      <c r="J26" s="35">
        <v>21</v>
      </c>
      <c r="K26" s="36">
        <v>116</v>
      </c>
      <c r="L26" s="37">
        <v>116</v>
      </c>
      <c r="M26" s="37">
        <v>116</v>
      </c>
      <c r="N26" s="37">
        <v>116</v>
      </c>
      <c r="O26" s="37">
        <v>116</v>
      </c>
      <c r="P26" s="37">
        <v>116</v>
      </c>
      <c r="Q26" s="37">
        <v>116</v>
      </c>
      <c r="R26" s="37">
        <v>116</v>
      </c>
      <c r="S26" s="37">
        <v>116</v>
      </c>
      <c r="T26" s="37">
        <v>116</v>
      </c>
      <c r="U26" s="37">
        <v>116</v>
      </c>
      <c r="V26" s="37">
        <v>116</v>
      </c>
      <c r="W26" s="37">
        <v>116</v>
      </c>
      <c r="X26" s="37">
        <v>116</v>
      </c>
      <c r="Y26" s="37">
        <v>116</v>
      </c>
      <c r="Z26" s="37">
        <v>116</v>
      </c>
      <c r="AA26" s="37">
        <v>116</v>
      </c>
      <c r="AB26" s="37">
        <v>116</v>
      </c>
      <c r="AC26" s="37">
        <v>116</v>
      </c>
      <c r="AD26" s="37">
        <v>116</v>
      </c>
      <c r="AE26" s="37">
        <v>116</v>
      </c>
      <c r="AF26" s="37">
        <v>116</v>
      </c>
      <c r="AG26" s="37">
        <v>116</v>
      </c>
      <c r="AH26" s="37">
        <v>116</v>
      </c>
      <c r="AI26" s="37">
        <v>116</v>
      </c>
      <c r="AJ26" s="37">
        <v>116</v>
      </c>
      <c r="AK26" s="37">
        <v>116</v>
      </c>
      <c r="AL26" s="37">
        <v>116</v>
      </c>
      <c r="AM26" s="37">
        <v>116</v>
      </c>
      <c r="AN26" s="37">
        <v>116</v>
      </c>
      <c r="AO26" s="37">
        <v>116</v>
      </c>
      <c r="AP26" s="37">
        <v>116</v>
      </c>
      <c r="AQ26" s="37">
        <v>116</v>
      </c>
      <c r="AR26" s="37">
        <v>116</v>
      </c>
      <c r="AS26" s="37">
        <v>116</v>
      </c>
      <c r="AT26" s="37">
        <v>116</v>
      </c>
      <c r="AU26" s="37">
        <v>116</v>
      </c>
      <c r="AV26" s="37">
        <v>116</v>
      </c>
      <c r="AW26" s="37">
        <v>116</v>
      </c>
      <c r="AX26" s="37">
        <v>116</v>
      </c>
      <c r="AY26" s="37">
        <v>116</v>
      </c>
      <c r="AZ26" s="37">
        <v>116</v>
      </c>
      <c r="BA26" s="37">
        <v>116</v>
      </c>
      <c r="BB26" s="37">
        <v>116</v>
      </c>
      <c r="BC26" s="37">
        <v>116</v>
      </c>
      <c r="BD26" s="37">
        <v>116</v>
      </c>
      <c r="BE26" s="37">
        <v>116</v>
      </c>
      <c r="BF26" s="37">
        <v>116</v>
      </c>
      <c r="BG26" s="37">
        <v>116</v>
      </c>
      <c r="BH26" s="37">
        <v>116</v>
      </c>
      <c r="BI26" s="37">
        <v>116</v>
      </c>
      <c r="BJ26" s="37">
        <v>116</v>
      </c>
      <c r="BK26" s="37">
        <v>116</v>
      </c>
      <c r="BL26" s="37">
        <v>116</v>
      </c>
      <c r="BM26" s="37">
        <v>116</v>
      </c>
      <c r="BN26" s="37">
        <v>116</v>
      </c>
      <c r="BO26" s="37">
        <v>116</v>
      </c>
      <c r="BP26" s="37">
        <v>116</v>
      </c>
      <c r="BQ26" s="37">
        <v>116</v>
      </c>
      <c r="BR26" s="37">
        <v>96</v>
      </c>
      <c r="BS26" s="37">
        <v>96</v>
      </c>
      <c r="BT26" s="37">
        <v>70</v>
      </c>
      <c r="BU26" s="37">
        <v>70</v>
      </c>
      <c r="BV26" s="37">
        <v>45</v>
      </c>
      <c r="BW26" s="37">
        <v>45</v>
      </c>
      <c r="BX26" s="37">
        <v>20</v>
      </c>
      <c r="BY26" s="37">
        <v>20</v>
      </c>
      <c r="BZ26" s="37">
        <v>20</v>
      </c>
      <c r="CA26" s="37">
        <v>0</v>
      </c>
      <c r="CB26" s="37">
        <v>0</v>
      </c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  <c r="AMD26" s="37"/>
      <c r="AME26" s="37"/>
      <c r="AMF26" s="37"/>
      <c r="AMG26" s="37"/>
      <c r="AMH26" s="37"/>
      <c r="AMI26" s="37"/>
      <c r="AMJ26" s="37"/>
      <c r="AMK26" s="37"/>
      <c r="AML26" s="37"/>
      <c r="AMM26" s="37"/>
      <c r="AMN26" s="37"/>
      <c r="AMO26" s="37"/>
      <c r="AMP26" s="37"/>
      <c r="AMQ26" s="37"/>
      <c r="AMR26" s="37"/>
      <c r="AMS26" s="37"/>
      <c r="AMT26" s="37"/>
      <c r="AMU26" s="37"/>
      <c r="AMV26" s="37"/>
      <c r="AMW26" s="37"/>
      <c r="AMX26" s="37"/>
      <c r="AMY26" s="37"/>
      <c r="AMZ26" s="37"/>
      <c r="ANA26" s="37"/>
      <c r="ANB26" s="37"/>
      <c r="ANC26" s="37"/>
      <c r="AND26" s="37"/>
      <c r="ANE26" s="37"/>
      <c r="ANF26" s="37"/>
      <c r="ANG26" s="37"/>
      <c r="ANH26" s="37"/>
      <c r="ANI26" s="37"/>
      <c r="ANJ26" s="37"/>
      <c r="ANK26" s="37"/>
      <c r="ANL26" s="37"/>
      <c r="ANM26" s="37"/>
      <c r="ANN26" s="37"/>
      <c r="ANO26" s="37"/>
      <c r="ANP26" s="37"/>
      <c r="ANQ26" s="37"/>
      <c r="ANR26" s="37"/>
      <c r="ANS26" s="37"/>
      <c r="ANT26" s="37"/>
      <c r="ANU26" s="37"/>
      <c r="ANV26" s="37"/>
      <c r="ANW26" s="37"/>
      <c r="ANX26" s="37"/>
      <c r="ANY26" s="37"/>
      <c r="ANZ26" s="37"/>
      <c r="AOA26" s="37"/>
      <c r="AOB26" s="37"/>
      <c r="AOC26" s="37"/>
      <c r="AOD26" s="37"/>
      <c r="AOE26" s="37"/>
      <c r="AOF26" s="37"/>
      <c r="AOG26" s="37"/>
      <c r="AOH26" s="37"/>
      <c r="AOI26" s="37"/>
      <c r="AOJ26" s="37"/>
      <c r="AOK26" s="37"/>
      <c r="AOL26" s="37"/>
      <c r="AOM26" s="37"/>
      <c r="AON26" s="37"/>
      <c r="AOO26" s="37"/>
      <c r="AOP26" s="37"/>
      <c r="AOQ26" s="37"/>
      <c r="AOR26" s="37"/>
      <c r="AOS26" s="37"/>
      <c r="AOT26" s="37"/>
      <c r="AOU26" s="37"/>
      <c r="AOV26" s="37"/>
      <c r="AOW26" s="37"/>
      <c r="AOX26" s="37"/>
      <c r="AOY26" s="37"/>
      <c r="AOZ26" s="37"/>
      <c r="APA26" s="37"/>
      <c r="APB26" s="37"/>
      <c r="APC26" s="37"/>
      <c r="APD26" s="37"/>
      <c r="APE26" s="37"/>
      <c r="APF26" s="37"/>
      <c r="APG26" s="37"/>
      <c r="APH26" s="37"/>
      <c r="API26" s="37"/>
      <c r="APJ26" s="37"/>
      <c r="APK26" s="37"/>
      <c r="APL26" s="37"/>
      <c r="APM26" s="37"/>
      <c r="APN26" s="37"/>
      <c r="APO26" s="37"/>
      <c r="APP26" s="37"/>
      <c r="APQ26" s="37"/>
      <c r="APR26" s="37"/>
      <c r="APS26" s="37"/>
      <c r="APT26" s="37"/>
      <c r="APU26" s="37"/>
      <c r="APV26" s="37"/>
      <c r="APW26" s="37"/>
      <c r="APX26" s="37"/>
      <c r="APY26" s="37"/>
      <c r="APZ26" s="37"/>
      <c r="AQA26" s="37"/>
      <c r="AQB26" s="37"/>
      <c r="AQC26" s="37"/>
      <c r="AQD26" s="37"/>
      <c r="AQE26" s="37"/>
      <c r="AQF26" s="37"/>
      <c r="AQG26" s="37"/>
      <c r="AQH26" s="37"/>
      <c r="AQI26" s="37"/>
      <c r="AQJ26" s="37"/>
      <c r="AQK26" s="37"/>
      <c r="AQL26" s="37"/>
      <c r="AQM26" s="37"/>
      <c r="AQN26" s="37"/>
      <c r="AQO26" s="37"/>
      <c r="AQP26" s="37"/>
      <c r="AQQ26" s="37"/>
      <c r="AQR26" s="37"/>
      <c r="AQS26" s="37"/>
      <c r="AQT26" s="37"/>
      <c r="AQU26" s="37"/>
      <c r="AQV26" s="37"/>
      <c r="AQW26" s="37"/>
      <c r="AQX26" s="37"/>
      <c r="AQY26" s="37"/>
      <c r="AQZ26" s="37"/>
      <c r="ARA26" s="37"/>
      <c r="ARB26" s="37"/>
      <c r="ARC26" s="37"/>
      <c r="ARD26" s="37"/>
      <c r="ARE26" s="37"/>
      <c r="ARF26" s="37"/>
      <c r="ARG26" s="37"/>
      <c r="ARH26" s="37"/>
      <c r="ARI26" s="37"/>
      <c r="ARJ26" s="37"/>
      <c r="ARK26" s="37"/>
      <c r="ARL26" s="37"/>
      <c r="ARM26" s="37"/>
      <c r="ARN26" s="37"/>
      <c r="ARO26" s="37"/>
      <c r="ARP26" s="37"/>
      <c r="ARQ26" s="37"/>
      <c r="ARR26" s="37"/>
      <c r="ARS26" s="37"/>
      <c r="ART26" s="37"/>
      <c r="ARU26" s="37"/>
      <c r="ARV26" s="37"/>
      <c r="ARW26" s="37"/>
      <c r="ARX26" s="37"/>
      <c r="ARY26" s="37"/>
      <c r="ARZ26" s="37"/>
      <c r="ASA26" s="37"/>
      <c r="ASB26" s="37"/>
      <c r="ASC26" s="37"/>
      <c r="ASD26" s="37"/>
      <c r="ASE26" s="37"/>
      <c r="ASF26" s="37"/>
      <c r="ASG26" s="37"/>
      <c r="ASH26" s="37"/>
      <c r="ASI26" s="37"/>
      <c r="ASJ26" s="37"/>
      <c r="ASK26" s="37"/>
      <c r="ASL26" s="37"/>
      <c r="ASM26" s="37"/>
      <c r="ASN26" s="37"/>
      <c r="ASO26" s="37"/>
      <c r="ASP26" s="37"/>
      <c r="ASQ26" s="37"/>
      <c r="ASR26" s="37"/>
      <c r="ASS26" s="37"/>
      <c r="AST26" s="37"/>
      <c r="ASU26" s="37"/>
      <c r="ASV26" s="37"/>
      <c r="ASW26" s="37"/>
      <c r="ASX26" s="37"/>
      <c r="ASY26" s="37"/>
      <c r="ASZ26" s="37"/>
      <c r="ATA26" s="37"/>
      <c r="ATB26" s="37"/>
      <c r="ATC26" s="37"/>
      <c r="ATD26" s="37"/>
      <c r="ATE26" s="37"/>
      <c r="ATF26" s="37"/>
      <c r="ATG26" s="37"/>
      <c r="ATH26" s="37"/>
      <c r="ATI26" s="37"/>
      <c r="ATJ26" s="37"/>
      <c r="ATK26" s="37"/>
      <c r="ATL26" s="37"/>
      <c r="ATM26" s="37"/>
      <c r="ATN26" s="37"/>
      <c r="ATO26" s="37"/>
      <c r="ATP26" s="37"/>
      <c r="ATQ26" s="37"/>
      <c r="ATR26" s="37"/>
      <c r="ATS26" s="37"/>
      <c r="ATT26" s="37"/>
      <c r="ATU26" s="37"/>
      <c r="ATV26" s="37"/>
      <c r="ATW26" s="37"/>
      <c r="ATX26" s="37"/>
      <c r="ATY26" s="37"/>
      <c r="ATZ26" s="37"/>
      <c r="AUA26" s="37"/>
      <c r="AUB26" s="37"/>
      <c r="AUC26" s="37"/>
      <c r="AUD26" s="37"/>
      <c r="AUE26" s="37"/>
      <c r="AUF26" s="37"/>
      <c r="AUG26" s="37"/>
      <c r="AUH26" s="37"/>
      <c r="AUI26" s="37"/>
      <c r="AUJ26" s="37"/>
      <c r="AUK26" s="37"/>
      <c r="AUL26" s="37"/>
      <c r="AUM26" s="37"/>
      <c r="AUN26" s="37"/>
      <c r="AUO26" s="37"/>
      <c r="AUP26" s="37"/>
      <c r="AUQ26" s="37"/>
      <c r="AUR26" s="37"/>
      <c r="AUS26" s="37"/>
      <c r="AUT26" s="37"/>
      <c r="AUU26" s="37"/>
      <c r="AUV26" s="37"/>
      <c r="AUW26" s="37"/>
      <c r="AUX26" s="37"/>
      <c r="AUY26" s="37"/>
      <c r="AUZ26" s="37"/>
      <c r="AVA26" s="37"/>
      <c r="AVB26" s="37"/>
      <c r="AVC26" s="37"/>
      <c r="AVD26" s="37"/>
      <c r="AVE26" s="37"/>
      <c r="AVF26" s="37"/>
      <c r="AVG26" s="37"/>
      <c r="AVH26" s="37"/>
      <c r="AVI26" s="37"/>
      <c r="AVJ26" s="37"/>
      <c r="AVK26" s="37"/>
      <c r="AVL26" s="37"/>
      <c r="AVM26" s="37"/>
      <c r="AVN26" s="37"/>
      <c r="AVO26" s="37"/>
      <c r="AVP26" s="37"/>
      <c r="AVQ26" s="37"/>
      <c r="AVR26" s="37"/>
      <c r="AVS26" s="37"/>
      <c r="AVT26" s="37"/>
      <c r="AVU26" s="37"/>
      <c r="AVV26" s="37"/>
      <c r="AVW26" s="37"/>
      <c r="AVX26" s="37"/>
      <c r="AVY26" s="37"/>
      <c r="AVZ26" s="37"/>
      <c r="AWA26" s="37"/>
      <c r="AWB26" s="37"/>
      <c r="AWC26" s="37"/>
      <c r="AWD26" s="37"/>
      <c r="AWE26" s="37"/>
      <c r="AWF26" s="37"/>
      <c r="AWG26" s="37"/>
      <c r="AWH26" s="37"/>
      <c r="AWI26" s="37"/>
      <c r="AWJ26" s="37"/>
      <c r="AWK26" s="37"/>
      <c r="AWL26" s="37"/>
      <c r="AWM26" s="37"/>
      <c r="AWN26" s="37"/>
      <c r="AWO26" s="37"/>
      <c r="AWP26" s="37"/>
      <c r="AWQ26" s="37"/>
      <c r="AWR26" s="37"/>
      <c r="AWS26" s="37"/>
      <c r="AWT26" s="37"/>
      <c r="AWU26" s="37"/>
      <c r="AWV26" s="37"/>
      <c r="AWW26" s="37"/>
      <c r="AWX26" s="37"/>
      <c r="AWY26" s="37"/>
      <c r="AWZ26" s="37"/>
      <c r="AXA26" s="37"/>
      <c r="AXB26" s="37"/>
      <c r="AXC26" s="37"/>
      <c r="AXD26" s="37"/>
      <c r="AXE26" s="37"/>
      <c r="AXF26" s="37"/>
      <c r="AXG26" s="37"/>
      <c r="AXH26" s="37"/>
      <c r="AXI26" s="37"/>
      <c r="AXJ26" s="37"/>
      <c r="AXK26" s="37"/>
      <c r="AXL26" s="37"/>
      <c r="AXM26" s="37"/>
      <c r="AXN26" s="37"/>
      <c r="AXO26" s="37"/>
      <c r="AXP26" s="37"/>
      <c r="AXQ26" s="37"/>
      <c r="AXR26" s="37"/>
      <c r="AXS26" s="37"/>
      <c r="AXT26" s="37"/>
      <c r="AXU26" s="37"/>
      <c r="AXV26" s="37"/>
      <c r="AXW26" s="37"/>
      <c r="AXX26" s="37"/>
      <c r="AXY26" s="37"/>
      <c r="AXZ26" s="37"/>
      <c r="AYA26" s="37"/>
      <c r="AYB26" s="37"/>
      <c r="AYC26" s="37"/>
      <c r="AYD26" s="37"/>
      <c r="AYE26" s="37"/>
      <c r="AYF26" s="37"/>
      <c r="AYG26" s="37"/>
      <c r="AYH26" s="37"/>
      <c r="AYI26" s="37"/>
      <c r="AYJ26" s="37"/>
      <c r="AYK26" s="37"/>
      <c r="AYL26" s="37"/>
      <c r="AYM26" s="37"/>
      <c r="AYN26" s="37"/>
      <c r="AYO26" s="37"/>
      <c r="AYP26" s="37"/>
      <c r="AYQ26" s="37"/>
      <c r="AYR26" s="37"/>
      <c r="AYS26" s="37"/>
      <c r="AYT26" s="37"/>
      <c r="AYU26" s="37"/>
      <c r="AYV26" s="37"/>
      <c r="AYW26" s="37"/>
      <c r="AYX26" s="37"/>
      <c r="AYY26" s="37"/>
      <c r="AYZ26" s="37"/>
      <c r="AZA26" s="37"/>
      <c r="AZB26" s="37"/>
      <c r="AZC26" s="37"/>
      <c r="AZD26" s="37"/>
      <c r="AZE26" s="37"/>
      <c r="AZF26" s="37"/>
      <c r="AZG26" s="37"/>
      <c r="AZH26" s="37"/>
      <c r="AZI26" s="37"/>
      <c r="AZJ26" s="37"/>
      <c r="AZK26" s="37"/>
      <c r="AZL26" s="37"/>
      <c r="AZM26" s="37"/>
      <c r="AZN26" s="37"/>
      <c r="AZO26" s="37"/>
      <c r="AZP26" s="37"/>
      <c r="AZQ26" s="37"/>
      <c r="AZR26" s="37"/>
      <c r="AZS26" s="37"/>
      <c r="AZT26" s="37"/>
      <c r="AZU26" s="37"/>
      <c r="AZV26" s="37"/>
      <c r="AZW26" s="37"/>
      <c r="AZX26" s="37"/>
      <c r="AZY26" s="37"/>
      <c r="AZZ26" s="37"/>
      <c r="BAA26" s="37"/>
      <c r="BAB26" s="37"/>
      <c r="BAC26" s="37"/>
      <c r="BAD26" s="37"/>
      <c r="BAE26" s="37"/>
      <c r="BAF26" s="37"/>
      <c r="BAG26" s="37"/>
      <c r="BAH26" s="37"/>
      <c r="BAI26" s="37"/>
      <c r="BAJ26" s="37"/>
      <c r="BAK26" s="37"/>
      <c r="BAL26" s="37"/>
      <c r="BAM26" s="37"/>
      <c r="BAN26" s="37"/>
      <c r="BAO26" s="37"/>
      <c r="BAP26" s="37"/>
      <c r="BAQ26" s="37"/>
      <c r="BAR26" s="37"/>
      <c r="BAS26" s="37"/>
      <c r="BAT26" s="37"/>
      <c r="BAU26" s="37"/>
      <c r="BAV26" s="37"/>
      <c r="BAW26" s="37"/>
      <c r="BAX26" s="37"/>
      <c r="BAY26" s="37"/>
      <c r="BAZ26" s="37"/>
      <c r="BBA26" s="37"/>
      <c r="BBB26" s="37"/>
      <c r="BBC26" s="37"/>
      <c r="BBD26" s="37"/>
      <c r="BBE26" s="37"/>
      <c r="BBF26" s="37"/>
      <c r="BBG26" s="37"/>
      <c r="BBH26" s="37"/>
      <c r="BBI26" s="37"/>
      <c r="BBJ26" s="37"/>
      <c r="BBK26" s="37"/>
      <c r="BBL26" s="37"/>
      <c r="BBM26" s="37"/>
      <c r="BBN26" s="37"/>
      <c r="BBO26" s="37"/>
      <c r="BBP26" s="37"/>
      <c r="BBQ26" s="37"/>
      <c r="BBR26" s="37"/>
      <c r="BBS26" s="37"/>
      <c r="BBT26" s="37"/>
      <c r="BBU26" s="37"/>
      <c r="BBV26" s="37"/>
      <c r="BBW26" s="37"/>
      <c r="BBX26" s="37"/>
      <c r="BBY26" s="37"/>
      <c r="BBZ26" s="37"/>
      <c r="BCA26" s="37"/>
      <c r="BCB26" s="37"/>
      <c r="BCC26" s="37"/>
      <c r="BCD26" s="37"/>
      <c r="BCE26" s="37"/>
      <c r="BCF26" s="37"/>
      <c r="BCG26" s="37"/>
      <c r="BCH26" s="37"/>
      <c r="BCI26" s="37"/>
      <c r="BCJ26" s="37"/>
      <c r="BCK26" s="37"/>
      <c r="BCL26" s="37"/>
      <c r="BCM26" s="37"/>
      <c r="BCN26" s="37"/>
      <c r="BCO26" s="37"/>
      <c r="BCP26" s="37"/>
      <c r="BCQ26" s="37"/>
      <c r="BCR26" s="37"/>
      <c r="BCS26" s="37"/>
      <c r="BCT26" s="37"/>
      <c r="BCU26" s="37"/>
      <c r="BCV26" s="37"/>
      <c r="BCW26" s="37"/>
      <c r="BCX26" s="37"/>
      <c r="BCY26" s="37"/>
      <c r="BCZ26" s="37"/>
      <c r="BDA26" s="37"/>
      <c r="BDB26" s="37"/>
      <c r="BDC26" s="37"/>
      <c r="BDD26" s="37"/>
      <c r="BDE26" s="37"/>
      <c r="BDF26" s="37"/>
      <c r="BDG26" s="37"/>
      <c r="BDH26" s="37"/>
      <c r="BDI26" s="37"/>
      <c r="BDJ26" s="37"/>
      <c r="BDK26" s="37"/>
      <c r="BDL26" s="37"/>
      <c r="BDM26" s="37"/>
      <c r="BDN26" s="37"/>
      <c r="BDO26" s="37"/>
      <c r="BDP26" s="37"/>
      <c r="BDQ26" s="37"/>
      <c r="BDR26" s="37"/>
      <c r="BDS26" s="37"/>
      <c r="BDT26" s="37"/>
      <c r="BDU26" s="37"/>
      <c r="BDV26" s="37"/>
      <c r="BDW26" s="37"/>
      <c r="BDX26" s="37"/>
      <c r="BDY26" s="37"/>
      <c r="BDZ26" s="37"/>
      <c r="BEA26" s="37"/>
      <c r="BEB26" s="37"/>
      <c r="BEC26" s="37"/>
      <c r="BED26" s="37"/>
      <c r="BEE26" s="37"/>
      <c r="BEF26" s="37"/>
      <c r="BEG26" s="37"/>
      <c r="BEH26" s="37"/>
      <c r="BEI26" s="37"/>
      <c r="BEJ26" s="37"/>
      <c r="BEK26" s="37"/>
      <c r="BEL26" s="37"/>
      <c r="BEM26" s="37"/>
      <c r="BEN26" s="37"/>
      <c r="BEO26" s="37"/>
      <c r="BEP26" s="37"/>
      <c r="BEQ26" s="37"/>
      <c r="BER26" s="37"/>
      <c r="BES26" s="37"/>
      <c r="BET26" s="37"/>
      <c r="BEU26" s="37"/>
      <c r="BEV26" s="37"/>
      <c r="BEW26" s="37"/>
      <c r="BEX26" s="37"/>
      <c r="BEY26" s="37"/>
      <c r="BEZ26" s="37"/>
      <c r="BFA26" s="37"/>
      <c r="BFB26" s="37"/>
      <c r="BFC26" s="37"/>
      <c r="BFD26" s="37"/>
      <c r="BFE26" s="37"/>
      <c r="BFF26" s="37"/>
      <c r="BFG26" s="37"/>
      <c r="BFH26" s="37"/>
      <c r="BFI26" s="37"/>
      <c r="BFJ26" s="37"/>
      <c r="BFK26" s="37"/>
      <c r="BFL26" s="37"/>
      <c r="BFM26" s="37"/>
      <c r="BFN26" s="37"/>
      <c r="BFO26" s="37"/>
      <c r="BFP26" s="37"/>
      <c r="BFQ26" s="37"/>
      <c r="BFR26" s="37"/>
      <c r="BFS26" s="37"/>
      <c r="BFT26" s="37"/>
      <c r="BFU26" s="37"/>
      <c r="BFV26" s="37"/>
      <c r="BFW26" s="37"/>
      <c r="BFX26" s="37"/>
      <c r="BFY26" s="37"/>
      <c r="BFZ26" s="37"/>
      <c r="BGA26" s="37"/>
      <c r="BGB26" s="37"/>
      <c r="BGC26" s="37"/>
      <c r="BGD26" s="37"/>
      <c r="BGE26" s="37"/>
      <c r="BGF26" s="37"/>
      <c r="BGG26" s="37"/>
      <c r="BGH26" s="37"/>
      <c r="BGI26" s="37"/>
      <c r="BGJ26" s="37"/>
      <c r="BGK26" s="37"/>
      <c r="BGL26" s="37"/>
      <c r="BGM26" s="37"/>
      <c r="BGN26" s="37"/>
      <c r="BGO26" s="37"/>
      <c r="BGP26" s="37"/>
      <c r="BGQ26" s="37"/>
      <c r="BGR26" s="37"/>
      <c r="BGS26" s="37"/>
      <c r="BGT26" s="37"/>
      <c r="BGU26" s="37"/>
      <c r="BGV26" s="37"/>
      <c r="BGW26" s="37"/>
      <c r="BGX26" s="37"/>
      <c r="BGY26" s="37"/>
      <c r="BGZ26" s="37"/>
      <c r="BHA26" s="37"/>
      <c r="BHB26" s="37"/>
      <c r="BHC26" s="37"/>
      <c r="BHD26" s="37"/>
      <c r="BHE26" s="37"/>
      <c r="BHF26" s="37"/>
      <c r="BHG26" s="37"/>
      <c r="BHH26" s="37"/>
      <c r="BHI26" s="37"/>
      <c r="BHJ26" s="37"/>
      <c r="BHK26" s="37"/>
      <c r="BHL26" s="37"/>
      <c r="BHM26" s="37"/>
      <c r="BHN26" s="37"/>
      <c r="BHO26" s="37"/>
      <c r="BHP26" s="37"/>
      <c r="BHQ26" s="37"/>
      <c r="BHR26" s="37"/>
      <c r="BHS26" s="37"/>
      <c r="BHT26" s="37"/>
      <c r="BHU26" s="37"/>
      <c r="BHV26" s="37"/>
      <c r="BHW26" s="37"/>
      <c r="BHX26" s="37"/>
      <c r="BHY26" s="37"/>
      <c r="BHZ26" s="37"/>
      <c r="BIA26" s="37"/>
      <c r="BIB26" s="37"/>
      <c r="BIC26" s="37"/>
      <c r="BID26" s="37"/>
      <c r="BIE26" s="37"/>
      <c r="BIF26" s="37"/>
      <c r="BIG26" s="37"/>
      <c r="BIH26" s="37"/>
      <c r="BII26" s="37"/>
      <c r="BIJ26" s="37"/>
      <c r="BIK26" s="37"/>
      <c r="BIL26" s="37"/>
      <c r="BIM26" s="37"/>
      <c r="BIN26" s="37"/>
      <c r="BIO26" s="37"/>
      <c r="BIP26" s="37"/>
      <c r="BIQ26" s="37"/>
      <c r="BIR26" s="37"/>
      <c r="BIS26" s="37"/>
      <c r="BIT26" s="37"/>
      <c r="BIU26" s="37"/>
      <c r="BIV26" s="37"/>
      <c r="BIW26" s="37"/>
      <c r="BIX26" s="37"/>
      <c r="BIY26" s="37"/>
      <c r="BIZ26" s="37"/>
      <c r="BJA26" s="37"/>
      <c r="BJB26" s="37"/>
      <c r="BJC26" s="37"/>
      <c r="BJD26" s="37"/>
      <c r="BJE26" s="37"/>
      <c r="BJF26" s="37"/>
      <c r="BJG26" s="37"/>
      <c r="BJH26" s="37"/>
      <c r="BJI26" s="37"/>
      <c r="BJJ26" s="37"/>
      <c r="BJK26" s="37"/>
      <c r="BJL26" s="37"/>
      <c r="BJM26" s="37"/>
      <c r="BJN26" s="37"/>
      <c r="BJO26" s="37"/>
      <c r="BJP26" s="37"/>
      <c r="BJQ26" s="37"/>
      <c r="BJR26" s="37"/>
      <c r="BJS26" s="37"/>
      <c r="BJT26" s="37"/>
      <c r="BJU26" s="37"/>
      <c r="BJV26" s="37"/>
      <c r="BJW26" s="37"/>
      <c r="BJX26" s="37"/>
      <c r="BJY26" s="37"/>
      <c r="BJZ26" s="37"/>
      <c r="BKA26" s="37"/>
      <c r="BKB26" s="37"/>
      <c r="BKC26" s="37"/>
      <c r="BKD26" s="37"/>
      <c r="BKE26" s="37"/>
      <c r="BKF26" s="37"/>
      <c r="BKG26" s="37"/>
      <c r="BKH26" s="37"/>
      <c r="BKI26" s="37"/>
      <c r="BKJ26" s="37"/>
      <c r="BKK26" s="37"/>
      <c r="BKL26" s="37"/>
      <c r="BKM26" s="37"/>
      <c r="BKN26" s="37"/>
      <c r="BKO26" s="37"/>
      <c r="BKP26" s="37"/>
      <c r="BKQ26" s="37"/>
      <c r="BKR26" s="37"/>
      <c r="BKS26" s="37"/>
      <c r="BKT26" s="37"/>
      <c r="BKU26" s="37"/>
      <c r="BKV26" s="37"/>
      <c r="BKW26" s="37"/>
      <c r="BKX26" s="37"/>
      <c r="BKY26" s="37"/>
      <c r="BKZ26" s="37"/>
      <c r="BLA26" s="37"/>
      <c r="BLB26" s="37"/>
      <c r="BLC26" s="37"/>
      <c r="BLD26" s="37"/>
      <c r="BLE26" s="37"/>
      <c r="BLF26" s="37"/>
      <c r="BLG26" s="37"/>
      <c r="BLH26" s="37"/>
      <c r="BLI26" s="37"/>
      <c r="BLJ26" s="37"/>
      <c r="BLK26" s="37"/>
      <c r="BLL26" s="37"/>
      <c r="BLM26" s="37"/>
      <c r="BLN26" s="37"/>
      <c r="BLO26" s="37"/>
      <c r="BLP26" s="37"/>
      <c r="BLQ26" s="37"/>
      <c r="BLR26" s="37"/>
      <c r="BLS26" s="37"/>
      <c r="BLT26" s="37"/>
      <c r="BLU26" s="37"/>
      <c r="BLV26" s="37"/>
      <c r="BLW26" s="37"/>
      <c r="BLX26" s="37"/>
      <c r="BLY26" s="37"/>
      <c r="BLZ26" s="37"/>
      <c r="BMA26" s="37"/>
      <c r="BMB26" s="37"/>
      <c r="BMC26" s="37"/>
      <c r="BMD26" s="37"/>
      <c r="BME26" s="37"/>
      <c r="BMF26" s="37"/>
      <c r="BMG26" s="37"/>
      <c r="BMH26" s="37"/>
      <c r="BMI26" s="37"/>
      <c r="BMJ26" s="37"/>
      <c r="BMK26" s="37"/>
      <c r="BML26" s="37"/>
      <c r="BMM26" s="37"/>
      <c r="BMN26" s="37"/>
      <c r="BMO26" s="37"/>
      <c r="BMP26" s="37"/>
      <c r="BMQ26" s="37"/>
      <c r="BMR26" s="37"/>
      <c r="BMS26" s="37"/>
      <c r="BMT26" s="37"/>
      <c r="BMU26" s="37"/>
      <c r="BMV26" s="37"/>
      <c r="BMW26" s="37"/>
      <c r="BMX26" s="37"/>
      <c r="BMY26" s="37"/>
      <c r="BMZ26" s="37"/>
      <c r="BNA26" s="37"/>
      <c r="BNB26" s="37"/>
      <c r="BNC26" s="37"/>
      <c r="BND26" s="37"/>
      <c r="BNE26" s="37"/>
      <c r="BNF26" s="37"/>
      <c r="BNG26" s="37"/>
      <c r="BNH26" s="37"/>
      <c r="BNI26" s="37"/>
      <c r="BNJ26" s="37"/>
      <c r="BNK26" s="37"/>
      <c r="BNL26" s="37"/>
      <c r="BNM26" s="37"/>
      <c r="BNN26" s="37"/>
      <c r="BNO26" s="37"/>
      <c r="BNP26" s="37"/>
      <c r="BNQ26" s="37"/>
      <c r="BNR26" s="37"/>
      <c r="BNS26" s="37"/>
      <c r="BNT26" s="37"/>
      <c r="BNU26" s="37"/>
      <c r="BNV26" s="37"/>
      <c r="BNW26" s="37"/>
      <c r="BNX26" s="37"/>
      <c r="BNY26" s="37"/>
      <c r="BNZ26" s="37"/>
      <c r="BOA26" s="37"/>
      <c r="BOB26" s="37"/>
      <c r="BOC26" s="37"/>
      <c r="BOD26" s="37"/>
      <c r="BOE26" s="37"/>
      <c r="BOF26" s="37"/>
      <c r="BOG26" s="37"/>
      <c r="BOH26" s="37"/>
      <c r="BOI26" s="37"/>
      <c r="BOJ26" s="37"/>
      <c r="BOK26" s="37"/>
      <c r="BOL26" s="37"/>
      <c r="BOM26" s="37"/>
      <c r="BON26" s="37"/>
      <c r="BOO26" s="37"/>
      <c r="BOP26" s="37"/>
      <c r="BOQ26" s="37"/>
      <c r="BOR26" s="37"/>
      <c r="BOS26" s="37"/>
      <c r="BOT26" s="37"/>
      <c r="BOU26" s="37"/>
      <c r="BOV26" s="37"/>
      <c r="BOW26" s="37"/>
      <c r="BOX26" s="37"/>
      <c r="BOY26" s="37"/>
      <c r="BOZ26" s="37"/>
      <c r="BPA26" s="37"/>
      <c r="BPB26" s="37"/>
      <c r="BPC26" s="37"/>
      <c r="BPD26" s="37"/>
      <c r="BPE26" s="37"/>
      <c r="BPF26" s="37"/>
      <c r="BPG26" s="37"/>
      <c r="BPH26" s="37"/>
      <c r="BPI26" s="37"/>
      <c r="BPJ26" s="37"/>
      <c r="BPK26" s="37"/>
      <c r="BPL26" s="37"/>
      <c r="BPM26" s="37"/>
      <c r="BPN26" s="37"/>
      <c r="BPO26" s="37"/>
      <c r="BPP26" s="37"/>
      <c r="BPQ26" s="37"/>
      <c r="BPR26" s="37"/>
      <c r="BPS26" s="37"/>
      <c r="BPT26" s="37"/>
      <c r="BPU26" s="37"/>
      <c r="BPV26" s="37"/>
      <c r="BPW26" s="37"/>
      <c r="BPX26" s="37"/>
      <c r="BPY26" s="37"/>
      <c r="BPZ26" s="37"/>
      <c r="BQA26" s="37"/>
      <c r="BQB26" s="37"/>
      <c r="BQC26" s="37"/>
      <c r="BQD26" s="37"/>
      <c r="BQE26" s="37"/>
      <c r="BQF26" s="37"/>
      <c r="BQG26" s="37"/>
      <c r="BQH26" s="37"/>
      <c r="BQI26" s="37"/>
      <c r="BQJ26" s="37"/>
      <c r="BQK26" s="37"/>
      <c r="BQL26" s="37"/>
      <c r="BQM26" s="37"/>
      <c r="BQN26" s="37"/>
      <c r="BQO26" s="37"/>
      <c r="BQP26" s="37"/>
      <c r="BQQ26" s="37"/>
      <c r="BQR26" s="37"/>
      <c r="BQS26" s="37"/>
      <c r="BQT26" s="37"/>
      <c r="BQU26" s="37"/>
      <c r="BQV26" s="37"/>
      <c r="BQW26" s="37"/>
      <c r="BQX26" s="37"/>
      <c r="BQY26" s="37"/>
      <c r="BQZ26" s="37"/>
      <c r="BRA26" s="37"/>
      <c r="BRB26" s="37"/>
      <c r="BRC26" s="37"/>
      <c r="BRD26" s="37"/>
      <c r="BRE26" s="37"/>
      <c r="BRF26" s="37"/>
      <c r="BRG26" s="37"/>
      <c r="BRH26" s="37"/>
      <c r="BRI26" s="37"/>
      <c r="BRJ26" s="37"/>
      <c r="BRK26" s="37"/>
      <c r="BRL26" s="37"/>
      <c r="BRM26" s="37"/>
      <c r="BRN26" s="37"/>
      <c r="BRO26" s="37"/>
      <c r="BRP26" s="37"/>
      <c r="BRQ26" s="37"/>
      <c r="BRR26" s="37"/>
      <c r="BRS26" s="37"/>
      <c r="BRT26" s="37"/>
      <c r="BRU26" s="37"/>
      <c r="BRV26" s="37"/>
      <c r="BRW26" s="37"/>
      <c r="BRX26" s="37"/>
      <c r="BRY26" s="37"/>
      <c r="BRZ26" s="37"/>
      <c r="BSA26" s="37"/>
      <c r="BSB26" s="37"/>
      <c r="BSC26" s="37"/>
      <c r="BSD26" s="37"/>
      <c r="BSE26" s="37"/>
      <c r="BSF26" s="37"/>
      <c r="BSG26" s="37"/>
      <c r="BSH26" s="37"/>
      <c r="BSI26" s="37"/>
      <c r="BSJ26" s="37"/>
      <c r="BSK26" s="37"/>
      <c r="BSL26" s="37"/>
      <c r="BSM26" s="37"/>
      <c r="BSN26" s="37"/>
      <c r="BSO26" s="37"/>
      <c r="BSP26" s="37"/>
      <c r="BSQ26" s="37"/>
      <c r="BSR26" s="37"/>
      <c r="BSS26" s="37"/>
      <c r="BST26" s="37"/>
      <c r="BSU26" s="37"/>
      <c r="BSV26" s="37"/>
      <c r="BSW26" s="37"/>
      <c r="BSX26" s="37"/>
      <c r="BSY26" s="37"/>
      <c r="BSZ26" s="37"/>
      <c r="BTA26" s="37"/>
      <c r="BTB26" s="37"/>
      <c r="BTC26" s="37"/>
      <c r="BTD26" s="37"/>
      <c r="BTE26" s="37"/>
      <c r="BTF26" s="37"/>
      <c r="BTG26" s="37"/>
      <c r="BTH26" s="37"/>
      <c r="BTI26" s="37"/>
      <c r="BTJ26" s="37"/>
      <c r="BTK26" s="37"/>
      <c r="BTL26" s="37"/>
      <c r="BTM26" s="37"/>
      <c r="BTN26" s="37"/>
      <c r="BTO26" s="37"/>
      <c r="BTP26" s="37"/>
      <c r="BTQ26" s="37"/>
      <c r="BTR26" s="37"/>
      <c r="BTS26" s="37"/>
      <c r="BTT26" s="37"/>
      <c r="BTU26" s="37"/>
      <c r="BTV26" s="37"/>
      <c r="BTW26" s="37"/>
      <c r="BTX26" s="37"/>
      <c r="BTY26" s="37"/>
      <c r="BTZ26" s="37"/>
      <c r="BUA26" s="37"/>
      <c r="BUB26" s="37"/>
      <c r="BUC26" s="37"/>
      <c r="BUD26" s="37"/>
      <c r="BUE26" s="37"/>
      <c r="BUF26" s="37"/>
      <c r="BUG26" s="37"/>
      <c r="BUH26" s="37"/>
      <c r="BUI26" s="37"/>
      <c r="BUJ26" s="37"/>
      <c r="BUK26" s="37"/>
      <c r="BUL26" s="37"/>
      <c r="BUM26" s="37"/>
      <c r="BUN26" s="37"/>
      <c r="BUO26" s="37"/>
      <c r="BUP26" s="37"/>
      <c r="BUQ26" s="37"/>
      <c r="BUR26" s="37"/>
      <c r="BUS26" s="37"/>
      <c r="BUT26" s="37"/>
      <c r="BUU26" s="37"/>
      <c r="BUV26" s="37"/>
      <c r="BUW26" s="37"/>
      <c r="BUX26" s="37"/>
      <c r="BUY26" s="37"/>
      <c r="BUZ26" s="37"/>
      <c r="BVA26" s="37"/>
      <c r="BVB26" s="37"/>
      <c r="BVC26" s="37"/>
      <c r="BVD26" s="37"/>
      <c r="BVE26" s="37"/>
      <c r="BVF26" s="37"/>
      <c r="BVG26" s="37"/>
      <c r="BVH26" s="37"/>
      <c r="BVI26" s="37"/>
      <c r="BVJ26" s="37"/>
      <c r="BVK26" s="37"/>
      <c r="BVL26" s="37"/>
      <c r="BVM26" s="37"/>
      <c r="BVN26" s="37"/>
      <c r="BVO26" s="37"/>
      <c r="BVP26" s="37"/>
      <c r="BVQ26" s="37"/>
      <c r="BVR26" s="37"/>
      <c r="BVS26" s="37"/>
      <c r="BVT26" s="37"/>
      <c r="BVU26" s="37"/>
      <c r="BVV26" s="37"/>
      <c r="BVW26" s="37"/>
      <c r="BVX26" s="37"/>
      <c r="BVY26" s="37"/>
      <c r="BVZ26" s="37"/>
      <c r="BWA26" s="37"/>
      <c r="BWB26" s="37"/>
      <c r="BWC26" s="37"/>
      <c r="BWD26" s="37"/>
      <c r="BWE26" s="37"/>
      <c r="BWF26" s="37"/>
      <c r="BWG26" s="37"/>
      <c r="BWH26" s="37"/>
      <c r="BWI26" s="37"/>
      <c r="BWJ26" s="37"/>
    </row>
    <row r="27" spans="1:1960" x14ac:dyDescent="0.25">
      <c r="A27" s="38">
        <v>22</v>
      </c>
      <c r="B27" s="39">
        <v>20</v>
      </c>
      <c r="C27" s="40">
        <v>1000</v>
      </c>
      <c r="D27" s="41" t="s">
        <v>23</v>
      </c>
      <c r="E27" s="271">
        <f ca="1"/>
        <v>69</v>
      </c>
      <c r="F27" s="33">
        <v>-100</v>
      </c>
      <c r="G27" s="33">
        <v>1000</v>
      </c>
      <c r="H27" s="43">
        <f ca="1"/>
        <v>-100</v>
      </c>
      <c r="I27" s="33">
        <f ca="1"/>
        <v>52</v>
      </c>
      <c r="J27" s="35">
        <v>22</v>
      </c>
      <c r="K27" s="36">
        <v>91</v>
      </c>
      <c r="L27" s="37">
        <v>91</v>
      </c>
      <c r="M27" s="37">
        <v>91</v>
      </c>
      <c r="N27" s="37">
        <v>91</v>
      </c>
      <c r="O27" s="37">
        <v>91</v>
      </c>
      <c r="P27" s="37">
        <v>91</v>
      </c>
      <c r="Q27" s="37">
        <v>91</v>
      </c>
      <c r="R27" s="37">
        <v>91</v>
      </c>
      <c r="S27" s="37">
        <v>91</v>
      </c>
      <c r="T27" s="37">
        <v>91</v>
      </c>
      <c r="U27" s="37">
        <v>91</v>
      </c>
      <c r="V27" s="37">
        <v>91</v>
      </c>
      <c r="W27" s="37">
        <v>91</v>
      </c>
      <c r="X27" s="37">
        <v>91</v>
      </c>
      <c r="Y27" s="37">
        <v>91</v>
      </c>
      <c r="Z27" s="37">
        <v>91</v>
      </c>
      <c r="AA27" s="37">
        <v>91</v>
      </c>
      <c r="AB27" s="37">
        <v>91</v>
      </c>
      <c r="AC27" s="37">
        <v>91</v>
      </c>
      <c r="AD27" s="37">
        <v>91</v>
      </c>
      <c r="AE27" s="37">
        <v>91</v>
      </c>
      <c r="AF27" s="37">
        <v>91</v>
      </c>
      <c r="AG27" s="37">
        <v>91</v>
      </c>
      <c r="AH27" s="37">
        <v>91</v>
      </c>
      <c r="AI27" s="37">
        <v>91</v>
      </c>
      <c r="AJ27" s="37">
        <v>91</v>
      </c>
      <c r="AK27" s="37">
        <v>91</v>
      </c>
      <c r="AL27" s="37">
        <v>91</v>
      </c>
      <c r="AM27" s="37">
        <v>91</v>
      </c>
      <c r="AN27" s="37">
        <v>91</v>
      </c>
      <c r="AO27" s="37">
        <v>91</v>
      </c>
      <c r="AP27" s="37">
        <v>91</v>
      </c>
      <c r="AQ27" s="37">
        <v>91</v>
      </c>
      <c r="AR27" s="37">
        <v>91</v>
      </c>
      <c r="AS27" s="37">
        <v>91</v>
      </c>
      <c r="AT27" s="37">
        <v>91</v>
      </c>
      <c r="AU27" s="37">
        <v>91</v>
      </c>
      <c r="AV27" s="37">
        <v>91</v>
      </c>
      <c r="AW27" s="37">
        <v>91</v>
      </c>
      <c r="AX27" s="37">
        <v>91</v>
      </c>
      <c r="AY27" s="37">
        <v>91</v>
      </c>
      <c r="AZ27" s="37">
        <v>91</v>
      </c>
      <c r="BA27" s="37">
        <v>91</v>
      </c>
      <c r="BB27" s="37">
        <v>91</v>
      </c>
      <c r="BC27" s="37">
        <v>91</v>
      </c>
      <c r="BD27" s="37">
        <v>91</v>
      </c>
      <c r="BE27" s="37">
        <v>91</v>
      </c>
      <c r="BF27" s="37">
        <v>91</v>
      </c>
      <c r="BG27" s="37">
        <v>91</v>
      </c>
      <c r="BH27" s="37">
        <v>91</v>
      </c>
      <c r="BI27" s="37">
        <v>91</v>
      </c>
      <c r="BJ27" s="37">
        <v>70</v>
      </c>
      <c r="BK27" s="37">
        <v>70</v>
      </c>
      <c r="BL27" s="37">
        <v>70</v>
      </c>
      <c r="BM27" s="37">
        <v>70</v>
      </c>
      <c r="BN27" s="37">
        <v>45</v>
      </c>
      <c r="BO27" s="37">
        <v>45</v>
      </c>
      <c r="BP27" s="37">
        <v>20</v>
      </c>
      <c r="BQ27" s="37">
        <v>20</v>
      </c>
      <c r="BR27" s="37">
        <v>20</v>
      </c>
      <c r="BS27" s="37">
        <v>20</v>
      </c>
      <c r="BT27" s="37">
        <v>20</v>
      </c>
      <c r="BU27" s="37">
        <v>20</v>
      </c>
      <c r="BV27" s="37">
        <v>20</v>
      </c>
      <c r="BW27" s="37">
        <v>20</v>
      </c>
      <c r="BX27" s="37">
        <v>20</v>
      </c>
      <c r="BY27" s="37">
        <v>20</v>
      </c>
      <c r="BZ27" s="37">
        <v>20</v>
      </c>
      <c r="CA27" s="37">
        <v>0</v>
      </c>
      <c r="CB27" s="37">
        <v>0</v>
      </c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  <c r="AMD27" s="37"/>
      <c r="AME27" s="37"/>
      <c r="AMF27" s="37"/>
      <c r="AMG27" s="37"/>
      <c r="AMH27" s="37"/>
      <c r="AMI27" s="37"/>
      <c r="AMJ27" s="37"/>
      <c r="AMK27" s="37"/>
      <c r="AML27" s="37"/>
      <c r="AMM27" s="37"/>
      <c r="AMN27" s="37"/>
      <c r="AMO27" s="37"/>
      <c r="AMP27" s="37"/>
      <c r="AMQ27" s="37"/>
      <c r="AMR27" s="37"/>
      <c r="AMS27" s="37"/>
      <c r="AMT27" s="37"/>
      <c r="AMU27" s="37"/>
      <c r="AMV27" s="37"/>
      <c r="AMW27" s="37"/>
      <c r="AMX27" s="37"/>
      <c r="AMY27" s="37"/>
      <c r="AMZ27" s="37"/>
      <c r="ANA27" s="37"/>
      <c r="ANB27" s="37"/>
      <c r="ANC27" s="37"/>
      <c r="AND27" s="37"/>
      <c r="ANE27" s="37"/>
      <c r="ANF27" s="37"/>
      <c r="ANG27" s="37"/>
      <c r="ANH27" s="37"/>
      <c r="ANI27" s="37"/>
      <c r="ANJ27" s="37"/>
      <c r="ANK27" s="37"/>
      <c r="ANL27" s="37"/>
      <c r="ANM27" s="37"/>
      <c r="ANN27" s="37"/>
      <c r="ANO27" s="37"/>
      <c r="ANP27" s="37"/>
      <c r="ANQ27" s="37"/>
      <c r="ANR27" s="37"/>
      <c r="ANS27" s="37"/>
      <c r="ANT27" s="37"/>
      <c r="ANU27" s="37"/>
      <c r="ANV27" s="37"/>
      <c r="ANW27" s="37"/>
      <c r="ANX27" s="37"/>
      <c r="ANY27" s="37"/>
      <c r="ANZ27" s="37"/>
      <c r="AOA27" s="37"/>
      <c r="AOB27" s="37"/>
      <c r="AOC27" s="37"/>
      <c r="AOD27" s="37"/>
      <c r="AOE27" s="37"/>
      <c r="AOF27" s="37"/>
      <c r="AOG27" s="37"/>
      <c r="AOH27" s="37"/>
      <c r="AOI27" s="37"/>
      <c r="AOJ27" s="37"/>
      <c r="AOK27" s="37"/>
      <c r="AOL27" s="37"/>
      <c r="AOM27" s="37"/>
      <c r="AON27" s="37"/>
      <c r="AOO27" s="37"/>
      <c r="AOP27" s="37"/>
      <c r="AOQ27" s="37"/>
      <c r="AOR27" s="37"/>
      <c r="AOS27" s="37"/>
      <c r="AOT27" s="37"/>
      <c r="AOU27" s="37"/>
      <c r="AOV27" s="37"/>
      <c r="AOW27" s="37"/>
      <c r="AOX27" s="37"/>
      <c r="AOY27" s="37"/>
      <c r="AOZ27" s="37"/>
      <c r="APA27" s="37"/>
      <c r="APB27" s="37"/>
      <c r="APC27" s="37"/>
      <c r="APD27" s="37"/>
      <c r="APE27" s="37"/>
      <c r="APF27" s="37"/>
      <c r="APG27" s="37"/>
      <c r="APH27" s="37"/>
      <c r="API27" s="37"/>
      <c r="APJ27" s="37"/>
      <c r="APK27" s="37"/>
      <c r="APL27" s="37"/>
      <c r="APM27" s="37"/>
      <c r="APN27" s="37"/>
      <c r="APO27" s="37"/>
      <c r="APP27" s="37"/>
      <c r="APQ27" s="37"/>
      <c r="APR27" s="37"/>
      <c r="APS27" s="37"/>
      <c r="APT27" s="37"/>
      <c r="APU27" s="37"/>
      <c r="APV27" s="37"/>
      <c r="APW27" s="37"/>
      <c r="APX27" s="37"/>
      <c r="APY27" s="37"/>
      <c r="APZ27" s="37"/>
      <c r="AQA27" s="37"/>
      <c r="AQB27" s="37"/>
      <c r="AQC27" s="37"/>
      <c r="AQD27" s="37"/>
      <c r="AQE27" s="37"/>
      <c r="AQF27" s="37"/>
      <c r="AQG27" s="37"/>
      <c r="AQH27" s="37"/>
      <c r="AQI27" s="37"/>
      <c r="AQJ27" s="37"/>
      <c r="AQK27" s="37"/>
      <c r="AQL27" s="37"/>
      <c r="AQM27" s="37"/>
      <c r="AQN27" s="37"/>
      <c r="AQO27" s="37"/>
      <c r="AQP27" s="37"/>
      <c r="AQQ27" s="37"/>
      <c r="AQR27" s="37"/>
      <c r="AQS27" s="37"/>
      <c r="AQT27" s="37"/>
      <c r="AQU27" s="37"/>
      <c r="AQV27" s="37"/>
      <c r="AQW27" s="37"/>
      <c r="AQX27" s="37"/>
      <c r="AQY27" s="37"/>
      <c r="AQZ27" s="37"/>
      <c r="ARA27" s="37"/>
      <c r="ARB27" s="37"/>
      <c r="ARC27" s="37"/>
      <c r="ARD27" s="37"/>
      <c r="ARE27" s="37"/>
      <c r="ARF27" s="37"/>
      <c r="ARG27" s="37"/>
      <c r="ARH27" s="37"/>
      <c r="ARI27" s="37"/>
      <c r="ARJ27" s="37"/>
      <c r="ARK27" s="37"/>
      <c r="ARL27" s="37"/>
      <c r="ARM27" s="37"/>
      <c r="ARN27" s="37"/>
      <c r="ARO27" s="37"/>
      <c r="ARP27" s="37"/>
      <c r="ARQ27" s="37"/>
      <c r="ARR27" s="37"/>
      <c r="ARS27" s="37"/>
      <c r="ART27" s="37"/>
      <c r="ARU27" s="37"/>
      <c r="ARV27" s="37"/>
      <c r="ARW27" s="37"/>
      <c r="ARX27" s="37"/>
      <c r="ARY27" s="37"/>
      <c r="ARZ27" s="37"/>
      <c r="ASA27" s="37"/>
      <c r="ASB27" s="37"/>
      <c r="ASC27" s="37"/>
      <c r="ASD27" s="37"/>
      <c r="ASE27" s="37"/>
      <c r="ASF27" s="37"/>
      <c r="ASG27" s="37"/>
      <c r="ASH27" s="37"/>
      <c r="ASI27" s="37"/>
      <c r="ASJ27" s="37"/>
      <c r="ASK27" s="37"/>
      <c r="ASL27" s="37"/>
      <c r="ASM27" s="37"/>
      <c r="ASN27" s="37"/>
      <c r="ASO27" s="37"/>
      <c r="ASP27" s="37"/>
      <c r="ASQ27" s="37"/>
      <c r="ASR27" s="37"/>
      <c r="ASS27" s="37"/>
      <c r="AST27" s="37"/>
      <c r="ASU27" s="37"/>
      <c r="ASV27" s="37"/>
      <c r="ASW27" s="37"/>
      <c r="ASX27" s="37"/>
      <c r="ASY27" s="37"/>
      <c r="ASZ27" s="37"/>
      <c r="ATA27" s="37"/>
      <c r="ATB27" s="37"/>
      <c r="ATC27" s="37"/>
      <c r="ATD27" s="37"/>
      <c r="ATE27" s="37"/>
      <c r="ATF27" s="37"/>
      <c r="ATG27" s="37"/>
      <c r="ATH27" s="37"/>
      <c r="ATI27" s="37"/>
      <c r="ATJ27" s="37"/>
      <c r="ATK27" s="37"/>
      <c r="ATL27" s="37"/>
      <c r="ATM27" s="37"/>
      <c r="ATN27" s="37"/>
      <c r="ATO27" s="37"/>
      <c r="ATP27" s="37"/>
      <c r="ATQ27" s="37"/>
      <c r="ATR27" s="37"/>
      <c r="ATS27" s="37"/>
      <c r="ATT27" s="37"/>
      <c r="ATU27" s="37"/>
      <c r="ATV27" s="37"/>
      <c r="ATW27" s="37"/>
      <c r="ATX27" s="37"/>
      <c r="ATY27" s="37"/>
      <c r="ATZ27" s="37"/>
      <c r="AUA27" s="37"/>
      <c r="AUB27" s="37"/>
      <c r="AUC27" s="37"/>
      <c r="AUD27" s="37"/>
      <c r="AUE27" s="37"/>
      <c r="AUF27" s="37"/>
      <c r="AUG27" s="37"/>
      <c r="AUH27" s="37"/>
      <c r="AUI27" s="37"/>
      <c r="AUJ27" s="37"/>
      <c r="AUK27" s="37"/>
      <c r="AUL27" s="37"/>
      <c r="AUM27" s="37"/>
      <c r="AUN27" s="37"/>
      <c r="AUO27" s="37"/>
      <c r="AUP27" s="37"/>
      <c r="AUQ27" s="37"/>
      <c r="AUR27" s="37"/>
      <c r="AUS27" s="37"/>
      <c r="AUT27" s="37"/>
      <c r="AUU27" s="37"/>
      <c r="AUV27" s="37"/>
      <c r="AUW27" s="37"/>
      <c r="AUX27" s="37"/>
      <c r="AUY27" s="37"/>
      <c r="AUZ27" s="37"/>
      <c r="AVA27" s="37"/>
      <c r="AVB27" s="37"/>
      <c r="AVC27" s="37"/>
      <c r="AVD27" s="37"/>
      <c r="AVE27" s="37"/>
      <c r="AVF27" s="37"/>
      <c r="AVG27" s="37"/>
      <c r="AVH27" s="37"/>
      <c r="AVI27" s="37"/>
      <c r="AVJ27" s="37"/>
      <c r="AVK27" s="37"/>
      <c r="AVL27" s="37"/>
      <c r="AVM27" s="37"/>
      <c r="AVN27" s="37"/>
      <c r="AVO27" s="37"/>
      <c r="AVP27" s="37"/>
      <c r="AVQ27" s="37"/>
      <c r="AVR27" s="37"/>
      <c r="AVS27" s="37"/>
      <c r="AVT27" s="37"/>
      <c r="AVU27" s="37"/>
      <c r="AVV27" s="37"/>
      <c r="AVW27" s="37"/>
      <c r="AVX27" s="37"/>
      <c r="AVY27" s="37"/>
      <c r="AVZ27" s="37"/>
      <c r="AWA27" s="37"/>
      <c r="AWB27" s="37"/>
      <c r="AWC27" s="37"/>
      <c r="AWD27" s="37"/>
      <c r="AWE27" s="37"/>
      <c r="AWF27" s="37"/>
      <c r="AWG27" s="37"/>
      <c r="AWH27" s="37"/>
      <c r="AWI27" s="37"/>
      <c r="AWJ27" s="37"/>
      <c r="AWK27" s="37"/>
      <c r="AWL27" s="37"/>
      <c r="AWM27" s="37"/>
      <c r="AWN27" s="37"/>
      <c r="AWO27" s="37"/>
      <c r="AWP27" s="37"/>
      <c r="AWQ27" s="37"/>
      <c r="AWR27" s="37"/>
      <c r="AWS27" s="37"/>
      <c r="AWT27" s="37"/>
      <c r="AWU27" s="37"/>
      <c r="AWV27" s="37"/>
      <c r="AWW27" s="37"/>
      <c r="AWX27" s="37"/>
      <c r="AWY27" s="37"/>
      <c r="AWZ27" s="37"/>
      <c r="AXA27" s="37"/>
      <c r="AXB27" s="37"/>
      <c r="AXC27" s="37"/>
      <c r="AXD27" s="37"/>
      <c r="AXE27" s="37"/>
      <c r="AXF27" s="37"/>
      <c r="AXG27" s="37"/>
      <c r="AXH27" s="37"/>
      <c r="AXI27" s="37"/>
      <c r="AXJ27" s="37"/>
      <c r="AXK27" s="37"/>
      <c r="AXL27" s="37"/>
      <c r="AXM27" s="37"/>
      <c r="AXN27" s="37"/>
      <c r="AXO27" s="37"/>
      <c r="AXP27" s="37"/>
      <c r="AXQ27" s="37"/>
      <c r="AXR27" s="37"/>
      <c r="AXS27" s="37"/>
      <c r="AXT27" s="37"/>
      <c r="AXU27" s="37"/>
      <c r="AXV27" s="37"/>
      <c r="AXW27" s="37"/>
      <c r="AXX27" s="37"/>
      <c r="AXY27" s="37"/>
      <c r="AXZ27" s="37"/>
      <c r="AYA27" s="37"/>
      <c r="AYB27" s="37"/>
      <c r="AYC27" s="37"/>
      <c r="AYD27" s="37"/>
      <c r="AYE27" s="37"/>
      <c r="AYF27" s="37"/>
      <c r="AYG27" s="37"/>
      <c r="AYH27" s="37"/>
      <c r="AYI27" s="37"/>
      <c r="AYJ27" s="37"/>
      <c r="AYK27" s="37"/>
      <c r="AYL27" s="37"/>
      <c r="AYM27" s="37"/>
      <c r="AYN27" s="37"/>
      <c r="AYO27" s="37"/>
      <c r="AYP27" s="37"/>
      <c r="AYQ27" s="37"/>
      <c r="AYR27" s="37"/>
      <c r="AYS27" s="37"/>
      <c r="AYT27" s="37"/>
      <c r="AYU27" s="37"/>
      <c r="AYV27" s="37"/>
      <c r="AYW27" s="37"/>
      <c r="AYX27" s="37"/>
      <c r="AYY27" s="37"/>
      <c r="AYZ27" s="37"/>
      <c r="AZA27" s="37"/>
      <c r="AZB27" s="37"/>
      <c r="AZC27" s="37"/>
      <c r="AZD27" s="37"/>
      <c r="AZE27" s="37"/>
      <c r="AZF27" s="37"/>
      <c r="AZG27" s="37"/>
      <c r="AZH27" s="37"/>
      <c r="AZI27" s="37"/>
      <c r="AZJ27" s="37"/>
      <c r="AZK27" s="37"/>
      <c r="AZL27" s="37"/>
      <c r="AZM27" s="37"/>
      <c r="AZN27" s="37"/>
      <c r="AZO27" s="37"/>
      <c r="AZP27" s="37"/>
      <c r="AZQ27" s="37"/>
      <c r="AZR27" s="37"/>
      <c r="AZS27" s="37"/>
      <c r="AZT27" s="37"/>
      <c r="AZU27" s="37"/>
      <c r="AZV27" s="37"/>
      <c r="AZW27" s="37"/>
      <c r="AZX27" s="37"/>
      <c r="AZY27" s="37"/>
      <c r="AZZ27" s="37"/>
      <c r="BAA27" s="37"/>
      <c r="BAB27" s="37"/>
      <c r="BAC27" s="37"/>
      <c r="BAD27" s="37"/>
      <c r="BAE27" s="37"/>
      <c r="BAF27" s="37"/>
      <c r="BAG27" s="37"/>
      <c r="BAH27" s="37"/>
      <c r="BAI27" s="37"/>
      <c r="BAJ27" s="37"/>
      <c r="BAK27" s="37"/>
      <c r="BAL27" s="37"/>
      <c r="BAM27" s="37"/>
      <c r="BAN27" s="37"/>
      <c r="BAO27" s="37"/>
      <c r="BAP27" s="37"/>
      <c r="BAQ27" s="37"/>
      <c r="BAR27" s="37"/>
      <c r="BAS27" s="37"/>
      <c r="BAT27" s="37"/>
      <c r="BAU27" s="37"/>
      <c r="BAV27" s="37"/>
      <c r="BAW27" s="37"/>
      <c r="BAX27" s="37"/>
      <c r="BAY27" s="37"/>
      <c r="BAZ27" s="37"/>
      <c r="BBA27" s="37"/>
      <c r="BBB27" s="37"/>
      <c r="BBC27" s="37"/>
      <c r="BBD27" s="37"/>
      <c r="BBE27" s="37"/>
      <c r="BBF27" s="37"/>
      <c r="BBG27" s="37"/>
      <c r="BBH27" s="37"/>
      <c r="BBI27" s="37"/>
      <c r="BBJ27" s="37"/>
      <c r="BBK27" s="37"/>
      <c r="BBL27" s="37"/>
      <c r="BBM27" s="37"/>
      <c r="BBN27" s="37"/>
      <c r="BBO27" s="37"/>
      <c r="BBP27" s="37"/>
      <c r="BBQ27" s="37"/>
      <c r="BBR27" s="37"/>
      <c r="BBS27" s="37"/>
      <c r="BBT27" s="37"/>
      <c r="BBU27" s="37"/>
      <c r="BBV27" s="37"/>
      <c r="BBW27" s="37"/>
      <c r="BBX27" s="37"/>
      <c r="BBY27" s="37"/>
      <c r="BBZ27" s="37"/>
      <c r="BCA27" s="37"/>
      <c r="BCB27" s="37"/>
      <c r="BCC27" s="37"/>
      <c r="BCD27" s="37"/>
      <c r="BCE27" s="37"/>
      <c r="BCF27" s="37"/>
      <c r="BCG27" s="37"/>
      <c r="BCH27" s="37"/>
      <c r="BCI27" s="37"/>
      <c r="BCJ27" s="37"/>
      <c r="BCK27" s="37"/>
      <c r="BCL27" s="37"/>
      <c r="BCM27" s="37"/>
      <c r="BCN27" s="37"/>
      <c r="BCO27" s="37"/>
      <c r="BCP27" s="37"/>
      <c r="BCQ27" s="37"/>
      <c r="BCR27" s="37"/>
      <c r="BCS27" s="37"/>
      <c r="BCT27" s="37"/>
      <c r="BCU27" s="37"/>
      <c r="BCV27" s="37"/>
      <c r="BCW27" s="37"/>
      <c r="BCX27" s="37"/>
      <c r="BCY27" s="37"/>
      <c r="BCZ27" s="37"/>
      <c r="BDA27" s="37"/>
      <c r="BDB27" s="37"/>
      <c r="BDC27" s="37"/>
      <c r="BDD27" s="37"/>
      <c r="BDE27" s="37"/>
      <c r="BDF27" s="37"/>
      <c r="BDG27" s="37"/>
      <c r="BDH27" s="37"/>
      <c r="BDI27" s="37"/>
      <c r="BDJ27" s="37"/>
      <c r="BDK27" s="37"/>
      <c r="BDL27" s="37"/>
      <c r="BDM27" s="37"/>
      <c r="BDN27" s="37"/>
      <c r="BDO27" s="37"/>
      <c r="BDP27" s="37"/>
      <c r="BDQ27" s="37"/>
      <c r="BDR27" s="37"/>
      <c r="BDS27" s="37"/>
      <c r="BDT27" s="37"/>
      <c r="BDU27" s="37"/>
      <c r="BDV27" s="37"/>
      <c r="BDW27" s="37"/>
      <c r="BDX27" s="37"/>
      <c r="BDY27" s="37"/>
      <c r="BDZ27" s="37"/>
      <c r="BEA27" s="37"/>
      <c r="BEB27" s="37"/>
      <c r="BEC27" s="37"/>
      <c r="BED27" s="37"/>
      <c r="BEE27" s="37"/>
      <c r="BEF27" s="37"/>
      <c r="BEG27" s="37"/>
      <c r="BEH27" s="37"/>
      <c r="BEI27" s="37"/>
      <c r="BEJ27" s="37"/>
      <c r="BEK27" s="37"/>
      <c r="BEL27" s="37"/>
      <c r="BEM27" s="37"/>
      <c r="BEN27" s="37"/>
      <c r="BEO27" s="37"/>
      <c r="BEP27" s="37"/>
      <c r="BEQ27" s="37"/>
      <c r="BER27" s="37"/>
      <c r="BES27" s="37"/>
      <c r="BET27" s="37"/>
      <c r="BEU27" s="37"/>
      <c r="BEV27" s="37"/>
      <c r="BEW27" s="37"/>
      <c r="BEX27" s="37"/>
      <c r="BEY27" s="37"/>
      <c r="BEZ27" s="37"/>
      <c r="BFA27" s="37"/>
      <c r="BFB27" s="37"/>
      <c r="BFC27" s="37"/>
      <c r="BFD27" s="37"/>
      <c r="BFE27" s="37"/>
      <c r="BFF27" s="37"/>
      <c r="BFG27" s="37"/>
      <c r="BFH27" s="37"/>
      <c r="BFI27" s="37"/>
      <c r="BFJ27" s="37"/>
      <c r="BFK27" s="37"/>
      <c r="BFL27" s="37"/>
      <c r="BFM27" s="37"/>
      <c r="BFN27" s="37"/>
      <c r="BFO27" s="37"/>
      <c r="BFP27" s="37"/>
      <c r="BFQ27" s="37"/>
      <c r="BFR27" s="37"/>
      <c r="BFS27" s="37"/>
      <c r="BFT27" s="37"/>
      <c r="BFU27" s="37"/>
      <c r="BFV27" s="37"/>
      <c r="BFW27" s="37"/>
      <c r="BFX27" s="37"/>
      <c r="BFY27" s="37"/>
      <c r="BFZ27" s="37"/>
      <c r="BGA27" s="37"/>
      <c r="BGB27" s="37"/>
      <c r="BGC27" s="37"/>
      <c r="BGD27" s="37"/>
      <c r="BGE27" s="37"/>
      <c r="BGF27" s="37"/>
      <c r="BGG27" s="37"/>
      <c r="BGH27" s="37"/>
      <c r="BGI27" s="37"/>
      <c r="BGJ27" s="37"/>
      <c r="BGK27" s="37"/>
      <c r="BGL27" s="37"/>
      <c r="BGM27" s="37"/>
      <c r="BGN27" s="37"/>
      <c r="BGO27" s="37"/>
      <c r="BGP27" s="37"/>
      <c r="BGQ27" s="37"/>
      <c r="BGR27" s="37"/>
      <c r="BGS27" s="37"/>
      <c r="BGT27" s="37"/>
      <c r="BGU27" s="37"/>
      <c r="BGV27" s="37"/>
      <c r="BGW27" s="37"/>
      <c r="BGX27" s="37"/>
      <c r="BGY27" s="37"/>
      <c r="BGZ27" s="37"/>
      <c r="BHA27" s="37"/>
      <c r="BHB27" s="37"/>
      <c r="BHC27" s="37"/>
      <c r="BHD27" s="37"/>
      <c r="BHE27" s="37"/>
      <c r="BHF27" s="37"/>
      <c r="BHG27" s="37"/>
      <c r="BHH27" s="37"/>
      <c r="BHI27" s="37"/>
      <c r="BHJ27" s="37"/>
      <c r="BHK27" s="37"/>
      <c r="BHL27" s="37"/>
      <c r="BHM27" s="37"/>
      <c r="BHN27" s="37"/>
      <c r="BHO27" s="37"/>
      <c r="BHP27" s="37"/>
      <c r="BHQ27" s="37"/>
      <c r="BHR27" s="37"/>
      <c r="BHS27" s="37"/>
      <c r="BHT27" s="37"/>
      <c r="BHU27" s="37"/>
      <c r="BHV27" s="37"/>
      <c r="BHW27" s="37"/>
      <c r="BHX27" s="37"/>
      <c r="BHY27" s="37"/>
      <c r="BHZ27" s="37"/>
      <c r="BIA27" s="37"/>
      <c r="BIB27" s="37"/>
      <c r="BIC27" s="37"/>
      <c r="BID27" s="37"/>
      <c r="BIE27" s="37"/>
      <c r="BIF27" s="37"/>
      <c r="BIG27" s="37"/>
      <c r="BIH27" s="37"/>
      <c r="BII27" s="37"/>
      <c r="BIJ27" s="37"/>
      <c r="BIK27" s="37"/>
      <c r="BIL27" s="37"/>
      <c r="BIM27" s="37"/>
      <c r="BIN27" s="37"/>
      <c r="BIO27" s="37"/>
      <c r="BIP27" s="37"/>
      <c r="BIQ27" s="37"/>
      <c r="BIR27" s="37"/>
      <c r="BIS27" s="37"/>
      <c r="BIT27" s="37"/>
      <c r="BIU27" s="37"/>
      <c r="BIV27" s="37"/>
      <c r="BIW27" s="37"/>
      <c r="BIX27" s="37"/>
      <c r="BIY27" s="37"/>
      <c r="BIZ27" s="37"/>
      <c r="BJA27" s="37"/>
      <c r="BJB27" s="37"/>
      <c r="BJC27" s="37"/>
      <c r="BJD27" s="37"/>
      <c r="BJE27" s="37"/>
      <c r="BJF27" s="37"/>
      <c r="BJG27" s="37"/>
      <c r="BJH27" s="37"/>
      <c r="BJI27" s="37"/>
      <c r="BJJ27" s="37"/>
      <c r="BJK27" s="37"/>
      <c r="BJL27" s="37"/>
      <c r="BJM27" s="37"/>
      <c r="BJN27" s="37"/>
      <c r="BJO27" s="37"/>
      <c r="BJP27" s="37"/>
      <c r="BJQ27" s="37"/>
      <c r="BJR27" s="37"/>
      <c r="BJS27" s="37"/>
      <c r="BJT27" s="37"/>
      <c r="BJU27" s="37"/>
      <c r="BJV27" s="37"/>
      <c r="BJW27" s="37"/>
      <c r="BJX27" s="37"/>
      <c r="BJY27" s="37"/>
      <c r="BJZ27" s="37"/>
      <c r="BKA27" s="37"/>
      <c r="BKB27" s="37"/>
      <c r="BKC27" s="37"/>
      <c r="BKD27" s="37"/>
      <c r="BKE27" s="37"/>
      <c r="BKF27" s="37"/>
      <c r="BKG27" s="37"/>
      <c r="BKH27" s="37"/>
      <c r="BKI27" s="37"/>
      <c r="BKJ27" s="37"/>
      <c r="BKK27" s="37"/>
      <c r="BKL27" s="37"/>
      <c r="BKM27" s="37"/>
      <c r="BKN27" s="37"/>
      <c r="BKO27" s="37"/>
      <c r="BKP27" s="37"/>
      <c r="BKQ27" s="37"/>
      <c r="BKR27" s="37"/>
      <c r="BKS27" s="37"/>
      <c r="BKT27" s="37"/>
      <c r="BKU27" s="37"/>
      <c r="BKV27" s="37"/>
      <c r="BKW27" s="37"/>
      <c r="BKX27" s="37"/>
      <c r="BKY27" s="37"/>
      <c r="BKZ27" s="37"/>
      <c r="BLA27" s="37"/>
      <c r="BLB27" s="37"/>
      <c r="BLC27" s="37"/>
      <c r="BLD27" s="37"/>
      <c r="BLE27" s="37"/>
      <c r="BLF27" s="37"/>
      <c r="BLG27" s="37"/>
      <c r="BLH27" s="37"/>
      <c r="BLI27" s="37"/>
      <c r="BLJ27" s="37"/>
      <c r="BLK27" s="37"/>
      <c r="BLL27" s="37"/>
      <c r="BLM27" s="37"/>
      <c r="BLN27" s="37"/>
      <c r="BLO27" s="37"/>
      <c r="BLP27" s="37"/>
      <c r="BLQ27" s="37"/>
      <c r="BLR27" s="37"/>
      <c r="BLS27" s="37"/>
      <c r="BLT27" s="37"/>
      <c r="BLU27" s="37"/>
      <c r="BLV27" s="37"/>
      <c r="BLW27" s="37"/>
      <c r="BLX27" s="37"/>
      <c r="BLY27" s="37"/>
      <c r="BLZ27" s="37"/>
      <c r="BMA27" s="37"/>
      <c r="BMB27" s="37"/>
      <c r="BMC27" s="37"/>
      <c r="BMD27" s="37"/>
      <c r="BME27" s="37"/>
      <c r="BMF27" s="37"/>
      <c r="BMG27" s="37"/>
      <c r="BMH27" s="37"/>
      <c r="BMI27" s="37"/>
      <c r="BMJ27" s="37"/>
      <c r="BMK27" s="37"/>
      <c r="BML27" s="37"/>
      <c r="BMM27" s="37"/>
      <c r="BMN27" s="37"/>
      <c r="BMO27" s="37"/>
      <c r="BMP27" s="37"/>
      <c r="BMQ27" s="37"/>
      <c r="BMR27" s="37"/>
      <c r="BMS27" s="37"/>
      <c r="BMT27" s="37"/>
      <c r="BMU27" s="37"/>
      <c r="BMV27" s="37"/>
      <c r="BMW27" s="37"/>
      <c r="BMX27" s="37"/>
      <c r="BMY27" s="37"/>
      <c r="BMZ27" s="37"/>
      <c r="BNA27" s="37"/>
      <c r="BNB27" s="37"/>
      <c r="BNC27" s="37"/>
      <c r="BND27" s="37"/>
      <c r="BNE27" s="37"/>
      <c r="BNF27" s="37"/>
      <c r="BNG27" s="37"/>
      <c r="BNH27" s="37"/>
      <c r="BNI27" s="37"/>
      <c r="BNJ27" s="37"/>
      <c r="BNK27" s="37"/>
      <c r="BNL27" s="37"/>
      <c r="BNM27" s="37"/>
      <c r="BNN27" s="37"/>
      <c r="BNO27" s="37"/>
      <c r="BNP27" s="37"/>
      <c r="BNQ27" s="37"/>
      <c r="BNR27" s="37"/>
      <c r="BNS27" s="37"/>
      <c r="BNT27" s="37"/>
      <c r="BNU27" s="37"/>
      <c r="BNV27" s="37"/>
      <c r="BNW27" s="37"/>
      <c r="BNX27" s="37"/>
      <c r="BNY27" s="37"/>
      <c r="BNZ27" s="37"/>
      <c r="BOA27" s="37"/>
      <c r="BOB27" s="37"/>
      <c r="BOC27" s="37"/>
      <c r="BOD27" s="37"/>
      <c r="BOE27" s="37"/>
      <c r="BOF27" s="37"/>
      <c r="BOG27" s="37"/>
      <c r="BOH27" s="37"/>
      <c r="BOI27" s="37"/>
      <c r="BOJ27" s="37"/>
      <c r="BOK27" s="37"/>
      <c r="BOL27" s="37"/>
      <c r="BOM27" s="37"/>
      <c r="BON27" s="37"/>
      <c r="BOO27" s="37"/>
      <c r="BOP27" s="37"/>
      <c r="BOQ27" s="37"/>
      <c r="BOR27" s="37"/>
      <c r="BOS27" s="37"/>
      <c r="BOT27" s="37"/>
      <c r="BOU27" s="37"/>
      <c r="BOV27" s="37"/>
      <c r="BOW27" s="37"/>
      <c r="BOX27" s="37"/>
      <c r="BOY27" s="37"/>
      <c r="BOZ27" s="37"/>
      <c r="BPA27" s="37"/>
      <c r="BPB27" s="37"/>
      <c r="BPC27" s="37"/>
      <c r="BPD27" s="37"/>
      <c r="BPE27" s="37"/>
      <c r="BPF27" s="37"/>
      <c r="BPG27" s="37"/>
      <c r="BPH27" s="37"/>
      <c r="BPI27" s="37"/>
      <c r="BPJ27" s="37"/>
      <c r="BPK27" s="37"/>
      <c r="BPL27" s="37"/>
      <c r="BPM27" s="37"/>
      <c r="BPN27" s="37"/>
      <c r="BPO27" s="37"/>
      <c r="BPP27" s="37"/>
      <c r="BPQ27" s="37"/>
      <c r="BPR27" s="37"/>
      <c r="BPS27" s="37"/>
      <c r="BPT27" s="37"/>
      <c r="BPU27" s="37"/>
      <c r="BPV27" s="37"/>
      <c r="BPW27" s="37"/>
      <c r="BPX27" s="37"/>
      <c r="BPY27" s="37"/>
      <c r="BPZ27" s="37"/>
      <c r="BQA27" s="37"/>
      <c r="BQB27" s="37"/>
      <c r="BQC27" s="37"/>
      <c r="BQD27" s="37"/>
      <c r="BQE27" s="37"/>
      <c r="BQF27" s="37"/>
      <c r="BQG27" s="37"/>
      <c r="BQH27" s="37"/>
      <c r="BQI27" s="37"/>
      <c r="BQJ27" s="37"/>
      <c r="BQK27" s="37"/>
      <c r="BQL27" s="37"/>
      <c r="BQM27" s="37"/>
      <c r="BQN27" s="37"/>
      <c r="BQO27" s="37"/>
      <c r="BQP27" s="37"/>
      <c r="BQQ27" s="37"/>
      <c r="BQR27" s="37"/>
      <c r="BQS27" s="37"/>
      <c r="BQT27" s="37"/>
      <c r="BQU27" s="37"/>
      <c r="BQV27" s="37"/>
      <c r="BQW27" s="37"/>
      <c r="BQX27" s="37"/>
      <c r="BQY27" s="37"/>
      <c r="BQZ27" s="37"/>
      <c r="BRA27" s="37"/>
      <c r="BRB27" s="37"/>
      <c r="BRC27" s="37"/>
      <c r="BRD27" s="37"/>
      <c r="BRE27" s="37"/>
      <c r="BRF27" s="37"/>
      <c r="BRG27" s="37"/>
      <c r="BRH27" s="37"/>
      <c r="BRI27" s="37"/>
      <c r="BRJ27" s="37"/>
      <c r="BRK27" s="37"/>
      <c r="BRL27" s="37"/>
      <c r="BRM27" s="37"/>
      <c r="BRN27" s="37"/>
      <c r="BRO27" s="37"/>
      <c r="BRP27" s="37"/>
      <c r="BRQ27" s="37"/>
      <c r="BRR27" s="37"/>
      <c r="BRS27" s="37"/>
      <c r="BRT27" s="37"/>
      <c r="BRU27" s="37"/>
      <c r="BRV27" s="37"/>
      <c r="BRW27" s="37"/>
      <c r="BRX27" s="37"/>
      <c r="BRY27" s="37"/>
      <c r="BRZ27" s="37"/>
      <c r="BSA27" s="37"/>
      <c r="BSB27" s="37"/>
      <c r="BSC27" s="37"/>
      <c r="BSD27" s="37"/>
      <c r="BSE27" s="37"/>
      <c r="BSF27" s="37"/>
      <c r="BSG27" s="37"/>
      <c r="BSH27" s="37"/>
      <c r="BSI27" s="37"/>
      <c r="BSJ27" s="37"/>
      <c r="BSK27" s="37"/>
      <c r="BSL27" s="37"/>
      <c r="BSM27" s="37"/>
      <c r="BSN27" s="37"/>
      <c r="BSO27" s="37"/>
      <c r="BSP27" s="37"/>
      <c r="BSQ27" s="37"/>
      <c r="BSR27" s="37"/>
      <c r="BSS27" s="37"/>
      <c r="BST27" s="37"/>
      <c r="BSU27" s="37"/>
      <c r="BSV27" s="37"/>
      <c r="BSW27" s="37"/>
      <c r="BSX27" s="37"/>
      <c r="BSY27" s="37"/>
      <c r="BSZ27" s="37"/>
      <c r="BTA27" s="37"/>
      <c r="BTB27" s="37"/>
      <c r="BTC27" s="37"/>
      <c r="BTD27" s="37"/>
      <c r="BTE27" s="37"/>
      <c r="BTF27" s="37"/>
      <c r="BTG27" s="37"/>
      <c r="BTH27" s="37"/>
      <c r="BTI27" s="37"/>
      <c r="BTJ27" s="37"/>
      <c r="BTK27" s="37"/>
      <c r="BTL27" s="37"/>
      <c r="BTM27" s="37"/>
      <c r="BTN27" s="37"/>
      <c r="BTO27" s="37"/>
      <c r="BTP27" s="37"/>
      <c r="BTQ27" s="37"/>
      <c r="BTR27" s="37"/>
      <c r="BTS27" s="37"/>
      <c r="BTT27" s="37"/>
      <c r="BTU27" s="37"/>
      <c r="BTV27" s="37"/>
      <c r="BTW27" s="37"/>
      <c r="BTX27" s="37"/>
      <c r="BTY27" s="37"/>
      <c r="BTZ27" s="37"/>
      <c r="BUA27" s="37"/>
      <c r="BUB27" s="37"/>
      <c r="BUC27" s="37"/>
      <c r="BUD27" s="37"/>
      <c r="BUE27" s="37"/>
      <c r="BUF27" s="37"/>
      <c r="BUG27" s="37"/>
      <c r="BUH27" s="37"/>
      <c r="BUI27" s="37"/>
      <c r="BUJ27" s="37"/>
      <c r="BUK27" s="37"/>
      <c r="BUL27" s="37"/>
      <c r="BUM27" s="37"/>
      <c r="BUN27" s="37"/>
      <c r="BUO27" s="37"/>
      <c r="BUP27" s="37"/>
      <c r="BUQ27" s="37"/>
      <c r="BUR27" s="37"/>
      <c r="BUS27" s="37"/>
      <c r="BUT27" s="37"/>
      <c r="BUU27" s="37"/>
      <c r="BUV27" s="37"/>
      <c r="BUW27" s="37"/>
      <c r="BUX27" s="37"/>
      <c r="BUY27" s="37"/>
      <c r="BUZ27" s="37"/>
      <c r="BVA27" s="37"/>
      <c r="BVB27" s="37"/>
      <c r="BVC27" s="37"/>
      <c r="BVD27" s="37"/>
      <c r="BVE27" s="37"/>
      <c r="BVF27" s="37"/>
      <c r="BVG27" s="37"/>
      <c r="BVH27" s="37"/>
      <c r="BVI27" s="37"/>
      <c r="BVJ27" s="37"/>
      <c r="BVK27" s="37"/>
      <c r="BVL27" s="37"/>
      <c r="BVM27" s="37"/>
      <c r="BVN27" s="37"/>
      <c r="BVO27" s="37"/>
      <c r="BVP27" s="37"/>
      <c r="BVQ27" s="37"/>
      <c r="BVR27" s="37"/>
      <c r="BVS27" s="37"/>
      <c r="BVT27" s="37"/>
      <c r="BVU27" s="37"/>
      <c r="BVV27" s="37"/>
      <c r="BVW27" s="37"/>
      <c r="BVX27" s="37"/>
      <c r="BVY27" s="37"/>
      <c r="BVZ27" s="37"/>
      <c r="BWA27" s="37"/>
      <c r="BWB27" s="37"/>
      <c r="BWC27" s="37"/>
      <c r="BWD27" s="37"/>
      <c r="BWE27" s="37"/>
      <c r="BWF27" s="37"/>
      <c r="BWG27" s="37"/>
      <c r="BWH27" s="37"/>
      <c r="BWI27" s="37"/>
      <c r="BWJ27" s="37"/>
    </row>
    <row r="28" spans="1:1960" x14ac:dyDescent="0.25">
      <c r="A28" s="38">
        <v>23</v>
      </c>
      <c r="B28" s="39">
        <v>20</v>
      </c>
      <c r="C28" s="40">
        <v>1000</v>
      </c>
      <c r="D28" s="41" t="s">
        <v>23</v>
      </c>
      <c r="E28" s="271">
        <f ca="1"/>
        <v>69</v>
      </c>
      <c r="F28" s="33">
        <v>-100</v>
      </c>
      <c r="G28" s="33">
        <v>1000</v>
      </c>
      <c r="H28" s="43">
        <f ca="1"/>
        <v>-100</v>
      </c>
      <c r="I28" s="33">
        <f ca="1"/>
        <v>52.4</v>
      </c>
      <c r="J28" s="35">
        <v>23</v>
      </c>
      <c r="K28" s="36">
        <v>120</v>
      </c>
      <c r="L28" s="37">
        <v>120</v>
      </c>
      <c r="M28" s="37">
        <v>120</v>
      </c>
      <c r="N28" s="37">
        <v>120</v>
      </c>
      <c r="O28" s="37">
        <v>120</v>
      </c>
      <c r="P28" s="37">
        <v>120</v>
      </c>
      <c r="Q28" s="37">
        <v>120</v>
      </c>
      <c r="R28" s="37">
        <v>120</v>
      </c>
      <c r="S28" s="37">
        <v>120</v>
      </c>
      <c r="T28" s="37">
        <v>120</v>
      </c>
      <c r="U28" s="37">
        <v>120</v>
      </c>
      <c r="V28" s="37">
        <v>120</v>
      </c>
      <c r="W28" s="37">
        <v>120</v>
      </c>
      <c r="X28" s="37">
        <v>120</v>
      </c>
      <c r="Y28" s="37">
        <v>120</v>
      </c>
      <c r="Z28" s="37">
        <v>120</v>
      </c>
      <c r="AA28" s="37">
        <v>120</v>
      </c>
      <c r="AB28" s="37">
        <v>120</v>
      </c>
      <c r="AC28" s="37">
        <v>120</v>
      </c>
      <c r="AD28" s="37">
        <v>120</v>
      </c>
      <c r="AE28" s="37">
        <v>120</v>
      </c>
      <c r="AF28" s="37">
        <v>120</v>
      </c>
      <c r="AG28" s="37">
        <v>120</v>
      </c>
      <c r="AH28" s="37">
        <v>120</v>
      </c>
      <c r="AI28" s="37">
        <v>120</v>
      </c>
      <c r="AJ28" s="37">
        <v>120</v>
      </c>
      <c r="AK28" s="37">
        <v>120</v>
      </c>
      <c r="AL28" s="37">
        <v>120</v>
      </c>
      <c r="AM28" s="37">
        <v>120</v>
      </c>
      <c r="AN28" s="37">
        <v>120</v>
      </c>
      <c r="AO28" s="37">
        <v>120</v>
      </c>
      <c r="AP28" s="37">
        <v>120</v>
      </c>
      <c r="AQ28" s="37">
        <v>120</v>
      </c>
      <c r="AR28" s="37">
        <v>120</v>
      </c>
      <c r="AS28" s="37">
        <v>120</v>
      </c>
      <c r="AT28" s="37">
        <v>120</v>
      </c>
      <c r="AU28" s="37">
        <v>120</v>
      </c>
      <c r="AV28" s="37">
        <v>120</v>
      </c>
      <c r="AW28" s="37">
        <v>120</v>
      </c>
      <c r="AX28" s="37">
        <v>120</v>
      </c>
      <c r="AY28" s="37">
        <v>120</v>
      </c>
      <c r="AZ28" s="37">
        <v>120</v>
      </c>
      <c r="BA28" s="37">
        <v>120</v>
      </c>
      <c r="BB28" s="37">
        <v>120</v>
      </c>
      <c r="BC28" s="37">
        <v>120</v>
      </c>
      <c r="BD28" s="37">
        <v>120</v>
      </c>
      <c r="BE28" s="37">
        <v>120</v>
      </c>
      <c r="BF28" s="37">
        <v>120</v>
      </c>
      <c r="BG28" s="37">
        <v>120</v>
      </c>
      <c r="BH28" s="37">
        <v>95</v>
      </c>
      <c r="BI28" s="37">
        <v>95</v>
      </c>
      <c r="BJ28" s="37">
        <v>70</v>
      </c>
      <c r="BK28" s="37">
        <v>70</v>
      </c>
      <c r="BL28" s="37">
        <v>45</v>
      </c>
      <c r="BM28" s="37">
        <v>45</v>
      </c>
      <c r="BN28" s="37">
        <v>20</v>
      </c>
      <c r="BO28" s="37">
        <v>20</v>
      </c>
      <c r="BP28" s="37">
        <v>20</v>
      </c>
      <c r="BQ28" s="37">
        <v>20</v>
      </c>
      <c r="BR28" s="37">
        <v>20</v>
      </c>
      <c r="BS28" s="37">
        <v>20</v>
      </c>
      <c r="BT28" s="37">
        <v>20</v>
      </c>
      <c r="BU28" s="37">
        <v>20</v>
      </c>
      <c r="BV28" s="37">
        <v>20</v>
      </c>
      <c r="BW28" s="37">
        <v>20</v>
      </c>
      <c r="BX28" s="37">
        <v>20</v>
      </c>
      <c r="BY28" s="37">
        <v>20</v>
      </c>
      <c r="BZ28" s="37">
        <v>20</v>
      </c>
      <c r="CA28" s="37">
        <v>0</v>
      </c>
      <c r="CB28" s="37">
        <v>0</v>
      </c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  <c r="AMD28" s="37"/>
      <c r="AME28" s="37"/>
      <c r="AMF28" s="37"/>
      <c r="AMG28" s="37"/>
      <c r="AMH28" s="37"/>
      <c r="AMI28" s="37"/>
      <c r="AMJ28" s="37"/>
      <c r="AMK28" s="37"/>
      <c r="AML28" s="37"/>
      <c r="AMM28" s="37"/>
      <c r="AMN28" s="37"/>
      <c r="AMO28" s="37"/>
      <c r="AMP28" s="37"/>
      <c r="AMQ28" s="37"/>
      <c r="AMR28" s="37"/>
      <c r="AMS28" s="37"/>
      <c r="AMT28" s="37"/>
      <c r="AMU28" s="37"/>
      <c r="AMV28" s="37"/>
      <c r="AMW28" s="37"/>
      <c r="AMX28" s="37"/>
      <c r="AMY28" s="37"/>
      <c r="AMZ28" s="37"/>
      <c r="ANA28" s="37"/>
      <c r="ANB28" s="37"/>
      <c r="ANC28" s="37"/>
      <c r="AND28" s="37"/>
      <c r="ANE28" s="37"/>
      <c r="ANF28" s="37"/>
      <c r="ANG28" s="37"/>
      <c r="ANH28" s="37"/>
      <c r="ANI28" s="37"/>
      <c r="ANJ28" s="37"/>
      <c r="ANK28" s="37"/>
      <c r="ANL28" s="37"/>
      <c r="ANM28" s="37"/>
      <c r="ANN28" s="37"/>
      <c r="ANO28" s="37"/>
      <c r="ANP28" s="37"/>
      <c r="ANQ28" s="37"/>
      <c r="ANR28" s="37"/>
      <c r="ANS28" s="37"/>
      <c r="ANT28" s="37"/>
      <c r="ANU28" s="37"/>
      <c r="ANV28" s="37"/>
      <c r="ANW28" s="37"/>
      <c r="ANX28" s="37"/>
      <c r="ANY28" s="37"/>
      <c r="ANZ28" s="37"/>
      <c r="AOA28" s="37"/>
      <c r="AOB28" s="37"/>
      <c r="AOC28" s="37"/>
      <c r="AOD28" s="37"/>
      <c r="AOE28" s="37"/>
      <c r="AOF28" s="37"/>
      <c r="AOG28" s="37"/>
      <c r="AOH28" s="37"/>
      <c r="AOI28" s="37"/>
      <c r="AOJ28" s="37"/>
      <c r="AOK28" s="37"/>
      <c r="AOL28" s="37"/>
      <c r="AOM28" s="37"/>
      <c r="AON28" s="37"/>
      <c r="AOO28" s="37"/>
      <c r="AOP28" s="37"/>
      <c r="AOQ28" s="37"/>
      <c r="AOR28" s="37"/>
      <c r="AOS28" s="37"/>
      <c r="AOT28" s="37"/>
      <c r="AOU28" s="37"/>
      <c r="AOV28" s="37"/>
      <c r="AOW28" s="37"/>
      <c r="AOX28" s="37"/>
      <c r="AOY28" s="37"/>
      <c r="AOZ28" s="37"/>
      <c r="APA28" s="37"/>
      <c r="APB28" s="37"/>
      <c r="APC28" s="37"/>
      <c r="APD28" s="37"/>
      <c r="APE28" s="37"/>
      <c r="APF28" s="37"/>
      <c r="APG28" s="37"/>
      <c r="APH28" s="37"/>
      <c r="API28" s="37"/>
      <c r="APJ28" s="37"/>
      <c r="APK28" s="37"/>
      <c r="APL28" s="37"/>
      <c r="APM28" s="37"/>
      <c r="APN28" s="37"/>
      <c r="APO28" s="37"/>
      <c r="APP28" s="37"/>
      <c r="APQ28" s="37"/>
      <c r="APR28" s="37"/>
      <c r="APS28" s="37"/>
      <c r="APT28" s="37"/>
      <c r="APU28" s="37"/>
      <c r="APV28" s="37"/>
      <c r="APW28" s="37"/>
      <c r="APX28" s="37"/>
      <c r="APY28" s="37"/>
      <c r="APZ28" s="37"/>
      <c r="AQA28" s="37"/>
      <c r="AQB28" s="37"/>
      <c r="AQC28" s="37"/>
      <c r="AQD28" s="37"/>
      <c r="AQE28" s="37"/>
      <c r="AQF28" s="37"/>
      <c r="AQG28" s="37"/>
      <c r="AQH28" s="37"/>
      <c r="AQI28" s="37"/>
      <c r="AQJ28" s="37"/>
      <c r="AQK28" s="37"/>
      <c r="AQL28" s="37"/>
      <c r="AQM28" s="37"/>
      <c r="AQN28" s="37"/>
      <c r="AQO28" s="37"/>
      <c r="AQP28" s="37"/>
      <c r="AQQ28" s="37"/>
      <c r="AQR28" s="37"/>
      <c r="AQS28" s="37"/>
      <c r="AQT28" s="37"/>
      <c r="AQU28" s="37"/>
      <c r="AQV28" s="37"/>
      <c r="AQW28" s="37"/>
      <c r="AQX28" s="37"/>
      <c r="AQY28" s="37"/>
      <c r="AQZ28" s="37"/>
      <c r="ARA28" s="37"/>
      <c r="ARB28" s="37"/>
      <c r="ARC28" s="37"/>
      <c r="ARD28" s="37"/>
      <c r="ARE28" s="37"/>
      <c r="ARF28" s="37"/>
      <c r="ARG28" s="37"/>
      <c r="ARH28" s="37"/>
      <c r="ARI28" s="37"/>
      <c r="ARJ28" s="37"/>
      <c r="ARK28" s="37"/>
      <c r="ARL28" s="37"/>
      <c r="ARM28" s="37"/>
      <c r="ARN28" s="37"/>
      <c r="ARO28" s="37"/>
      <c r="ARP28" s="37"/>
      <c r="ARQ28" s="37"/>
      <c r="ARR28" s="37"/>
      <c r="ARS28" s="37"/>
      <c r="ART28" s="37"/>
      <c r="ARU28" s="37"/>
      <c r="ARV28" s="37"/>
      <c r="ARW28" s="37"/>
      <c r="ARX28" s="37"/>
      <c r="ARY28" s="37"/>
      <c r="ARZ28" s="37"/>
      <c r="ASA28" s="37"/>
      <c r="ASB28" s="37"/>
      <c r="ASC28" s="37"/>
      <c r="ASD28" s="37"/>
      <c r="ASE28" s="37"/>
      <c r="ASF28" s="37"/>
      <c r="ASG28" s="37"/>
      <c r="ASH28" s="37"/>
      <c r="ASI28" s="37"/>
      <c r="ASJ28" s="37"/>
      <c r="ASK28" s="37"/>
      <c r="ASL28" s="37"/>
      <c r="ASM28" s="37"/>
      <c r="ASN28" s="37"/>
      <c r="ASO28" s="37"/>
      <c r="ASP28" s="37"/>
      <c r="ASQ28" s="37"/>
      <c r="ASR28" s="37"/>
      <c r="ASS28" s="37"/>
      <c r="AST28" s="37"/>
      <c r="ASU28" s="37"/>
      <c r="ASV28" s="37"/>
      <c r="ASW28" s="37"/>
      <c r="ASX28" s="37"/>
      <c r="ASY28" s="37"/>
      <c r="ASZ28" s="37"/>
      <c r="ATA28" s="37"/>
      <c r="ATB28" s="37"/>
      <c r="ATC28" s="37"/>
      <c r="ATD28" s="37"/>
      <c r="ATE28" s="37"/>
      <c r="ATF28" s="37"/>
      <c r="ATG28" s="37"/>
      <c r="ATH28" s="37"/>
      <c r="ATI28" s="37"/>
      <c r="ATJ28" s="37"/>
      <c r="ATK28" s="37"/>
      <c r="ATL28" s="37"/>
      <c r="ATM28" s="37"/>
      <c r="ATN28" s="37"/>
      <c r="ATO28" s="37"/>
      <c r="ATP28" s="37"/>
      <c r="ATQ28" s="37"/>
      <c r="ATR28" s="37"/>
      <c r="ATS28" s="37"/>
      <c r="ATT28" s="37"/>
      <c r="ATU28" s="37"/>
      <c r="ATV28" s="37"/>
      <c r="ATW28" s="37"/>
      <c r="ATX28" s="37"/>
      <c r="ATY28" s="37"/>
      <c r="ATZ28" s="37"/>
      <c r="AUA28" s="37"/>
      <c r="AUB28" s="37"/>
      <c r="AUC28" s="37"/>
      <c r="AUD28" s="37"/>
      <c r="AUE28" s="37"/>
      <c r="AUF28" s="37"/>
      <c r="AUG28" s="37"/>
      <c r="AUH28" s="37"/>
      <c r="AUI28" s="37"/>
      <c r="AUJ28" s="37"/>
      <c r="AUK28" s="37"/>
      <c r="AUL28" s="37"/>
      <c r="AUM28" s="37"/>
      <c r="AUN28" s="37"/>
      <c r="AUO28" s="37"/>
      <c r="AUP28" s="37"/>
      <c r="AUQ28" s="37"/>
      <c r="AUR28" s="37"/>
      <c r="AUS28" s="37"/>
      <c r="AUT28" s="37"/>
      <c r="AUU28" s="37"/>
      <c r="AUV28" s="37"/>
      <c r="AUW28" s="37"/>
      <c r="AUX28" s="37"/>
      <c r="AUY28" s="37"/>
      <c r="AUZ28" s="37"/>
      <c r="AVA28" s="37"/>
      <c r="AVB28" s="37"/>
      <c r="AVC28" s="37"/>
      <c r="AVD28" s="37"/>
      <c r="AVE28" s="37"/>
      <c r="AVF28" s="37"/>
      <c r="AVG28" s="37"/>
      <c r="AVH28" s="37"/>
      <c r="AVI28" s="37"/>
      <c r="AVJ28" s="37"/>
      <c r="AVK28" s="37"/>
      <c r="AVL28" s="37"/>
      <c r="AVM28" s="37"/>
      <c r="AVN28" s="37"/>
      <c r="AVO28" s="37"/>
      <c r="AVP28" s="37"/>
      <c r="AVQ28" s="37"/>
      <c r="AVR28" s="37"/>
      <c r="AVS28" s="37"/>
      <c r="AVT28" s="37"/>
      <c r="AVU28" s="37"/>
      <c r="AVV28" s="37"/>
      <c r="AVW28" s="37"/>
      <c r="AVX28" s="37"/>
      <c r="AVY28" s="37"/>
      <c r="AVZ28" s="37"/>
      <c r="AWA28" s="37"/>
      <c r="AWB28" s="37"/>
      <c r="AWC28" s="37"/>
      <c r="AWD28" s="37"/>
      <c r="AWE28" s="37"/>
      <c r="AWF28" s="37"/>
      <c r="AWG28" s="37"/>
      <c r="AWH28" s="37"/>
      <c r="AWI28" s="37"/>
      <c r="AWJ28" s="37"/>
      <c r="AWK28" s="37"/>
      <c r="AWL28" s="37"/>
      <c r="AWM28" s="37"/>
      <c r="AWN28" s="37"/>
      <c r="AWO28" s="37"/>
      <c r="AWP28" s="37"/>
      <c r="AWQ28" s="37"/>
      <c r="AWR28" s="37"/>
      <c r="AWS28" s="37"/>
      <c r="AWT28" s="37"/>
      <c r="AWU28" s="37"/>
      <c r="AWV28" s="37"/>
      <c r="AWW28" s="37"/>
      <c r="AWX28" s="37"/>
      <c r="AWY28" s="37"/>
      <c r="AWZ28" s="37"/>
      <c r="AXA28" s="37"/>
      <c r="AXB28" s="37"/>
      <c r="AXC28" s="37"/>
      <c r="AXD28" s="37"/>
      <c r="AXE28" s="37"/>
      <c r="AXF28" s="37"/>
      <c r="AXG28" s="37"/>
      <c r="AXH28" s="37"/>
      <c r="AXI28" s="37"/>
      <c r="AXJ28" s="37"/>
      <c r="AXK28" s="37"/>
      <c r="AXL28" s="37"/>
      <c r="AXM28" s="37"/>
      <c r="AXN28" s="37"/>
      <c r="AXO28" s="37"/>
      <c r="AXP28" s="37"/>
      <c r="AXQ28" s="37"/>
      <c r="AXR28" s="37"/>
      <c r="AXS28" s="37"/>
      <c r="AXT28" s="37"/>
      <c r="AXU28" s="37"/>
      <c r="AXV28" s="37"/>
      <c r="AXW28" s="37"/>
      <c r="AXX28" s="37"/>
      <c r="AXY28" s="37"/>
      <c r="AXZ28" s="37"/>
      <c r="AYA28" s="37"/>
      <c r="AYB28" s="37"/>
      <c r="AYC28" s="37"/>
      <c r="AYD28" s="37"/>
      <c r="AYE28" s="37"/>
      <c r="AYF28" s="37"/>
      <c r="AYG28" s="37"/>
      <c r="AYH28" s="37"/>
      <c r="AYI28" s="37"/>
      <c r="AYJ28" s="37"/>
      <c r="AYK28" s="37"/>
      <c r="AYL28" s="37"/>
      <c r="AYM28" s="37"/>
      <c r="AYN28" s="37"/>
      <c r="AYO28" s="37"/>
      <c r="AYP28" s="37"/>
      <c r="AYQ28" s="37"/>
      <c r="AYR28" s="37"/>
      <c r="AYS28" s="37"/>
      <c r="AYT28" s="37"/>
      <c r="AYU28" s="37"/>
      <c r="AYV28" s="37"/>
      <c r="AYW28" s="37"/>
      <c r="AYX28" s="37"/>
      <c r="AYY28" s="37"/>
      <c r="AYZ28" s="37"/>
      <c r="AZA28" s="37"/>
      <c r="AZB28" s="37"/>
      <c r="AZC28" s="37"/>
      <c r="AZD28" s="37"/>
      <c r="AZE28" s="37"/>
      <c r="AZF28" s="37"/>
      <c r="AZG28" s="37"/>
      <c r="AZH28" s="37"/>
      <c r="AZI28" s="37"/>
      <c r="AZJ28" s="37"/>
      <c r="AZK28" s="37"/>
      <c r="AZL28" s="37"/>
      <c r="AZM28" s="37"/>
      <c r="AZN28" s="37"/>
      <c r="AZO28" s="37"/>
      <c r="AZP28" s="37"/>
      <c r="AZQ28" s="37"/>
      <c r="AZR28" s="37"/>
      <c r="AZS28" s="37"/>
      <c r="AZT28" s="37"/>
      <c r="AZU28" s="37"/>
      <c r="AZV28" s="37"/>
      <c r="AZW28" s="37"/>
      <c r="AZX28" s="37"/>
      <c r="AZY28" s="37"/>
      <c r="AZZ28" s="37"/>
      <c r="BAA28" s="37"/>
      <c r="BAB28" s="37"/>
      <c r="BAC28" s="37"/>
      <c r="BAD28" s="37"/>
      <c r="BAE28" s="37"/>
      <c r="BAF28" s="37"/>
      <c r="BAG28" s="37"/>
      <c r="BAH28" s="37"/>
      <c r="BAI28" s="37"/>
      <c r="BAJ28" s="37"/>
      <c r="BAK28" s="37"/>
      <c r="BAL28" s="37"/>
      <c r="BAM28" s="37"/>
      <c r="BAN28" s="37"/>
      <c r="BAO28" s="37"/>
      <c r="BAP28" s="37"/>
      <c r="BAQ28" s="37"/>
      <c r="BAR28" s="37"/>
      <c r="BAS28" s="37"/>
      <c r="BAT28" s="37"/>
      <c r="BAU28" s="37"/>
      <c r="BAV28" s="37"/>
      <c r="BAW28" s="37"/>
      <c r="BAX28" s="37"/>
      <c r="BAY28" s="37"/>
      <c r="BAZ28" s="37"/>
      <c r="BBA28" s="37"/>
      <c r="BBB28" s="37"/>
      <c r="BBC28" s="37"/>
      <c r="BBD28" s="37"/>
      <c r="BBE28" s="37"/>
      <c r="BBF28" s="37"/>
      <c r="BBG28" s="37"/>
      <c r="BBH28" s="37"/>
      <c r="BBI28" s="37"/>
      <c r="BBJ28" s="37"/>
      <c r="BBK28" s="37"/>
      <c r="BBL28" s="37"/>
      <c r="BBM28" s="37"/>
      <c r="BBN28" s="37"/>
      <c r="BBO28" s="37"/>
      <c r="BBP28" s="37"/>
      <c r="BBQ28" s="37"/>
      <c r="BBR28" s="37"/>
      <c r="BBS28" s="37"/>
      <c r="BBT28" s="37"/>
      <c r="BBU28" s="37"/>
      <c r="BBV28" s="37"/>
      <c r="BBW28" s="37"/>
      <c r="BBX28" s="37"/>
      <c r="BBY28" s="37"/>
      <c r="BBZ28" s="37"/>
      <c r="BCA28" s="37"/>
      <c r="BCB28" s="37"/>
      <c r="BCC28" s="37"/>
      <c r="BCD28" s="37"/>
      <c r="BCE28" s="37"/>
      <c r="BCF28" s="37"/>
      <c r="BCG28" s="37"/>
      <c r="BCH28" s="37"/>
      <c r="BCI28" s="37"/>
      <c r="BCJ28" s="37"/>
      <c r="BCK28" s="37"/>
      <c r="BCL28" s="37"/>
      <c r="BCM28" s="37"/>
      <c r="BCN28" s="37"/>
      <c r="BCO28" s="37"/>
      <c r="BCP28" s="37"/>
      <c r="BCQ28" s="37"/>
      <c r="BCR28" s="37"/>
      <c r="BCS28" s="37"/>
      <c r="BCT28" s="37"/>
      <c r="BCU28" s="37"/>
      <c r="BCV28" s="37"/>
      <c r="BCW28" s="37"/>
      <c r="BCX28" s="37"/>
      <c r="BCY28" s="37"/>
      <c r="BCZ28" s="37"/>
      <c r="BDA28" s="37"/>
      <c r="BDB28" s="37"/>
      <c r="BDC28" s="37"/>
      <c r="BDD28" s="37"/>
      <c r="BDE28" s="37"/>
      <c r="BDF28" s="37"/>
      <c r="BDG28" s="37"/>
      <c r="BDH28" s="37"/>
      <c r="BDI28" s="37"/>
      <c r="BDJ28" s="37"/>
      <c r="BDK28" s="37"/>
      <c r="BDL28" s="37"/>
      <c r="BDM28" s="37"/>
      <c r="BDN28" s="37"/>
      <c r="BDO28" s="37"/>
      <c r="BDP28" s="37"/>
      <c r="BDQ28" s="37"/>
      <c r="BDR28" s="37"/>
      <c r="BDS28" s="37"/>
      <c r="BDT28" s="37"/>
      <c r="BDU28" s="37"/>
      <c r="BDV28" s="37"/>
      <c r="BDW28" s="37"/>
      <c r="BDX28" s="37"/>
      <c r="BDY28" s="37"/>
      <c r="BDZ28" s="37"/>
      <c r="BEA28" s="37"/>
      <c r="BEB28" s="37"/>
      <c r="BEC28" s="37"/>
      <c r="BED28" s="37"/>
      <c r="BEE28" s="37"/>
      <c r="BEF28" s="37"/>
      <c r="BEG28" s="37"/>
      <c r="BEH28" s="37"/>
      <c r="BEI28" s="37"/>
      <c r="BEJ28" s="37"/>
      <c r="BEK28" s="37"/>
      <c r="BEL28" s="37"/>
      <c r="BEM28" s="37"/>
      <c r="BEN28" s="37"/>
      <c r="BEO28" s="37"/>
      <c r="BEP28" s="37"/>
      <c r="BEQ28" s="37"/>
      <c r="BER28" s="37"/>
      <c r="BES28" s="37"/>
      <c r="BET28" s="37"/>
      <c r="BEU28" s="37"/>
      <c r="BEV28" s="37"/>
      <c r="BEW28" s="37"/>
      <c r="BEX28" s="37"/>
      <c r="BEY28" s="37"/>
      <c r="BEZ28" s="37"/>
      <c r="BFA28" s="37"/>
      <c r="BFB28" s="37"/>
      <c r="BFC28" s="37"/>
      <c r="BFD28" s="37"/>
      <c r="BFE28" s="37"/>
      <c r="BFF28" s="37"/>
      <c r="BFG28" s="37"/>
      <c r="BFH28" s="37"/>
      <c r="BFI28" s="37"/>
      <c r="BFJ28" s="37"/>
      <c r="BFK28" s="37"/>
      <c r="BFL28" s="37"/>
      <c r="BFM28" s="37"/>
      <c r="BFN28" s="37"/>
      <c r="BFO28" s="37"/>
      <c r="BFP28" s="37"/>
      <c r="BFQ28" s="37"/>
      <c r="BFR28" s="37"/>
      <c r="BFS28" s="37"/>
      <c r="BFT28" s="37"/>
      <c r="BFU28" s="37"/>
      <c r="BFV28" s="37"/>
      <c r="BFW28" s="37"/>
      <c r="BFX28" s="37"/>
      <c r="BFY28" s="37"/>
      <c r="BFZ28" s="37"/>
      <c r="BGA28" s="37"/>
      <c r="BGB28" s="37"/>
      <c r="BGC28" s="37"/>
      <c r="BGD28" s="37"/>
      <c r="BGE28" s="37"/>
      <c r="BGF28" s="37"/>
      <c r="BGG28" s="37"/>
      <c r="BGH28" s="37"/>
      <c r="BGI28" s="37"/>
      <c r="BGJ28" s="37"/>
      <c r="BGK28" s="37"/>
      <c r="BGL28" s="37"/>
      <c r="BGM28" s="37"/>
      <c r="BGN28" s="37"/>
      <c r="BGO28" s="37"/>
      <c r="BGP28" s="37"/>
      <c r="BGQ28" s="37"/>
      <c r="BGR28" s="37"/>
      <c r="BGS28" s="37"/>
      <c r="BGT28" s="37"/>
      <c r="BGU28" s="37"/>
      <c r="BGV28" s="37"/>
      <c r="BGW28" s="37"/>
      <c r="BGX28" s="37"/>
      <c r="BGY28" s="37"/>
      <c r="BGZ28" s="37"/>
      <c r="BHA28" s="37"/>
      <c r="BHB28" s="37"/>
      <c r="BHC28" s="37"/>
      <c r="BHD28" s="37"/>
      <c r="BHE28" s="37"/>
      <c r="BHF28" s="37"/>
      <c r="BHG28" s="37"/>
      <c r="BHH28" s="37"/>
      <c r="BHI28" s="37"/>
      <c r="BHJ28" s="37"/>
      <c r="BHK28" s="37"/>
      <c r="BHL28" s="37"/>
      <c r="BHM28" s="37"/>
      <c r="BHN28" s="37"/>
      <c r="BHO28" s="37"/>
      <c r="BHP28" s="37"/>
      <c r="BHQ28" s="37"/>
      <c r="BHR28" s="37"/>
      <c r="BHS28" s="37"/>
      <c r="BHT28" s="37"/>
      <c r="BHU28" s="37"/>
      <c r="BHV28" s="37"/>
      <c r="BHW28" s="37"/>
      <c r="BHX28" s="37"/>
      <c r="BHY28" s="37"/>
      <c r="BHZ28" s="37"/>
      <c r="BIA28" s="37"/>
      <c r="BIB28" s="37"/>
      <c r="BIC28" s="37"/>
      <c r="BID28" s="37"/>
      <c r="BIE28" s="37"/>
      <c r="BIF28" s="37"/>
      <c r="BIG28" s="37"/>
      <c r="BIH28" s="37"/>
      <c r="BII28" s="37"/>
      <c r="BIJ28" s="37"/>
      <c r="BIK28" s="37"/>
      <c r="BIL28" s="37"/>
      <c r="BIM28" s="37"/>
      <c r="BIN28" s="37"/>
      <c r="BIO28" s="37"/>
      <c r="BIP28" s="37"/>
      <c r="BIQ28" s="37"/>
      <c r="BIR28" s="37"/>
      <c r="BIS28" s="37"/>
      <c r="BIT28" s="37"/>
      <c r="BIU28" s="37"/>
      <c r="BIV28" s="37"/>
      <c r="BIW28" s="37"/>
      <c r="BIX28" s="37"/>
      <c r="BIY28" s="37"/>
      <c r="BIZ28" s="37"/>
      <c r="BJA28" s="37"/>
      <c r="BJB28" s="37"/>
      <c r="BJC28" s="37"/>
      <c r="BJD28" s="37"/>
      <c r="BJE28" s="37"/>
      <c r="BJF28" s="37"/>
      <c r="BJG28" s="37"/>
      <c r="BJH28" s="37"/>
      <c r="BJI28" s="37"/>
      <c r="BJJ28" s="37"/>
      <c r="BJK28" s="37"/>
      <c r="BJL28" s="37"/>
      <c r="BJM28" s="37"/>
      <c r="BJN28" s="37"/>
      <c r="BJO28" s="37"/>
      <c r="BJP28" s="37"/>
      <c r="BJQ28" s="37"/>
      <c r="BJR28" s="37"/>
      <c r="BJS28" s="37"/>
      <c r="BJT28" s="37"/>
      <c r="BJU28" s="37"/>
      <c r="BJV28" s="37"/>
      <c r="BJW28" s="37"/>
      <c r="BJX28" s="37"/>
      <c r="BJY28" s="37"/>
      <c r="BJZ28" s="37"/>
      <c r="BKA28" s="37"/>
      <c r="BKB28" s="37"/>
      <c r="BKC28" s="37"/>
      <c r="BKD28" s="37"/>
      <c r="BKE28" s="37"/>
      <c r="BKF28" s="37"/>
      <c r="BKG28" s="37"/>
      <c r="BKH28" s="37"/>
      <c r="BKI28" s="37"/>
      <c r="BKJ28" s="37"/>
      <c r="BKK28" s="37"/>
      <c r="BKL28" s="37"/>
      <c r="BKM28" s="37"/>
      <c r="BKN28" s="37"/>
      <c r="BKO28" s="37"/>
      <c r="BKP28" s="37"/>
      <c r="BKQ28" s="37"/>
      <c r="BKR28" s="37"/>
      <c r="BKS28" s="37"/>
      <c r="BKT28" s="37"/>
      <c r="BKU28" s="37"/>
      <c r="BKV28" s="37"/>
      <c r="BKW28" s="37"/>
      <c r="BKX28" s="37"/>
      <c r="BKY28" s="37"/>
      <c r="BKZ28" s="37"/>
      <c r="BLA28" s="37"/>
      <c r="BLB28" s="37"/>
      <c r="BLC28" s="37"/>
      <c r="BLD28" s="37"/>
      <c r="BLE28" s="37"/>
      <c r="BLF28" s="37"/>
      <c r="BLG28" s="37"/>
      <c r="BLH28" s="37"/>
      <c r="BLI28" s="37"/>
      <c r="BLJ28" s="37"/>
      <c r="BLK28" s="37"/>
      <c r="BLL28" s="37"/>
      <c r="BLM28" s="37"/>
      <c r="BLN28" s="37"/>
      <c r="BLO28" s="37"/>
      <c r="BLP28" s="37"/>
      <c r="BLQ28" s="37"/>
      <c r="BLR28" s="37"/>
      <c r="BLS28" s="37"/>
      <c r="BLT28" s="37"/>
      <c r="BLU28" s="37"/>
      <c r="BLV28" s="37"/>
      <c r="BLW28" s="37"/>
      <c r="BLX28" s="37"/>
      <c r="BLY28" s="37"/>
      <c r="BLZ28" s="37"/>
      <c r="BMA28" s="37"/>
      <c r="BMB28" s="37"/>
      <c r="BMC28" s="37"/>
      <c r="BMD28" s="37"/>
      <c r="BME28" s="37"/>
      <c r="BMF28" s="37"/>
      <c r="BMG28" s="37"/>
      <c r="BMH28" s="37"/>
      <c r="BMI28" s="37"/>
      <c r="BMJ28" s="37"/>
      <c r="BMK28" s="37"/>
      <c r="BML28" s="37"/>
      <c r="BMM28" s="37"/>
      <c r="BMN28" s="37"/>
      <c r="BMO28" s="37"/>
      <c r="BMP28" s="37"/>
      <c r="BMQ28" s="37"/>
      <c r="BMR28" s="37"/>
      <c r="BMS28" s="37"/>
      <c r="BMT28" s="37"/>
      <c r="BMU28" s="37"/>
      <c r="BMV28" s="37"/>
      <c r="BMW28" s="37"/>
      <c r="BMX28" s="37"/>
      <c r="BMY28" s="37"/>
      <c r="BMZ28" s="37"/>
      <c r="BNA28" s="37"/>
      <c r="BNB28" s="37"/>
      <c r="BNC28" s="37"/>
      <c r="BND28" s="37"/>
      <c r="BNE28" s="37"/>
      <c r="BNF28" s="37"/>
      <c r="BNG28" s="37"/>
      <c r="BNH28" s="37"/>
      <c r="BNI28" s="37"/>
      <c r="BNJ28" s="37"/>
      <c r="BNK28" s="37"/>
      <c r="BNL28" s="37"/>
      <c r="BNM28" s="37"/>
      <c r="BNN28" s="37"/>
      <c r="BNO28" s="37"/>
      <c r="BNP28" s="37"/>
      <c r="BNQ28" s="37"/>
      <c r="BNR28" s="37"/>
      <c r="BNS28" s="37"/>
      <c r="BNT28" s="37"/>
      <c r="BNU28" s="37"/>
      <c r="BNV28" s="37"/>
      <c r="BNW28" s="37"/>
      <c r="BNX28" s="37"/>
      <c r="BNY28" s="37"/>
      <c r="BNZ28" s="37"/>
      <c r="BOA28" s="37"/>
      <c r="BOB28" s="37"/>
      <c r="BOC28" s="37"/>
      <c r="BOD28" s="37"/>
      <c r="BOE28" s="37"/>
      <c r="BOF28" s="37"/>
      <c r="BOG28" s="37"/>
      <c r="BOH28" s="37"/>
      <c r="BOI28" s="37"/>
      <c r="BOJ28" s="37"/>
      <c r="BOK28" s="37"/>
      <c r="BOL28" s="37"/>
      <c r="BOM28" s="37"/>
      <c r="BON28" s="37"/>
      <c r="BOO28" s="37"/>
      <c r="BOP28" s="37"/>
      <c r="BOQ28" s="37"/>
      <c r="BOR28" s="37"/>
      <c r="BOS28" s="37"/>
      <c r="BOT28" s="37"/>
      <c r="BOU28" s="37"/>
      <c r="BOV28" s="37"/>
      <c r="BOW28" s="37"/>
      <c r="BOX28" s="37"/>
      <c r="BOY28" s="37"/>
      <c r="BOZ28" s="37"/>
      <c r="BPA28" s="37"/>
      <c r="BPB28" s="37"/>
      <c r="BPC28" s="37"/>
      <c r="BPD28" s="37"/>
      <c r="BPE28" s="37"/>
      <c r="BPF28" s="37"/>
      <c r="BPG28" s="37"/>
      <c r="BPH28" s="37"/>
      <c r="BPI28" s="37"/>
      <c r="BPJ28" s="37"/>
      <c r="BPK28" s="37"/>
      <c r="BPL28" s="37"/>
      <c r="BPM28" s="37"/>
      <c r="BPN28" s="37"/>
      <c r="BPO28" s="37"/>
      <c r="BPP28" s="37"/>
      <c r="BPQ28" s="37"/>
      <c r="BPR28" s="37"/>
      <c r="BPS28" s="37"/>
      <c r="BPT28" s="37"/>
      <c r="BPU28" s="37"/>
      <c r="BPV28" s="37"/>
      <c r="BPW28" s="37"/>
      <c r="BPX28" s="37"/>
      <c r="BPY28" s="37"/>
      <c r="BPZ28" s="37"/>
      <c r="BQA28" s="37"/>
      <c r="BQB28" s="37"/>
      <c r="BQC28" s="37"/>
      <c r="BQD28" s="37"/>
      <c r="BQE28" s="37"/>
      <c r="BQF28" s="37"/>
      <c r="BQG28" s="37"/>
      <c r="BQH28" s="37"/>
      <c r="BQI28" s="37"/>
      <c r="BQJ28" s="37"/>
      <c r="BQK28" s="37"/>
      <c r="BQL28" s="37"/>
      <c r="BQM28" s="37"/>
      <c r="BQN28" s="37"/>
      <c r="BQO28" s="37"/>
      <c r="BQP28" s="37"/>
      <c r="BQQ28" s="37"/>
      <c r="BQR28" s="37"/>
      <c r="BQS28" s="37"/>
      <c r="BQT28" s="37"/>
      <c r="BQU28" s="37"/>
      <c r="BQV28" s="37"/>
      <c r="BQW28" s="37"/>
      <c r="BQX28" s="37"/>
      <c r="BQY28" s="37"/>
      <c r="BQZ28" s="37"/>
      <c r="BRA28" s="37"/>
      <c r="BRB28" s="37"/>
      <c r="BRC28" s="37"/>
      <c r="BRD28" s="37"/>
      <c r="BRE28" s="37"/>
      <c r="BRF28" s="37"/>
      <c r="BRG28" s="37"/>
      <c r="BRH28" s="37"/>
      <c r="BRI28" s="37"/>
      <c r="BRJ28" s="37"/>
      <c r="BRK28" s="37"/>
      <c r="BRL28" s="37"/>
      <c r="BRM28" s="37"/>
      <c r="BRN28" s="37"/>
      <c r="BRO28" s="37"/>
      <c r="BRP28" s="37"/>
      <c r="BRQ28" s="37"/>
      <c r="BRR28" s="37"/>
      <c r="BRS28" s="37"/>
      <c r="BRT28" s="37"/>
      <c r="BRU28" s="37"/>
      <c r="BRV28" s="37"/>
      <c r="BRW28" s="37"/>
      <c r="BRX28" s="37"/>
      <c r="BRY28" s="37"/>
      <c r="BRZ28" s="37"/>
      <c r="BSA28" s="37"/>
      <c r="BSB28" s="37"/>
      <c r="BSC28" s="37"/>
      <c r="BSD28" s="37"/>
      <c r="BSE28" s="37"/>
      <c r="BSF28" s="37"/>
      <c r="BSG28" s="37"/>
      <c r="BSH28" s="37"/>
      <c r="BSI28" s="37"/>
      <c r="BSJ28" s="37"/>
      <c r="BSK28" s="37"/>
      <c r="BSL28" s="37"/>
      <c r="BSM28" s="37"/>
      <c r="BSN28" s="37"/>
      <c r="BSO28" s="37"/>
      <c r="BSP28" s="37"/>
      <c r="BSQ28" s="37"/>
      <c r="BSR28" s="37"/>
      <c r="BSS28" s="37"/>
      <c r="BST28" s="37"/>
      <c r="BSU28" s="37"/>
      <c r="BSV28" s="37"/>
      <c r="BSW28" s="37"/>
      <c r="BSX28" s="37"/>
      <c r="BSY28" s="37"/>
      <c r="BSZ28" s="37"/>
      <c r="BTA28" s="37"/>
      <c r="BTB28" s="37"/>
      <c r="BTC28" s="37"/>
      <c r="BTD28" s="37"/>
      <c r="BTE28" s="37"/>
      <c r="BTF28" s="37"/>
      <c r="BTG28" s="37"/>
      <c r="BTH28" s="37"/>
      <c r="BTI28" s="37"/>
      <c r="BTJ28" s="37"/>
      <c r="BTK28" s="37"/>
      <c r="BTL28" s="37"/>
      <c r="BTM28" s="37"/>
      <c r="BTN28" s="37"/>
      <c r="BTO28" s="37"/>
      <c r="BTP28" s="37"/>
      <c r="BTQ28" s="37"/>
      <c r="BTR28" s="37"/>
      <c r="BTS28" s="37"/>
      <c r="BTT28" s="37"/>
      <c r="BTU28" s="37"/>
      <c r="BTV28" s="37"/>
      <c r="BTW28" s="37"/>
      <c r="BTX28" s="37"/>
      <c r="BTY28" s="37"/>
      <c r="BTZ28" s="37"/>
      <c r="BUA28" s="37"/>
      <c r="BUB28" s="37"/>
      <c r="BUC28" s="37"/>
      <c r="BUD28" s="37"/>
      <c r="BUE28" s="37"/>
      <c r="BUF28" s="37"/>
      <c r="BUG28" s="37"/>
      <c r="BUH28" s="37"/>
      <c r="BUI28" s="37"/>
      <c r="BUJ28" s="37"/>
      <c r="BUK28" s="37"/>
      <c r="BUL28" s="37"/>
      <c r="BUM28" s="37"/>
      <c r="BUN28" s="37"/>
      <c r="BUO28" s="37"/>
      <c r="BUP28" s="37"/>
      <c r="BUQ28" s="37"/>
      <c r="BUR28" s="37"/>
      <c r="BUS28" s="37"/>
      <c r="BUT28" s="37"/>
      <c r="BUU28" s="37"/>
      <c r="BUV28" s="37"/>
      <c r="BUW28" s="37"/>
      <c r="BUX28" s="37"/>
      <c r="BUY28" s="37"/>
      <c r="BUZ28" s="37"/>
      <c r="BVA28" s="37"/>
      <c r="BVB28" s="37"/>
      <c r="BVC28" s="37"/>
      <c r="BVD28" s="37"/>
      <c r="BVE28" s="37"/>
      <c r="BVF28" s="37"/>
      <c r="BVG28" s="37"/>
      <c r="BVH28" s="37"/>
      <c r="BVI28" s="37"/>
      <c r="BVJ28" s="37"/>
      <c r="BVK28" s="37"/>
      <c r="BVL28" s="37"/>
      <c r="BVM28" s="37"/>
      <c r="BVN28" s="37"/>
      <c r="BVO28" s="37"/>
      <c r="BVP28" s="37"/>
      <c r="BVQ28" s="37"/>
      <c r="BVR28" s="37"/>
      <c r="BVS28" s="37"/>
      <c r="BVT28" s="37"/>
      <c r="BVU28" s="37"/>
      <c r="BVV28" s="37"/>
      <c r="BVW28" s="37"/>
      <c r="BVX28" s="37"/>
      <c r="BVY28" s="37"/>
      <c r="BVZ28" s="37"/>
      <c r="BWA28" s="37"/>
      <c r="BWB28" s="37"/>
      <c r="BWC28" s="37"/>
      <c r="BWD28" s="37"/>
      <c r="BWE28" s="37"/>
      <c r="BWF28" s="37"/>
      <c r="BWG28" s="37"/>
      <c r="BWH28" s="37"/>
      <c r="BWI28" s="37"/>
      <c r="BWJ28" s="37"/>
    </row>
    <row r="29" spans="1:1960" x14ac:dyDescent="0.25">
      <c r="A29" s="45">
        <v>24</v>
      </c>
      <c r="B29" s="46">
        <v>20</v>
      </c>
      <c r="C29" s="47">
        <v>1000</v>
      </c>
      <c r="D29" s="48" t="s">
        <v>23</v>
      </c>
      <c r="E29" s="271">
        <f ca="1"/>
        <v>69</v>
      </c>
      <c r="F29" s="33">
        <v>-100</v>
      </c>
      <c r="G29" s="33">
        <v>1000</v>
      </c>
      <c r="H29" s="43">
        <f ca="1"/>
        <v>-100</v>
      </c>
      <c r="I29" s="33">
        <f ca="1"/>
        <v>52.5</v>
      </c>
      <c r="J29" s="35">
        <v>24</v>
      </c>
      <c r="K29" s="36">
        <v>70</v>
      </c>
      <c r="L29" s="37">
        <v>70</v>
      </c>
      <c r="M29" s="49">
        <v>70</v>
      </c>
      <c r="N29" s="49">
        <v>70</v>
      </c>
      <c r="O29" s="49">
        <v>70</v>
      </c>
      <c r="P29" s="49">
        <v>70</v>
      </c>
      <c r="Q29" s="49">
        <v>70</v>
      </c>
      <c r="R29" s="49">
        <v>70</v>
      </c>
      <c r="S29" s="49">
        <v>70</v>
      </c>
      <c r="T29" s="49">
        <v>70</v>
      </c>
      <c r="U29" s="49">
        <v>70</v>
      </c>
      <c r="V29" s="49">
        <v>70</v>
      </c>
      <c r="W29" s="49">
        <v>70</v>
      </c>
      <c r="X29" s="49">
        <v>70</v>
      </c>
      <c r="Y29" s="49">
        <v>70</v>
      </c>
      <c r="Z29" s="49">
        <v>70</v>
      </c>
      <c r="AA29" s="49">
        <v>70</v>
      </c>
      <c r="AB29" s="49">
        <v>70</v>
      </c>
      <c r="AC29" s="49">
        <v>70</v>
      </c>
      <c r="AD29" s="49">
        <v>70</v>
      </c>
      <c r="AE29" s="49">
        <v>70</v>
      </c>
      <c r="AF29" s="49">
        <v>70</v>
      </c>
      <c r="AG29" s="49">
        <v>70</v>
      </c>
      <c r="AH29" s="49">
        <v>70</v>
      </c>
      <c r="AI29" s="49">
        <v>70</v>
      </c>
      <c r="AJ29" s="49">
        <v>70</v>
      </c>
      <c r="AK29" s="49">
        <v>70</v>
      </c>
      <c r="AL29" s="49">
        <v>70</v>
      </c>
      <c r="AM29" s="49">
        <v>70</v>
      </c>
      <c r="AN29" s="49">
        <v>70</v>
      </c>
      <c r="AO29" s="49">
        <v>70</v>
      </c>
      <c r="AP29" s="49">
        <v>70</v>
      </c>
      <c r="AQ29" s="49">
        <v>70</v>
      </c>
      <c r="AR29" s="49">
        <v>70</v>
      </c>
      <c r="AS29" s="49">
        <v>70</v>
      </c>
      <c r="AT29" s="49">
        <v>70</v>
      </c>
      <c r="AU29" s="49">
        <v>70</v>
      </c>
      <c r="AV29" s="49">
        <v>70</v>
      </c>
      <c r="AW29" s="49">
        <v>70</v>
      </c>
      <c r="AX29" s="49">
        <v>70</v>
      </c>
      <c r="AY29" s="49">
        <v>70</v>
      </c>
      <c r="AZ29" s="49">
        <v>70</v>
      </c>
      <c r="BA29" s="49">
        <v>70</v>
      </c>
      <c r="BB29" s="49">
        <v>45</v>
      </c>
      <c r="BC29" s="49">
        <v>45</v>
      </c>
      <c r="BD29" s="49">
        <v>45</v>
      </c>
      <c r="BE29" s="49">
        <v>45</v>
      </c>
      <c r="BF29" s="49">
        <v>20</v>
      </c>
      <c r="BG29" s="49">
        <v>20</v>
      </c>
      <c r="BH29" s="49">
        <v>20</v>
      </c>
      <c r="BI29" s="49">
        <v>20</v>
      </c>
      <c r="BJ29" s="49">
        <v>20</v>
      </c>
      <c r="BK29" s="49">
        <v>20</v>
      </c>
      <c r="BL29" s="49">
        <v>20</v>
      </c>
      <c r="BM29" s="49">
        <v>20</v>
      </c>
      <c r="BN29" s="49">
        <v>20</v>
      </c>
      <c r="BO29" s="49">
        <v>20</v>
      </c>
      <c r="BP29" s="49">
        <v>20</v>
      </c>
      <c r="BQ29" s="49">
        <v>20</v>
      </c>
      <c r="BR29" s="49">
        <v>20</v>
      </c>
      <c r="BS29" s="49">
        <v>20</v>
      </c>
      <c r="BT29" s="49">
        <v>20</v>
      </c>
      <c r="BU29" s="49">
        <v>20</v>
      </c>
      <c r="BV29" s="49">
        <v>20</v>
      </c>
      <c r="BW29" s="49">
        <v>20</v>
      </c>
      <c r="BX29" s="49">
        <v>20</v>
      </c>
      <c r="BY29" s="49">
        <v>20</v>
      </c>
      <c r="BZ29" s="49">
        <v>20</v>
      </c>
      <c r="CA29" s="49">
        <v>0</v>
      </c>
      <c r="CB29" s="49">
        <v>0</v>
      </c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49"/>
      <c r="CV29" s="49"/>
      <c r="CW29" s="49"/>
      <c r="CX29" s="49"/>
      <c r="CY29" s="49"/>
      <c r="CZ29" s="49"/>
      <c r="DA29" s="49"/>
      <c r="DB29" s="49"/>
      <c r="DC29" s="49"/>
      <c r="DD29" s="49"/>
      <c r="DE29" s="49"/>
      <c r="DF29" s="49"/>
      <c r="DG29" s="49"/>
      <c r="DH29" s="49"/>
      <c r="DI29" s="49"/>
      <c r="DJ29" s="49"/>
      <c r="DK29" s="49"/>
      <c r="DL29" s="49"/>
      <c r="DM29" s="49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49"/>
      <c r="EG29" s="49"/>
      <c r="EH29" s="49"/>
      <c r="EI29" s="49"/>
      <c r="EJ29" s="49"/>
      <c r="EK29" s="49"/>
      <c r="EL29" s="49"/>
      <c r="EM29" s="49"/>
      <c r="EN29" s="49"/>
      <c r="EO29" s="49"/>
      <c r="EP29" s="49"/>
      <c r="EQ29" s="49"/>
      <c r="ER29" s="49"/>
      <c r="ES29" s="49"/>
      <c r="ET29" s="49"/>
      <c r="EU29" s="49"/>
      <c r="EV29" s="49"/>
      <c r="EW29" s="49"/>
      <c r="EX29" s="49"/>
      <c r="EY29" s="49"/>
      <c r="EZ29" s="49"/>
      <c r="FA29" s="49"/>
      <c r="FB29" s="49"/>
      <c r="FC29" s="49"/>
      <c r="FD29" s="49"/>
      <c r="FE29" s="49"/>
      <c r="FF29" s="49"/>
      <c r="FG29" s="49"/>
      <c r="FH29" s="49"/>
      <c r="FI29" s="49"/>
      <c r="FJ29" s="49"/>
      <c r="FK29" s="49"/>
      <c r="FL29" s="49"/>
      <c r="FM29" s="49"/>
      <c r="FN29" s="49"/>
      <c r="FO29" s="49"/>
      <c r="FP29" s="49"/>
      <c r="FQ29" s="49"/>
      <c r="FR29" s="49"/>
      <c r="FS29" s="49"/>
      <c r="FT29" s="49"/>
      <c r="FU29" s="49"/>
      <c r="FV29" s="49"/>
      <c r="FW29" s="49"/>
      <c r="FX29" s="49"/>
      <c r="FY29" s="49"/>
      <c r="FZ29" s="49"/>
      <c r="GA29" s="49"/>
      <c r="GB29" s="49"/>
      <c r="GC29" s="49"/>
      <c r="GD29" s="49"/>
      <c r="GE29" s="49"/>
      <c r="GF29" s="49"/>
      <c r="GG29" s="49"/>
      <c r="GH29" s="49"/>
      <c r="GI29" s="49"/>
      <c r="GJ29" s="49"/>
      <c r="GK29" s="49"/>
      <c r="GL29" s="49"/>
      <c r="GM29" s="49"/>
      <c r="GN29" s="49"/>
      <c r="GO29" s="49"/>
      <c r="GP29" s="49"/>
      <c r="GQ29" s="49"/>
      <c r="GR29" s="49"/>
      <c r="GS29" s="49"/>
      <c r="GT29" s="49"/>
      <c r="GU29" s="49"/>
      <c r="GV29" s="49"/>
      <c r="GW29" s="49"/>
      <c r="GX29" s="49"/>
      <c r="GY29" s="49"/>
      <c r="GZ29" s="49"/>
      <c r="HA29" s="49"/>
      <c r="HB29" s="49"/>
      <c r="HC29" s="49"/>
      <c r="HD29" s="49"/>
      <c r="HE29" s="49"/>
      <c r="HF29" s="49"/>
      <c r="HG29" s="49"/>
      <c r="HH29" s="49"/>
      <c r="HI29" s="49"/>
      <c r="HJ29" s="49"/>
      <c r="HK29" s="49"/>
      <c r="HL29" s="49"/>
      <c r="HM29" s="49"/>
      <c r="HN29" s="49"/>
      <c r="HO29" s="49"/>
      <c r="HP29" s="49"/>
      <c r="HQ29" s="49"/>
      <c r="HR29" s="49"/>
      <c r="HS29" s="49"/>
      <c r="HT29" s="49"/>
      <c r="HU29" s="49"/>
      <c r="HV29" s="49"/>
      <c r="HW29" s="49"/>
      <c r="HX29" s="49"/>
      <c r="HY29" s="49"/>
      <c r="HZ29" s="49"/>
      <c r="IA29" s="49"/>
      <c r="IB29" s="49"/>
      <c r="IC29" s="49"/>
      <c r="ID29" s="49"/>
      <c r="IE29" s="49"/>
      <c r="IF29" s="49"/>
      <c r="IG29" s="49"/>
      <c r="IH29" s="49"/>
      <c r="II29" s="49"/>
      <c r="IJ29" s="49"/>
      <c r="IK29" s="49"/>
      <c r="IL29" s="49"/>
      <c r="IM29" s="49"/>
      <c r="IN29" s="49"/>
      <c r="IO29" s="49"/>
      <c r="IP29" s="49"/>
      <c r="IQ29" s="49"/>
      <c r="IR29" s="49"/>
      <c r="IS29" s="49"/>
      <c r="IT29" s="49"/>
      <c r="IU29" s="49"/>
      <c r="IV29" s="49"/>
      <c r="IW29" s="49"/>
      <c r="IX29" s="49"/>
      <c r="IY29" s="49"/>
      <c r="IZ29" s="49"/>
      <c r="JA29" s="49"/>
      <c r="JB29" s="49"/>
      <c r="JC29" s="49"/>
      <c r="JD29" s="49"/>
      <c r="JE29" s="49"/>
      <c r="JF29" s="49"/>
      <c r="JG29" s="49"/>
      <c r="JH29" s="49"/>
      <c r="JI29" s="49"/>
      <c r="JJ29" s="49"/>
      <c r="JK29" s="49"/>
      <c r="JL29" s="49"/>
      <c r="JM29" s="49"/>
      <c r="JN29" s="49"/>
      <c r="JO29" s="49"/>
      <c r="JP29" s="49"/>
      <c r="JQ29" s="49"/>
      <c r="JR29" s="49"/>
      <c r="JS29" s="49"/>
      <c r="JT29" s="49"/>
      <c r="JU29" s="49"/>
      <c r="JV29" s="49"/>
      <c r="JW29" s="49"/>
      <c r="JX29" s="49"/>
      <c r="JY29" s="49"/>
      <c r="JZ29" s="49"/>
      <c r="KA29" s="49"/>
      <c r="KB29" s="49"/>
      <c r="KC29" s="49"/>
      <c r="KD29" s="49"/>
      <c r="KE29" s="49"/>
      <c r="KF29" s="49"/>
      <c r="KG29" s="49"/>
      <c r="KH29" s="49"/>
      <c r="KI29" s="49"/>
      <c r="KJ29" s="49"/>
      <c r="KK29" s="49"/>
      <c r="KL29" s="49"/>
      <c r="KM29" s="49"/>
      <c r="KN29" s="49"/>
      <c r="KO29" s="49"/>
      <c r="KP29" s="49"/>
      <c r="KQ29" s="49"/>
      <c r="KR29" s="49"/>
      <c r="KS29" s="49"/>
      <c r="KT29" s="49"/>
      <c r="KU29" s="49"/>
      <c r="KV29" s="49"/>
      <c r="KW29" s="49"/>
      <c r="KX29" s="49"/>
      <c r="KY29" s="49"/>
      <c r="KZ29" s="49"/>
      <c r="LA29" s="49"/>
      <c r="LB29" s="49"/>
      <c r="LC29" s="49"/>
      <c r="LD29" s="49"/>
      <c r="LE29" s="49"/>
      <c r="LF29" s="49"/>
      <c r="LG29" s="49"/>
      <c r="LH29" s="49"/>
      <c r="LI29" s="49"/>
      <c r="LJ29" s="49"/>
      <c r="LK29" s="49"/>
      <c r="LL29" s="49"/>
      <c r="LM29" s="49"/>
      <c r="LN29" s="49"/>
      <c r="LO29" s="49"/>
      <c r="LP29" s="49"/>
      <c r="LQ29" s="49"/>
      <c r="LR29" s="49"/>
      <c r="LS29" s="49"/>
      <c r="LT29" s="49"/>
      <c r="LU29" s="49"/>
      <c r="LV29" s="49"/>
      <c r="LW29" s="49"/>
      <c r="LX29" s="49"/>
      <c r="LY29" s="49"/>
      <c r="LZ29" s="49"/>
      <c r="MA29" s="49"/>
      <c r="MB29" s="49"/>
      <c r="MC29" s="49"/>
      <c r="MD29" s="49"/>
      <c r="ME29" s="49"/>
      <c r="MF29" s="49"/>
      <c r="MG29" s="49"/>
      <c r="MH29" s="49"/>
      <c r="MI29" s="49"/>
      <c r="MJ29" s="49"/>
      <c r="MK29" s="49"/>
      <c r="ML29" s="49"/>
      <c r="MM29" s="49"/>
      <c r="MN29" s="49"/>
      <c r="MO29" s="49"/>
      <c r="MP29" s="49"/>
      <c r="MQ29" s="49"/>
      <c r="MR29" s="49"/>
      <c r="MS29" s="49"/>
      <c r="MT29" s="49"/>
      <c r="MU29" s="49"/>
      <c r="MV29" s="49"/>
      <c r="MW29" s="49"/>
      <c r="MX29" s="49"/>
      <c r="MY29" s="49"/>
      <c r="MZ29" s="49"/>
      <c r="NA29" s="49"/>
      <c r="NB29" s="49"/>
      <c r="NC29" s="49"/>
      <c r="ND29" s="49"/>
      <c r="NE29" s="49"/>
      <c r="NF29" s="49"/>
      <c r="NG29" s="49"/>
      <c r="NH29" s="49"/>
      <c r="NI29" s="49"/>
      <c r="NJ29" s="49"/>
      <c r="NK29" s="49"/>
      <c r="NL29" s="49"/>
      <c r="NM29" s="49"/>
      <c r="NN29" s="49"/>
      <c r="NO29" s="49"/>
      <c r="NP29" s="49"/>
      <c r="NQ29" s="49"/>
      <c r="NR29" s="49"/>
      <c r="NS29" s="49"/>
      <c r="NT29" s="49"/>
      <c r="NU29" s="49"/>
      <c r="NV29" s="49"/>
      <c r="NW29" s="49"/>
      <c r="NX29" s="49"/>
      <c r="NY29" s="49"/>
      <c r="NZ29" s="49"/>
      <c r="OA29" s="49"/>
      <c r="OB29" s="49"/>
      <c r="OC29" s="49"/>
      <c r="OD29" s="49"/>
      <c r="OE29" s="49"/>
      <c r="OF29" s="49"/>
      <c r="OG29" s="49"/>
      <c r="OH29" s="49"/>
      <c r="OI29" s="49"/>
      <c r="OJ29" s="49"/>
      <c r="OK29" s="49"/>
      <c r="OL29" s="49"/>
      <c r="OM29" s="49"/>
      <c r="ON29" s="49"/>
      <c r="OO29" s="49"/>
      <c r="OP29" s="49"/>
      <c r="OQ29" s="49"/>
      <c r="OR29" s="49"/>
      <c r="OS29" s="49"/>
      <c r="OT29" s="49"/>
      <c r="OU29" s="49"/>
      <c r="OV29" s="49"/>
      <c r="OW29" s="49"/>
      <c r="OX29" s="49"/>
      <c r="OY29" s="49"/>
      <c r="OZ29" s="49"/>
      <c r="PA29" s="49"/>
      <c r="PB29" s="49"/>
      <c r="PC29" s="49"/>
      <c r="PD29" s="49"/>
      <c r="PE29" s="49"/>
      <c r="PF29" s="49"/>
      <c r="PG29" s="49"/>
      <c r="PH29" s="49"/>
      <c r="PI29" s="49"/>
      <c r="PJ29" s="49"/>
      <c r="PK29" s="49"/>
      <c r="PL29" s="49"/>
      <c r="PM29" s="49"/>
      <c r="PN29" s="49"/>
      <c r="PO29" s="49"/>
      <c r="PP29" s="49"/>
      <c r="PQ29" s="49"/>
      <c r="PR29" s="49"/>
      <c r="PS29" s="49"/>
      <c r="PT29" s="49"/>
      <c r="PU29" s="49"/>
      <c r="PV29" s="49"/>
      <c r="PW29" s="49"/>
      <c r="PX29" s="49"/>
      <c r="PY29" s="49"/>
      <c r="PZ29" s="49"/>
      <c r="QA29" s="49"/>
      <c r="QB29" s="49"/>
      <c r="QC29" s="49"/>
      <c r="QD29" s="49"/>
      <c r="QE29" s="49"/>
      <c r="QF29" s="49"/>
      <c r="QG29" s="49"/>
      <c r="QH29" s="49"/>
      <c r="QI29" s="49"/>
      <c r="QJ29" s="49"/>
      <c r="QK29" s="49"/>
      <c r="QL29" s="49"/>
      <c r="QM29" s="49"/>
      <c r="QN29" s="49"/>
      <c r="QO29" s="49"/>
      <c r="QP29" s="49"/>
      <c r="QQ29" s="49"/>
      <c r="QR29" s="49"/>
      <c r="QS29" s="49"/>
      <c r="QT29" s="49"/>
      <c r="QU29" s="49"/>
      <c r="QV29" s="49"/>
      <c r="QW29" s="49"/>
      <c r="QX29" s="49"/>
      <c r="QY29" s="49"/>
      <c r="QZ29" s="49"/>
      <c r="RA29" s="49"/>
      <c r="RB29" s="49"/>
      <c r="RC29" s="49"/>
      <c r="RD29" s="49"/>
      <c r="RE29" s="49"/>
      <c r="RF29" s="49"/>
      <c r="RG29" s="49"/>
      <c r="RH29" s="49"/>
      <c r="RI29" s="49"/>
      <c r="RJ29" s="49"/>
      <c r="RK29" s="49"/>
      <c r="RL29" s="49"/>
      <c r="RM29" s="49"/>
      <c r="RN29" s="49"/>
      <c r="RO29" s="49"/>
      <c r="RP29" s="49"/>
      <c r="RQ29" s="49"/>
      <c r="RR29" s="49"/>
      <c r="RS29" s="49"/>
      <c r="RT29" s="49"/>
      <c r="RU29" s="49"/>
      <c r="RV29" s="49"/>
      <c r="RW29" s="49"/>
      <c r="RX29" s="49"/>
      <c r="RY29" s="49"/>
      <c r="RZ29" s="49"/>
      <c r="SA29" s="49"/>
      <c r="SB29" s="49"/>
      <c r="SC29" s="49"/>
      <c r="SD29" s="49"/>
      <c r="SE29" s="49"/>
      <c r="SF29" s="49"/>
      <c r="SG29" s="49"/>
      <c r="SH29" s="49"/>
      <c r="SI29" s="49"/>
      <c r="SJ29" s="49"/>
      <c r="SK29" s="49"/>
      <c r="SL29" s="49"/>
      <c r="SM29" s="49"/>
      <c r="SN29" s="49"/>
      <c r="SO29" s="49"/>
      <c r="SP29" s="49"/>
      <c r="SQ29" s="49"/>
      <c r="SR29" s="49"/>
      <c r="SS29" s="49"/>
      <c r="ST29" s="49"/>
      <c r="SU29" s="49"/>
      <c r="SV29" s="49"/>
      <c r="SW29" s="49"/>
      <c r="SX29" s="49"/>
      <c r="SY29" s="49"/>
      <c r="SZ29" s="49"/>
      <c r="TA29" s="49"/>
      <c r="TB29" s="49"/>
      <c r="TC29" s="49"/>
      <c r="TD29" s="49"/>
      <c r="TE29" s="49"/>
      <c r="TF29" s="49"/>
      <c r="TG29" s="49"/>
      <c r="TH29" s="49"/>
      <c r="TI29" s="49"/>
      <c r="TJ29" s="49"/>
      <c r="TK29" s="49"/>
      <c r="TL29" s="49"/>
      <c r="TM29" s="49"/>
      <c r="TN29" s="49"/>
      <c r="TO29" s="49"/>
      <c r="TP29" s="49"/>
      <c r="TQ29" s="49"/>
      <c r="TR29" s="49"/>
      <c r="TS29" s="49"/>
      <c r="TT29" s="49"/>
      <c r="TU29" s="49"/>
      <c r="TV29" s="49"/>
      <c r="TW29" s="49"/>
      <c r="TX29" s="49"/>
      <c r="TY29" s="49"/>
      <c r="TZ29" s="49"/>
      <c r="UA29" s="49"/>
      <c r="UB29" s="49"/>
      <c r="UC29" s="49"/>
      <c r="UD29" s="49"/>
      <c r="UE29" s="49"/>
      <c r="UF29" s="49"/>
      <c r="UG29" s="49"/>
      <c r="UH29" s="49"/>
      <c r="UI29" s="49"/>
      <c r="UJ29" s="49"/>
      <c r="UK29" s="49"/>
      <c r="UL29" s="49"/>
      <c r="UM29" s="49"/>
      <c r="UN29" s="49"/>
      <c r="UO29" s="49"/>
      <c r="UP29" s="49"/>
      <c r="UQ29" s="49"/>
      <c r="UR29" s="49"/>
      <c r="US29" s="49"/>
      <c r="UT29" s="49"/>
      <c r="UU29" s="49"/>
      <c r="UV29" s="49"/>
      <c r="UW29" s="49"/>
      <c r="UX29" s="49"/>
      <c r="UY29" s="49"/>
      <c r="UZ29" s="49"/>
      <c r="VA29" s="49"/>
      <c r="VB29" s="49"/>
      <c r="VC29" s="49"/>
      <c r="VD29" s="49"/>
      <c r="VE29" s="49"/>
      <c r="VF29" s="49"/>
      <c r="VG29" s="49"/>
      <c r="VH29" s="49"/>
      <c r="VI29" s="49"/>
      <c r="VJ29" s="49"/>
      <c r="VK29" s="49"/>
      <c r="VL29" s="49"/>
      <c r="VM29" s="49"/>
      <c r="VN29" s="49"/>
      <c r="VO29" s="49"/>
      <c r="VP29" s="49"/>
      <c r="VQ29" s="49"/>
      <c r="VR29" s="49"/>
      <c r="VS29" s="49"/>
      <c r="VT29" s="49"/>
      <c r="VU29" s="49"/>
      <c r="VV29" s="49"/>
      <c r="VW29" s="49"/>
      <c r="VX29" s="49"/>
      <c r="VY29" s="49"/>
      <c r="VZ29" s="49"/>
      <c r="WA29" s="49"/>
      <c r="WB29" s="49"/>
      <c r="WC29" s="49"/>
      <c r="WD29" s="49"/>
      <c r="WE29" s="49"/>
      <c r="WF29" s="49"/>
      <c r="WG29" s="49"/>
      <c r="WH29" s="49"/>
      <c r="WI29" s="49"/>
      <c r="WJ29" s="49"/>
      <c r="WK29" s="49"/>
      <c r="WL29" s="49"/>
      <c r="WM29" s="49"/>
      <c r="WN29" s="49"/>
      <c r="WO29" s="49"/>
      <c r="WP29" s="49"/>
      <c r="WQ29" s="49"/>
      <c r="WR29" s="49"/>
      <c r="WS29" s="49"/>
      <c r="WT29" s="49"/>
      <c r="WU29" s="49"/>
      <c r="WV29" s="49"/>
      <c r="WW29" s="49"/>
      <c r="WX29" s="49"/>
      <c r="WY29" s="49"/>
      <c r="WZ29" s="49"/>
      <c r="XA29" s="49"/>
      <c r="XB29" s="49"/>
      <c r="XC29" s="49"/>
      <c r="XD29" s="49"/>
      <c r="XE29" s="49"/>
      <c r="XF29" s="49"/>
      <c r="XG29" s="49"/>
      <c r="XH29" s="49"/>
      <c r="XI29" s="49"/>
      <c r="XJ29" s="49"/>
      <c r="XK29" s="49"/>
      <c r="XL29" s="49"/>
      <c r="XM29" s="49"/>
      <c r="XN29" s="49"/>
      <c r="XO29" s="49"/>
      <c r="XP29" s="49"/>
      <c r="XQ29" s="49"/>
      <c r="XR29" s="49"/>
      <c r="XS29" s="49"/>
      <c r="XT29" s="49"/>
      <c r="XU29" s="49"/>
      <c r="XV29" s="49"/>
      <c r="XW29" s="49"/>
      <c r="XX29" s="49"/>
      <c r="XY29" s="49"/>
      <c r="XZ29" s="49"/>
      <c r="YA29" s="49"/>
      <c r="YB29" s="49"/>
      <c r="YC29" s="49"/>
      <c r="YD29" s="49"/>
      <c r="YE29" s="49"/>
      <c r="YF29" s="49"/>
      <c r="YG29" s="49"/>
      <c r="YH29" s="49"/>
      <c r="YI29" s="49"/>
      <c r="YJ29" s="49"/>
      <c r="YK29" s="49"/>
      <c r="YL29" s="49"/>
      <c r="YM29" s="49"/>
      <c r="YN29" s="49"/>
      <c r="YO29" s="49"/>
      <c r="YP29" s="49"/>
      <c r="YQ29" s="49"/>
      <c r="YR29" s="49"/>
      <c r="YS29" s="49"/>
      <c r="YT29" s="49"/>
      <c r="YU29" s="49"/>
      <c r="YV29" s="49"/>
      <c r="YW29" s="49"/>
      <c r="YX29" s="49"/>
      <c r="YY29" s="49"/>
      <c r="YZ29" s="49"/>
      <c r="ZA29" s="49"/>
      <c r="ZB29" s="49"/>
      <c r="ZC29" s="49"/>
      <c r="ZD29" s="49"/>
      <c r="ZE29" s="49"/>
      <c r="ZF29" s="49"/>
      <c r="ZG29" s="49"/>
      <c r="ZH29" s="49"/>
      <c r="ZI29" s="49"/>
      <c r="ZJ29" s="49"/>
      <c r="ZK29" s="49"/>
      <c r="ZL29" s="49"/>
      <c r="ZM29" s="49"/>
      <c r="ZN29" s="49"/>
      <c r="ZO29" s="49"/>
      <c r="ZP29" s="49"/>
      <c r="ZQ29" s="49"/>
      <c r="ZR29" s="49"/>
      <c r="ZS29" s="49"/>
      <c r="ZT29" s="49"/>
      <c r="ZU29" s="49"/>
      <c r="ZV29" s="49"/>
      <c r="ZW29" s="49"/>
      <c r="ZX29" s="49"/>
      <c r="ZY29" s="49"/>
      <c r="ZZ29" s="49"/>
      <c r="AAA29" s="49"/>
      <c r="AAB29" s="49"/>
      <c r="AAC29" s="49"/>
      <c r="AAD29" s="49"/>
      <c r="AAE29" s="49"/>
      <c r="AAF29" s="49"/>
      <c r="AAG29" s="49"/>
      <c r="AAH29" s="49"/>
      <c r="AAI29" s="49"/>
      <c r="AAJ29" s="49"/>
      <c r="AAK29" s="49"/>
      <c r="AAL29" s="49"/>
      <c r="AAM29" s="49"/>
      <c r="AAN29" s="49"/>
      <c r="AAO29" s="49"/>
      <c r="AAP29" s="49"/>
      <c r="AAQ29" s="49"/>
      <c r="AAR29" s="49"/>
      <c r="AAS29" s="49"/>
      <c r="AAT29" s="49"/>
      <c r="AAU29" s="49"/>
      <c r="AAV29" s="49"/>
      <c r="AAW29" s="49"/>
      <c r="AAX29" s="49"/>
      <c r="AAY29" s="49"/>
      <c r="AAZ29" s="49"/>
      <c r="ABA29" s="49"/>
      <c r="ABB29" s="49"/>
      <c r="ABC29" s="49"/>
      <c r="ABD29" s="49"/>
      <c r="ABE29" s="49"/>
      <c r="ABF29" s="49"/>
      <c r="ABG29" s="49"/>
      <c r="ABH29" s="49"/>
      <c r="ABI29" s="49"/>
      <c r="ABJ29" s="49"/>
      <c r="ABK29" s="49"/>
      <c r="ABL29" s="49"/>
      <c r="ABM29" s="49"/>
      <c r="ABN29" s="49"/>
      <c r="ABO29" s="49"/>
      <c r="ABP29" s="49"/>
      <c r="ABQ29" s="49"/>
      <c r="ABR29" s="49"/>
      <c r="ABS29" s="49"/>
      <c r="ABT29" s="49"/>
      <c r="ABU29" s="49"/>
      <c r="ABV29" s="49"/>
      <c r="ABW29" s="49"/>
      <c r="ABX29" s="49"/>
      <c r="ABY29" s="49"/>
      <c r="ABZ29" s="49"/>
      <c r="ACA29" s="49"/>
      <c r="ACB29" s="49"/>
      <c r="ACC29" s="49"/>
      <c r="ACD29" s="49"/>
      <c r="ACE29" s="49"/>
      <c r="ACF29" s="49"/>
      <c r="ACG29" s="49"/>
      <c r="ACH29" s="49"/>
      <c r="ACI29" s="49"/>
      <c r="ACJ29" s="49"/>
      <c r="ACK29" s="49"/>
      <c r="ACL29" s="49"/>
      <c r="ACM29" s="49"/>
      <c r="ACN29" s="49"/>
      <c r="ACO29" s="49"/>
      <c r="ACP29" s="49"/>
      <c r="ACQ29" s="49"/>
      <c r="ACR29" s="49"/>
      <c r="ACS29" s="49"/>
      <c r="ACT29" s="49"/>
      <c r="ACU29" s="49"/>
      <c r="ACV29" s="49"/>
      <c r="ACW29" s="49"/>
      <c r="ACX29" s="49"/>
      <c r="ACY29" s="49"/>
      <c r="ACZ29" s="49"/>
      <c r="ADA29" s="49"/>
      <c r="ADB29" s="49"/>
      <c r="ADC29" s="49"/>
      <c r="ADD29" s="49"/>
      <c r="ADE29" s="49"/>
      <c r="ADF29" s="49"/>
      <c r="ADG29" s="49"/>
      <c r="ADH29" s="49"/>
      <c r="ADI29" s="49"/>
      <c r="ADJ29" s="49"/>
      <c r="ADK29" s="49"/>
      <c r="ADL29" s="49"/>
      <c r="ADM29" s="49"/>
      <c r="ADN29" s="49"/>
      <c r="ADO29" s="49"/>
      <c r="ADP29" s="49"/>
      <c r="ADQ29" s="49"/>
      <c r="ADR29" s="49"/>
      <c r="ADS29" s="49"/>
      <c r="ADT29" s="49"/>
      <c r="ADU29" s="49"/>
      <c r="ADV29" s="49"/>
      <c r="ADW29" s="49"/>
      <c r="ADX29" s="49"/>
      <c r="ADY29" s="49"/>
      <c r="ADZ29" s="49"/>
      <c r="AEA29" s="49"/>
      <c r="AEB29" s="49"/>
      <c r="AEC29" s="49"/>
      <c r="AED29" s="49"/>
      <c r="AEE29" s="49"/>
      <c r="AEF29" s="49"/>
      <c r="AEG29" s="49"/>
      <c r="AEH29" s="49"/>
      <c r="AEI29" s="49"/>
      <c r="AEJ29" s="49"/>
      <c r="AEK29" s="49"/>
      <c r="AEL29" s="49"/>
      <c r="AEM29" s="49"/>
      <c r="AEN29" s="49"/>
      <c r="AEO29" s="49"/>
      <c r="AEP29" s="49"/>
      <c r="AEQ29" s="49"/>
      <c r="AER29" s="49"/>
      <c r="AES29" s="49"/>
      <c r="AET29" s="49"/>
      <c r="AEU29" s="49"/>
      <c r="AEV29" s="49"/>
      <c r="AEW29" s="49"/>
      <c r="AEX29" s="49"/>
      <c r="AEY29" s="49"/>
      <c r="AEZ29" s="49"/>
      <c r="AFA29" s="49"/>
      <c r="AFB29" s="49"/>
      <c r="AFC29" s="49"/>
      <c r="AFD29" s="49"/>
      <c r="AFE29" s="49"/>
      <c r="AFF29" s="49"/>
      <c r="AFG29" s="49"/>
      <c r="AFH29" s="49"/>
      <c r="AFI29" s="49"/>
      <c r="AFJ29" s="49"/>
      <c r="AFK29" s="49"/>
      <c r="AFL29" s="49"/>
      <c r="AFM29" s="49"/>
      <c r="AFN29" s="49"/>
      <c r="AFO29" s="49"/>
      <c r="AFP29" s="49"/>
      <c r="AFQ29" s="49"/>
      <c r="AFR29" s="49"/>
      <c r="AFS29" s="49"/>
      <c r="AFT29" s="49"/>
      <c r="AFU29" s="49"/>
      <c r="AFV29" s="49"/>
      <c r="AFW29" s="49"/>
      <c r="AFX29" s="49"/>
      <c r="AFY29" s="49"/>
      <c r="AFZ29" s="49"/>
      <c r="AGA29" s="49"/>
      <c r="AGB29" s="49"/>
      <c r="AGC29" s="49"/>
      <c r="AGD29" s="49"/>
      <c r="AGE29" s="49"/>
      <c r="AGF29" s="49"/>
      <c r="AGG29" s="49"/>
      <c r="AGH29" s="49"/>
      <c r="AGI29" s="49"/>
      <c r="AGJ29" s="49"/>
      <c r="AGK29" s="49"/>
      <c r="AGL29" s="49"/>
      <c r="AGM29" s="49"/>
      <c r="AGN29" s="49"/>
      <c r="AGO29" s="49"/>
      <c r="AGP29" s="49"/>
      <c r="AGQ29" s="49"/>
      <c r="AGR29" s="49"/>
      <c r="AGS29" s="49"/>
      <c r="AGT29" s="49"/>
      <c r="AGU29" s="49"/>
      <c r="AGV29" s="49"/>
      <c r="AGW29" s="49"/>
      <c r="AGX29" s="49"/>
      <c r="AGY29" s="49"/>
      <c r="AGZ29" s="49"/>
      <c r="AHA29" s="49"/>
      <c r="AHB29" s="49"/>
      <c r="AHC29" s="49"/>
      <c r="AHD29" s="49"/>
      <c r="AHE29" s="49"/>
      <c r="AHF29" s="49"/>
      <c r="AHG29" s="49"/>
      <c r="AHH29" s="49"/>
      <c r="AHI29" s="49"/>
      <c r="AHJ29" s="49"/>
      <c r="AHK29" s="49"/>
      <c r="AHL29" s="49"/>
      <c r="AHM29" s="49"/>
      <c r="AHN29" s="49"/>
      <c r="AHO29" s="49"/>
      <c r="AHP29" s="49"/>
      <c r="AHQ29" s="49"/>
      <c r="AHR29" s="49"/>
      <c r="AHS29" s="49"/>
      <c r="AHT29" s="49"/>
      <c r="AHU29" s="49"/>
      <c r="AHV29" s="49"/>
      <c r="AHW29" s="49"/>
      <c r="AHX29" s="49"/>
      <c r="AHY29" s="49"/>
      <c r="AHZ29" s="49"/>
      <c r="AIA29" s="49"/>
      <c r="AIB29" s="49"/>
      <c r="AIC29" s="49"/>
      <c r="AID29" s="49"/>
      <c r="AIE29" s="49"/>
      <c r="AIF29" s="49"/>
      <c r="AIG29" s="49"/>
      <c r="AIH29" s="49"/>
      <c r="AII29" s="49"/>
      <c r="AIJ29" s="49"/>
      <c r="AIK29" s="49"/>
      <c r="AIL29" s="49"/>
      <c r="AIM29" s="49"/>
      <c r="AIN29" s="49"/>
      <c r="AIO29" s="49"/>
      <c r="AIP29" s="49"/>
      <c r="AIQ29" s="49"/>
      <c r="AIR29" s="49"/>
      <c r="AIS29" s="49"/>
      <c r="AIT29" s="49"/>
      <c r="AIU29" s="49"/>
      <c r="AIV29" s="49"/>
      <c r="AIW29" s="49"/>
      <c r="AIX29" s="49"/>
      <c r="AIY29" s="49"/>
      <c r="AIZ29" s="49"/>
      <c r="AJA29" s="49"/>
      <c r="AJB29" s="49"/>
      <c r="AJC29" s="49"/>
      <c r="AJD29" s="49"/>
      <c r="AJE29" s="49"/>
      <c r="AJF29" s="49"/>
      <c r="AJG29" s="49"/>
      <c r="AJH29" s="49"/>
      <c r="AJI29" s="49"/>
      <c r="AJJ29" s="49"/>
      <c r="AJK29" s="49"/>
      <c r="AJL29" s="49"/>
      <c r="AJM29" s="49"/>
      <c r="AJN29" s="49"/>
      <c r="AJO29" s="49"/>
      <c r="AJP29" s="49"/>
      <c r="AJQ29" s="49"/>
      <c r="AJR29" s="49"/>
      <c r="AJS29" s="49"/>
      <c r="AJT29" s="49"/>
      <c r="AJU29" s="49"/>
      <c r="AJV29" s="49"/>
      <c r="AJW29" s="49"/>
      <c r="AJX29" s="49"/>
      <c r="AJY29" s="49"/>
      <c r="AJZ29" s="49"/>
      <c r="AKA29" s="49"/>
      <c r="AKB29" s="49"/>
      <c r="AKC29" s="49"/>
      <c r="AKD29" s="49"/>
      <c r="AKE29" s="49"/>
      <c r="AKF29" s="49"/>
      <c r="AKG29" s="49"/>
      <c r="AKH29" s="49"/>
      <c r="AKI29" s="49"/>
      <c r="AKJ29" s="49"/>
      <c r="AKK29" s="49"/>
      <c r="AKL29" s="49"/>
      <c r="AKM29" s="49"/>
      <c r="AKN29" s="49"/>
      <c r="AKO29" s="49"/>
      <c r="AKP29" s="49"/>
      <c r="AKQ29" s="49"/>
      <c r="AKR29" s="49"/>
      <c r="AKS29" s="49"/>
      <c r="AKT29" s="49"/>
      <c r="AKU29" s="49"/>
      <c r="AKV29" s="49"/>
      <c r="AKW29" s="49"/>
      <c r="AKX29" s="49"/>
      <c r="AKY29" s="49"/>
      <c r="AKZ29" s="49"/>
      <c r="ALA29" s="49"/>
      <c r="ALB29" s="49"/>
      <c r="ALC29" s="49"/>
      <c r="ALD29" s="49"/>
      <c r="ALE29" s="49"/>
      <c r="ALF29" s="49"/>
      <c r="ALG29" s="49"/>
      <c r="ALH29" s="49"/>
      <c r="ALI29" s="49"/>
      <c r="ALJ29" s="49"/>
      <c r="ALK29" s="49"/>
      <c r="ALL29" s="49"/>
      <c r="ALM29" s="49"/>
      <c r="ALN29" s="49"/>
      <c r="ALO29" s="49"/>
      <c r="ALP29" s="49"/>
      <c r="ALQ29" s="49"/>
      <c r="ALR29" s="49"/>
      <c r="ALS29" s="49"/>
      <c r="ALT29" s="49"/>
      <c r="ALU29" s="49"/>
      <c r="ALV29" s="49"/>
      <c r="ALW29" s="49"/>
      <c r="ALX29" s="49"/>
      <c r="ALY29" s="49"/>
      <c r="ALZ29" s="49"/>
      <c r="AMA29" s="49"/>
      <c r="AMB29" s="49"/>
      <c r="AMC29" s="49"/>
      <c r="AMD29" s="49"/>
      <c r="AME29" s="49"/>
      <c r="AMF29" s="49"/>
      <c r="AMG29" s="49"/>
      <c r="AMH29" s="49"/>
      <c r="AMI29" s="49"/>
      <c r="AMJ29" s="49"/>
      <c r="AMK29" s="49"/>
      <c r="AML29" s="49"/>
      <c r="AMM29" s="49"/>
      <c r="AMN29" s="49"/>
      <c r="AMO29" s="49"/>
      <c r="AMP29" s="49"/>
      <c r="AMQ29" s="49"/>
      <c r="AMR29" s="49"/>
      <c r="AMS29" s="49"/>
      <c r="AMT29" s="49"/>
      <c r="AMU29" s="49"/>
      <c r="AMV29" s="49"/>
      <c r="AMW29" s="49"/>
      <c r="AMX29" s="49"/>
      <c r="AMY29" s="49"/>
      <c r="AMZ29" s="49"/>
      <c r="ANA29" s="49"/>
      <c r="ANB29" s="49"/>
      <c r="ANC29" s="49"/>
      <c r="AND29" s="49"/>
      <c r="ANE29" s="49"/>
      <c r="ANF29" s="49"/>
      <c r="ANG29" s="49"/>
      <c r="ANH29" s="49"/>
      <c r="ANI29" s="49"/>
      <c r="ANJ29" s="49"/>
      <c r="ANK29" s="49"/>
      <c r="ANL29" s="49"/>
      <c r="ANM29" s="49"/>
      <c r="ANN29" s="49"/>
      <c r="ANO29" s="49"/>
      <c r="ANP29" s="49"/>
      <c r="ANQ29" s="49"/>
      <c r="ANR29" s="49"/>
      <c r="ANS29" s="49"/>
      <c r="ANT29" s="49"/>
      <c r="ANU29" s="49"/>
      <c r="ANV29" s="49"/>
      <c r="ANW29" s="49"/>
      <c r="ANX29" s="49"/>
      <c r="ANY29" s="49"/>
      <c r="ANZ29" s="49"/>
      <c r="AOA29" s="49"/>
      <c r="AOB29" s="49"/>
      <c r="AOC29" s="49"/>
      <c r="AOD29" s="49"/>
      <c r="AOE29" s="49"/>
      <c r="AOF29" s="49"/>
      <c r="AOG29" s="49"/>
      <c r="AOH29" s="49"/>
      <c r="AOI29" s="49"/>
      <c r="AOJ29" s="49"/>
      <c r="AOK29" s="49"/>
      <c r="AOL29" s="49"/>
      <c r="AOM29" s="49"/>
      <c r="AON29" s="49"/>
      <c r="AOO29" s="49"/>
      <c r="AOP29" s="49"/>
      <c r="AOQ29" s="49"/>
      <c r="AOR29" s="49"/>
      <c r="AOS29" s="49"/>
      <c r="AOT29" s="49"/>
      <c r="AOU29" s="49"/>
      <c r="AOV29" s="49"/>
      <c r="AOW29" s="49"/>
      <c r="AOX29" s="49"/>
      <c r="AOY29" s="49"/>
      <c r="AOZ29" s="49"/>
      <c r="APA29" s="49"/>
      <c r="APB29" s="49"/>
      <c r="APC29" s="49"/>
      <c r="APD29" s="49"/>
      <c r="APE29" s="49"/>
      <c r="APF29" s="49"/>
      <c r="APG29" s="49"/>
      <c r="APH29" s="49"/>
      <c r="API29" s="49"/>
      <c r="APJ29" s="49"/>
      <c r="APK29" s="49"/>
      <c r="APL29" s="49"/>
      <c r="APM29" s="49"/>
      <c r="APN29" s="49"/>
      <c r="APO29" s="49"/>
      <c r="APP29" s="49"/>
      <c r="APQ29" s="49"/>
      <c r="APR29" s="49"/>
      <c r="APS29" s="49"/>
      <c r="APT29" s="49"/>
      <c r="APU29" s="49"/>
      <c r="APV29" s="49"/>
      <c r="APW29" s="49"/>
      <c r="APX29" s="49"/>
      <c r="APY29" s="49"/>
      <c r="APZ29" s="49"/>
      <c r="AQA29" s="49"/>
      <c r="AQB29" s="49"/>
      <c r="AQC29" s="49"/>
      <c r="AQD29" s="49"/>
      <c r="AQE29" s="49"/>
      <c r="AQF29" s="49"/>
      <c r="AQG29" s="49"/>
      <c r="AQH29" s="49"/>
      <c r="AQI29" s="49"/>
      <c r="AQJ29" s="49"/>
      <c r="AQK29" s="49"/>
      <c r="AQL29" s="49"/>
      <c r="AQM29" s="49"/>
      <c r="AQN29" s="49"/>
      <c r="AQO29" s="49"/>
      <c r="AQP29" s="49"/>
      <c r="AQQ29" s="49"/>
      <c r="AQR29" s="49"/>
      <c r="AQS29" s="49"/>
      <c r="AQT29" s="49"/>
      <c r="AQU29" s="49"/>
      <c r="AQV29" s="49"/>
      <c r="AQW29" s="49"/>
      <c r="AQX29" s="49"/>
      <c r="AQY29" s="49"/>
      <c r="AQZ29" s="49"/>
      <c r="ARA29" s="49"/>
      <c r="ARB29" s="49"/>
      <c r="ARC29" s="49"/>
      <c r="ARD29" s="49"/>
      <c r="ARE29" s="49"/>
      <c r="ARF29" s="49"/>
      <c r="ARG29" s="49"/>
      <c r="ARH29" s="49"/>
      <c r="ARI29" s="49"/>
      <c r="ARJ29" s="49"/>
      <c r="ARK29" s="49"/>
      <c r="ARL29" s="49"/>
      <c r="ARM29" s="49"/>
      <c r="ARN29" s="49"/>
      <c r="ARO29" s="49"/>
      <c r="ARP29" s="49"/>
      <c r="ARQ29" s="49"/>
      <c r="ARR29" s="49"/>
      <c r="ARS29" s="49"/>
      <c r="ART29" s="49"/>
      <c r="ARU29" s="49"/>
      <c r="ARV29" s="49"/>
      <c r="ARW29" s="49"/>
      <c r="ARX29" s="49"/>
      <c r="ARY29" s="49"/>
      <c r="ARZ29" s="49"/>
      <c r="ASA29" s="49"/>
      <c r="ASB29" s="49"/>
      <c r="ASC29" s="49"/>
      <c r="ASD29" s="49"/>
      <c r="ASE29" s="49"/>
      <c r="ASF29" s="49"/>
      <c r="ASG29" s="49"/>
      <c r="ASH29" s="49"/>
      <c r="ASI29" s="49"/>
      <c r="ASJ29" s="49"/>
      <c r="ASK29" s="49"/>
      <c r="ASL29" s="49"/>
      <c r="ASM29" s="49"/>
      <c r="ASN29" s="49"/>
      <c r="ASO29" s="49"/>
      <c r="ASP29" s="49"/>
      <c r="ASQ29" s="49"/>
      <c r="ASR29" s="49"/>
      <c r="ASS29" s="49"/>
      <c r="AST29" s="49"/>
      <c r="ASU29" s="49"/>
      <c r="ASV29" s="49"/>
      <c r="ASW29" s="49"/>
      <c r="ASX29" s="49"/>
      <c r="ASY29" s="49"/>
      <c r="ASZ29" s="49"/>
      <c r="ATA29" s="49"/>
      <c r="ATB29" s="49"/>
      <c r="ATC29" s="49"/>
      <c r="ATD29" s="49"/>
      <c r="ATE29" s="49"/>
      <c r="ATF29" s="49"/>
      <c r="ATG29" s="49"/>
      <c r="ATH29" s="49"/>
      <c r="ATI29" s="49"/>
      <c r="ATJ29" s="49"/>
      <c r="ATK29" s="49"/>
      <c r="ATL29" s="49"/>
      <c r="ATM29" s="49"/>
      <c r="ATN29" s="49"/>
      <c r="ATO29" s="49"/>
      <c r="ATP29" s="49"/>
      <c r="ATQ29" s="49"/>
      <c r="ATR29" s="49"/>
      <c r="ATS29" s="49"/>
      <c r="ATT29" s="49"/>
      <c r="ATU29" s="49"/>
      <c r="ATV29" s="49"/>
      <c r="ATW29" s="49"/>
      <c r="ATX29" s="49"/>
      <c r="ATY29" s="49"/>
      <c r="ATZ29" s="49"/>
      <c r="AUA29" s="49"/>
      <c r="AUB29" s="49"/>
      <c r="AUC29" s="49"/>
      <c r="AUD29" s="49"/>
      <c r="AUE29" s="49"/>
      <c r="AUF29" s="49"/>
      <c r="AUG29" s="49"/>
      <c r="AUH29" s="49"/>
      <c r="AUI29" s="49"/>
      <c r="AUJ29" s="49"/>
      <c r="AUK29" s="49"/>
      <c r="AUL29" s="49"/>
      <c r="AUM29" s="49"/>
      <c r="AUN29" s="49"/>
      <c r="AUO29" s="49"/>
      <c r="AUP29" s="49"/>
      <c r="AUQ29" s="49"/>
      <c r="AUR29" s="49"/>
      <c r="AUS29" s="49"/>
      <c r="AUT29" s="49"/>
      <c r="AUU29" s="49"/>
      <c r="AUV29" s="49"/>
      <c r="AUW29" s="49"/>
      <c r="AUX29" s="49"/>
      <c r="AUY29" s="49"/>
      <c r="AUZ29" s="49"/>
      <c r="AVA29" s="49"/>
      <c r="AVB29" s="49"/>
      <c r="AVC29" s="49"/>
      <c r="AVD29" s="49"/>
      <c r="AVE29" s="49"/>
      <c r="AVF29" s="49"/>
      <c r="AVG29" s="49"/>
      <c r="AVH29" s="49"/>
      <c r="AVI29" s="49"/>
      <c r="AVJ29" s="49"/>
      <c r="AVK29" s="49"/>
      <c r="AVL29" s="49"/>
      <c r="AVM29" s="49"/>
      <c r="AVN29" s="49"/>
      <c r="AVO29" s="49"/>
      <c r="AVP29" s="49"/>
      <c r="AVQ29" s="49"/>
      <c r="AVR29" s="49"/>
      <c r="AVS29" s="49"/>
      <c r="AVT29" s="49"/>
      <c r="AVU29" s="49"/>
      <c r="AVV29" s="49"/>
      <c r="AVW29" s="49"/>
      <c r="AVX29" s="49"/>
      <c r="AVY29" s="49"/>
      <c r="AVZ29" s="49"/>
      <c r="AWA29" s="49"/>
      <c r="AWB29" s="49"/>
      <c r="AWC29" s="49"/>
      <c r="AWD29" s="49"/>
      <c r="AWE29" s="49"/>
      <c r="AWF29" s="49"/>
      <c r="AWG29" s="49"/>
      <c r="AWH29" s="49"/>
      <c r="AWI29" s="49"/>
      <c r="AWJ29" s="49"/>
      <c r="AWK29" s="49"/>
      <c r="AWL29" s="49"/>
      <c r="AWM29" s="49"/>
      <c r="AWN29" s="49"/>
      <c r="AWO29" s="49"/>
      <c r="AWP29" s="49"/>
      <c r="AWQ29" s="49"/>
      <c r="AWR29" s="49"/>
      <c r="AWS29" s="49"/>
      <c r="AWT29" s="49"/>
      <c r="AWU29" s="49"/>
      <c r="AWV29" s="49"/>
      <c r="AWW29" s="49"/>
      <c r="AWX29" s="49"/>
      <c r="AWY29" s="49"/>
      <c r="AWZ29" s="49"/>
      <c r="AXA29" s="49"/>
      <c r="AXB29" s="49"/>
      <c r="AXC29" s="49"/>
      <c r="AXD29" s="49"/>
      <c r="AXE29" s="49"/>
      <c r="AXF29" s="49"/>
      <c r="AXG29" s="49"/>
      <c r="AXH29" s="49"/>
      <c r="AXI29" s="49"/>
      <c r="AXJ29" s="49"/>
      <c r="AXK29" s="49"/>
      <c r="AXL29" s="49"/>
      <c r="AXM29" s="49"/>
      <c r="AXN29" s="49"/>
      <c r="AXO29" s="49"/>
      <c r="AXP29" s="49"/>
      <c r="AXQ29" s="49"/>
      <c r="AXR29" s="49"/>
      <c r="AXS29" s="49"/>
      <c r="AXT29" s="49"/>
      <c r="AXU29" s="49"/>
      <c r="AXV29" s="49"/>
      <c r="AXW29" s="49"/>
      <c r="AXX29" s="49"/>
      <c r="AXY29" s="49"/>
      <c r="AXZ29" s="49"/>
      <c r="AYA29" s="49"/>
      <c r="AYB29" s="49"/>
      <c r="AYC29" s="49"/>
      <c r="AYD29" s="49"/>
      <c r="AYE29" s="49"/>
      <c r="AYF29" s="49"/>
      <c r="AYG29" s="49"/>
      <c r="AYH29" s="49"/>
      <c r="AYI29" s="49"/>
      <c r="AYJ29" s="49"/>
      <c r="AYK29" s="49"/>
      <c r="AYL29" s="49"/>
      <c r="AYM29" s="49"/>
      <c r="AYN29" s="49"/>
      <c r="AYO29" s="49"/>
      <c r="AYP29" s="49"/>
      <c r="AYQ29" s="49"/>
      <c r="AYR29" s="49"/>
      <c r="AYS29" s="49"/>
      <c r="AYT29" s="49"/>
      <c r="AYU29" s="49"/>
      <c r="AYV29" s="49"/>
      <c r="AYW29" s="49"/>
      <c r="AYX29" s="49"/>
      <c r="AYY29" s="49"/>
      <c r="AYZ29" s="49"/>
      <c r="AZA29" s="49"/>
      <c r="AZB29" s="49"/>
      <c r="AZC29" s="49"/>
      <c r="AZD29" s="49"/>
      <c r="AZE29" s="49"/>
      <c r="AZF29" s="49"/>
      <c r="AZG29" s="49"/>
      <c r="AZH29" s="49"/>
      <c r="AZI29" s="49"/>
      <c r="AZJ29" s="49"/>
      <c r="AZK29" s="49"/>
      <c r="AZL29" s="49"/>
      <c r="AZM29" s="49"/>
      <c r="AZN29" s="49"/>
      <c r="AZO29" s="49"/>
      <c r="AZP29" s="49"/>
      <c r="AZQ29" s="49"/>
      <c r="AZR29" s="49"/>
      <c r="AZS29" s="49"/>
      <c r="AZT29" s="49"/>
      <c r="AZU29" s="49"/>
      <c r="AZV29" s="49"/>
      <c r="AZW29" s="49"/>
      <c r="AZX29" s="49"/>
      <c r="AZY29" s="49"/>
      <c r="AZZ29" s="49"/>
      <c r="BAA29" s="49"/>
      <c r="BAB29" s="49"/>
      <c r="BAC29" s="49"/>
      <c r="BAD29" s="49"/>
      <c r="BAE29" s="49"/>
      <c r="BAF29" s="49"/>
      <c r="BAG29" s="49"/>
      <c r="BAH29" s="49"/>
      <c r="BAI29" s="49"/>
      <c r="BAJ29" s="49"/>
      <c r="BAK29" s="49"/>
      <c r="BAL29" s="49"/>
      <c r="BAM29" s="49"/>
      <c r="BAN29" s="49"/>
      <c r="BAO29" s="49"/>
      <c r="BAP29" s="49"/>
      <c r="BAQ29" s="49"/>
      <c r="BAR29" s="49"/>
      <c r="BAS29" s="49"/>
      <c r="BAT29" s="49"/>
      <c r="BAU29" s="49"/>
      <c r="BAV29" s="49"/>
      <c r="BAW29" s="49"/>
      <c r="BAX29" s="49"/>
      <c r="BAY29" s="49"/>
      <c r="BAZ29" s="49"/>
      <c r="BBA29" s="49"/>
      <c r="BBB29" s="49"/>
      <c r="BBC29" s="49"/>
      <c r="BBD29" s="49"/>
      <c r="BBE29" s="49"/>
      <c r="BBF29" s="49"/>
      <c r="BBG29" s="49"/>
      <c r="BBH29" s="49"/>
      <c r="BBI29" s="49"/>
      <c r="BBJ29" s="49"/>
      <c r="BBK29" s="49"/>
      <c r="BBL29" s="49"/>
      <c r="BBM29" s="49"/>
      <c r="BBN29" s="49"/>
      <c r="BBO29" s="49"/>
      <c r="BBP29" s="49"/>
      <c r="BBQ29" s="49"/>
      <c r="BBR29" s="49"/>
      <c r="BBS29" s="49"/>
      <c r="BBT29" s="49"/>
      <c r="BBU29" s="49"/>
      <c r="BBV29" s="49"/>
      <c r="BBW29" s="49"/>
      <c r="BBX29" s="49"/>
      <c r="BBY29" s="49"/>
      <c r="BBZ29" s="49"/>
      <c r="BCA29" s="49"/>
      <c r="BCB29" s="49"/>
      <c r="BCC29" s="49"/>
      <c r="BCD29" s="49"/>
      <c r="BCE29" s="49"/>
      <c r="BCF29" s="49"/>
      <c r="BCG29" s="49"/>
      <c r="BCH29" s="49"/>
      <c r="BCI29" s="49"/>
      <c r="BCJ29" s="49"/>
      <c r="BCK29" s="49"/>
      <c r="BCL29" s="49"/>
      <c r="BCM29" s="49"/>
      <c r="BCN29" s="49"/>
      <c r="BCO29" s="49"/>
      <c r="BCP29" s="49"/>
      <c r="BCQ29" s="49"/>
      <c r="BCR29" s="49"/>
      <c r="BCS29" s="49"/>
      <c r="BCT29" s="49"/>
      <c r="BCU29" s="49"/>
      <c r="BCV29" s="49"/>
      <c r="BCW29" s="49"/>
      <c r="BCX29" s="49"/>
      <c r="BCY29" s="49"/>
      <c r="BCZ29" s="49"/>
      <c r="BDA29" s="49"/>
      <c r="BDB29" s="49"/>
      <c r="BDC29" s="49"/>
      <c r="BDD29" s="49"/>
      <c r="BDE29" s="49"/>
      <c r="BDF29" s="49"/>
      <c r="BDG29" s="49"/>
      <c r="BDH29" s="49"/>
      <c r="BDI29" s="49"/>
      <c r="BDJ29" s="49"/>
      <c r="BDK29" s="49"/>
      <c r="BDL29" s="49"/>
      <c r="BDM29" s="49"/>
      <c r="BDN29" s="49"/>
      <c r="BDO29" s="49"/>
      <c r="BDP29" s="49"/>
      <c r="BDQ29" s="49"/>
      <c r="BDR29" s="49"/>
      <c r="BDS29" s="49"/>
      <c r="BDT29" s="49"/>
      <c r="BDU29" s="49"/>
      <c r="BDV29" s="49"/>
      <c r="BDW29" s="49"/>
      <c r="BDX29" s="49"/>
      <c r="BDY29" s="49"/>
      <c r="BDZ29" s="49"/>
      <c r="BEA29" s="49"/>
      <c r="BEB29" s="49"/>
      <c r="BEC29" s="49"/>
      <c r="BED29" s="49"/>
      <c r="BEE29" s="49"/>
      <c r="BEF29" s="49"/>
      <c r="BEG29" s="49"/>
      <c r="BEH29" s="49"/>
      <c r="BEI29" s="49"/>
      <c r="BEJ29" s="49"/>
      <c r="BEK29" s="49"/>
      <c r="BEL29" s="49"/>
      <c r="BEM29" s="49"/>
      <c r="BEN29" s="49"/>
      <c r="BEO29" s="49"/>
      <c r="BEP29" s="49"/>
      <c r="BEQ29" s="49"/>
      <c r="BER29" s="49"/>
      <c r="BES29" s="49"/>
      <c r="BET29" s="49"/>
      <c r="BEU29" s="49"/>
      <c r="BEV29" s="49"/>
      <c r="BEW29" s="49"/>
      <c r="BEX29" s="49"/>
      <c r="BEY29" s="49"/>
      <c r="BEZ29" s="49"/>
      <c r="BFA29" s="49"/>
      <c r="BFB29" s="49"/>
      <c r="BFC29" s="49"/>
      <c r="BFD29" s="49"/>
      <c r="BFE29" s="49"/>
      <c r="BFF29" s="49"/>
      <c r="BFG29" s="49"/>
      <c r="BFH29" s="49"/>
      <c r="BFI29" s="49"/>
      <c r="BFJ29" s="49"/>
      <c r="BFK29" s="49"/>
      <c r="BFL29" s="49"/>
      <c r="BFM29" s="49"/>
      <c r="BFN29" s="49"/>
      <c r="BFO29" s="49"/>
      <c r="BFP29" s="49"/>
      <c r="BFQ29" s="49"/>
      <c r="BFR29" s="49"/>
      <c r="BFS29" s="49"/>
      <c r="BFT29" s="49"/>
      <c r="BFU29" s="49"/>
      <c r="BFV29" s="49"/>
      <c r="BFW29" s="49"/>
      <c r="BFX29" s="49"/>
      <c r="BFY29" s="49"/>
      <c r="BFZ29" s="49"/>
      <c r="BGA29" s="49"/>
      <c r="BGB29" s="49"/>
      <c r="BGC29" s="49"/>
      <c r="BGD29" s="49"/>
      <c r="BGE29" s="49"/>
      <c r="BGF29" s="49"/>
      <c r="BGG29" s="49"/>
      <c r="BGH29" s="49"/>
      <c r="BGI29" s="49"/>
      <c r="BGJ29" s="49"/>
      <c r="BGK29" s="49"/>
      <c r="BGL29" s="49"/>
      <c r="BGM29" s="49"/>
      <c r="BGN29" s="49"/>
      <c r="BGO29" s="49"/>
      <c r="BGP29" s="49"/>
      <c r="BGQ29" s="49"/>
      <c r="BGR29" s="49"/>
      <c r="BGS29" s="49"/>
      <c r="BGT29" s="49"/>
      <c r="BGU29" s="49"/>
      <c r="BGV29" s="49"/>
      <c r="BGW29" s="49"/>
      <c r="BGX29" s="49"/>
      <c r="BGY29" s="49"/>
      <c r="BGZ29" s="49"/>
      <c r="BHA29" s="49"/>
      <c r="BHB29" s="49"/>
      <c r="BHC29" s="49"/>
      <c r="BHD29" s="49"/>
      <c r="BHE29" s="49"/>
      <c r="BHF29" s="49"/>
      <c r="BHG29" s="49"/>
      <c r="BHH29" s="49"/>
      <c r="BHI29" s="49"/>
      <c r="BHJ29" s="49"/>
      <c r="BHK29" s="49"/>
      <c r="BHL29" s="49"/>
      <c r="BHM29" s="49"/>
      <c r="BHN29" s="49"/>
      <c r="BHO29" s="49"/>
      <c r="BHP29" s="49"/>
      <c r="BHQ29" s="49"/>
      <c r="BHR29" s="49"/>
      <c r="BHS29" s="49"/>
      <c r="BHT29" s="49"/>
      <c r="BHU29" s="49"/>
      <c r="BHV29" s="49"/>
      <c r="BHW29" s="49"/>
      <c r="BHX29" s="49"/>
      <c r="BHY29" s="49"/>
      <c r="BHZ29" s="49"/>
      <c r="BIA29" s="49"/>
      <c r="BIB29" s="49"/>
      <c r="BIC29" s="49"/>
      <c r="BID29" s="49"/>
      <c r="BIE29" s="49"/>
      <c r="BIF29" s="49"/>
      <c r="BIG29" s="49"/>
      <c r="BIH29" s="49"/>
      <c r="BII29" s="49"/>
      <c r="BIJ29" s="49"/>
      <c r="BIK29" s="49"/>
      <c r="BIL29" s="49"/>
      <c r="BIM29" s="49"/>
      <c r="BIN29" s="49"/>
      <c r="BIO29" s="49"/>
      <c r="BIP29" s="49"/>
      <c r="BIQ29" s="49"/>
      <c r="BIR29" s="49"/>
      <c r="BIS29" s="49"/>
      <c r="BIT29" s="49"/>
      <c r="BIU29" s="49"/>
      <c r="BIV29" s="49"/>
      <c r="BIW29" s="49"/>
      <c r="BIX29" s="49"/>
      <c r="BIY29" s="49"/>
      <c r="BIZ29" s="49"/>
      <c r="BJA29" s="49"/>
      <c r="BJB29" s="49"/>
      <c r="BJC29" s="49"/>
      <c r="BJD29" s="49"/>
      <c r="BJE29" s="49"/>
      <c r="BJF29" s="49"/>
      <c r="BJG29" s="49"/>
      <c r="BJH29" s="49"/>
      <c r="BJI29" s="49"/>
      <c r="BJJ29" s="49"/>
      <c r="BJK29" s="49"/>
      <c r="BJL29" s="49"/>
      <c r="BJM29" s="49"/>
      <c r="BJN29" s="49"/>
      <c r="BJO29" s="49"/>
      <c r="BJP29" s="49"/>
      <c r="BJQ29" s="49"/>
      <c r="BJR29" s="49"/>
      <c r="BJS29" s="49"/>
      <c r="BJT29" s="49"/>
      <c r="BJU29" s="49"/>
      <c r="BJV29" s="49"/>
      <c r="BJW29" s="49"/>
      <c r="BJX29" s="49"/>
      <c r="BJY29" s="49"/>
      <c r="BJZ29" s="49"/>
      <c r="BKA29" s="49"/>
      <c r="BKB29" s="49"/>
      <c r="BKC29" s="49"/>
      <c r="BKD29" s="49"/>
      <c r="BKE29" s="49"/>
      <c r="BKF29" s="49"/>
      <c r="BKG29" s="49"/>
      <c r="BKH29" s="49"/>
      <c r="BKI29" s="49"/>
      <c r="BKJ29" s="49"/>
      <c r="BKK29" s="49"/>
      <c r="BKL29" s="49"/>
      <c r="BKM29" s="49"/>
      <c r="BKN29" s="49"/>
      <c r="BKO29" s="49"/>
      <c r="BKP29" s="49"/>
      <c r="BKQ29" s="49"/>
      <c r="BKR29" s="49"/>
      <c r="BKS29" s="49"/>
      <c r="BKT29" s="49"/>
      <c r="BKU29" s="49"/>
      <c r="BKV29" s="49"/>
      <c r="BKW29" s="49"/>
      <c r="BKX29" s="49"/>
      <c r="BKY29" s="49"/>
      <c r="BKZ29" s="49"/>
      <c r="BLA29" s="49"/>
      <c r="BLB29" s="49"/>
      <c r="BLC29" s="49"/>
      <c r="BLD29" s="49"/>
      <c r="BLE29" s="49"/>
      <c r="BLF29" s="49"/>
      <c r="BLG29" s="49"/>
      <c r="BLH29" s="49"/>
      <c r="BLI29" s="49"/>
      <c r="BLJ29" s="49"/>
      <c r="BLK29" s="49"/>
      <c r="BLL29" s="49"/>
      <c r="BLM29" s="49"/>
      <c r="BLN29" s="49"/>
      <c r="BLO29" s="49"/>
      <c r="BLP29" s="49"/>
      <c r="BLQ29" s="49"/>
      <c r="BLR29" s="49"/>
      <c r="BLS29" s="49"/>
      <c r="BLT29" s="49"/>
      <c r="BLU29" s="49"/>
      <c r="BLV29" s="49"/>
      <c r="BLW29" s="49"/>
      <c r="BLX29" s="49"/>
      <c r="BLY29" s="49"/>
      <c r="BLZ29" s="49"/>
      <c r="BMA29" s="49"/>
      <c r="BMB29" s="49"/>
      <c r="BMC29" s="49"/>
      <c r="BMD29" s="49"/>
      <c r="BME29" s="49"/>
      <c r="BMF29" s="49"/>
      <c r="BMG29" s="49"/>
      <c r="BMH29" s="49"/>
      <c r="BMI29" s="49"/>
      <c r="BMJ29" s="49"/>
      <c r="BMK29" s="49"/>
      <c r="BML29" s="49"/>
      <c r="BMM29" s="49"/>
      <c r="BMN29" s="49"/>
      <c r="BMO29" s="49"/>
      <c r="BMP29" s="49"/>
      <c r="BMQ29" s="49"/>
      <c r="BMR29" s="49"/>
      <c r="BMS29" s="49"/>
      <c r="BMT29" s="49"/>
      <c r="BMU29" s="49"/>
      <c r="BMV29" s="49"/>
      <c r="BMW29" s="49"/>
      <c r="BMX29" s="49"/>
      <c r="BMY29" s="49"/>
      <c r="BMZ29" s="49"/>
      <c r="BNA29" s="49"/>
      <c r="BNB29" s="49"/>
      <c r="BNC29" s="49"/>
      <c r="BND29" s="49"/>
      <c r="BNE29" s="49"/>
      <c r="BNF29" s="49"/>
      <c r="BNG29" s="49"/>
      <c r="BNH29" s="49"/>
      <c r="BNI29" s="49"/>
      <c r="BNJ29" s="49"/>
      <c r="BNK29" s="49"/>
      <c r="BNL29" s="49"/>
      <c r="BNM29" s="49"/>
      <c r="BNN29" s="49"/>
      <c r="BNO29" s="49"/>
      <c r="BNP29" s="49"/>
      <c r="BNQ29" s="49"/>
      <c r="BNR29" s="49"/>
      <c r="BNS29" s="49"/>
      <c r="BNT29" s="49"/>
      <c r="BNU29" s="49"/>
      <c r="BNV29" s="49"/>
      <c r="BNW29" s="49"/>
      <c r="BNX29" s="49"/>
      <c r="BNY29" s="49"/>
      <c r="BNZ29" s="49"/>
      <c r="BOA29" s="49"/>
      <c r="BOB29" s="49"/>
      <c r="BOC29" s="49"/>
      <c r="BOD29" s="49"/>
      <c r="BOE29" s="49"/>
      <c r="BOF29" s="49"/>
      <c r="BOG29" s="49"/>
      <c r="BOH29" s="49"/>
      <c r="BOI29" s="49"/>
      <c r="BOJ29" s="49"/>
      <c r="BOK29" s="49"/>
      <c r="BOL29" s="49"/>
      <c r="BOM29" s="49"/>
      <c r="BON29" s="49"/>
      <c r="BOO29" s="49"/>
      <c r="BOP29" s="49"/>
      <c r="BOQ29" s="49"/>
      <c r="BOR29" s="49"/>
      <c r="BOS29" s="49"/>
      <c r="BOT29" s="49"/>
      <c r="BOU29" s="49"/>
      <c r="BOV29" s="49"/>
      <c r="BOW29" s="49"/>
      <c r="BOX29" s="49"/>
      <c r="BOY29" s="49"/>
      <c r="BOZ29" s="49"/>
      <c r="BPA29" s="49"/>
      <c r="BPB29" s="49"/>
      <c r="BPC29" s="49"/>
      <c r="BPD29" s="49"/>
      <c r="BPE29" s="49"/>
      <c r="BPF29" s="49"/>
      <c r="BPG29" s="49"/>
      <c r="BPH29" s="49"/>
      <c r="BPI29" s="49"/>
      <c r="BPJ29" s="49"/>
      <c r="BPK29" s="49"/>
      <c r="BPL29" s="49"/>
      <c r="BPM29" s="49"/>
      <c r="BPN29" s="49"/>
      <c r="BPO29" s="49"/>
      <c r="BPP29" s="49"/>
      <c r="BPQ29" s="49"/>
      <c r="BPR29" s="49"/>
      <c r="BPS29" s="49"/>
      <c r="BPT29" s="49"/>
      <c r="BPU29" s="49"/>
      <c r="BPV29" s="49"/>
      <c r="BPW29" s="49"/>
      <c r="BPX29" s="49"/>
      <c r="BPY29" s="49"/>
      <c r="BPZ29" s="49"/>
      <c r="BQA29" s="49"/>
      <c r="BQB29" s="49"/>
      <c r="BQC29" s="49"/>
      <c r="BQD29" s="49"/>
      <c r="BQE29" s="49"/>
      <c r="BQF29" s="49"/>
      <c r="BQG29" s="49"/>
      <c r="BQH29" s="49"/>
      <c r="BQI29" s="49"/>
      <c r="BQJ29" s="49"/>
      <c r="BQK29" s="49"/>
      <c r="BQL29" s="49"/>
      <c r="BQM29" s="49"/>
      <c r="BQN29" s="49"/>
      <c r="BQO29" s="49"/>
      <c r="BQP29" s="49"/>
      <c r="BQQ29" s="49"/>
      <c r="BQR29" s="49"/>
      <c r="BQS29" s="49"/>
      <c r="BQT29" s="49"/>
      <c r="BQU29" s="49"/>
      <c r="BQV29" s="49"/>
      <c r="BQW29" s="49"/>
      <c r="BQX29" s="49"/>
      <c r="BQY29" s="49"/>
      <c r="BQZ29" s="49"/>
      <c r="BRA29" s="49"/>
      <c r="BRB29" s="49"/>
      <c r="BRC29" s="49"/>
      <c r="BRD29" s="49"/>
      <c r="BRE29" s="49"/>
      <c r="BRF29" s="49"/>
      <c r="BRG29" s="49"/>
      <c r="BRH29" s="49"/>
      <c r="BRI29" s="49"/>
      <c r="BRJ29" s="49"/>
      <c r="BRK29" s="49"/>
      <c r="BRL29" s="49"/>
      <c r="BRM29" s="49"/>
      <c r="BRN29" s="49"/>
      <c r="BRO29" s="49"/>
      <c r="BRP29" s="49"/>
      <c r="BRQ29" s="49"/>
      <c r="BRR29" s="49"/>
      <c r="BRS29" s="49"/>
      <c r="BRT29" s="49"/>
      <c r="BRU29" s="49"/>
      <c r="BRV29" s="49"/>
      <c r="BRW29" s="49"/>
      <c r="BRX29" s="49"/>
      <c r="BRY29" s="49"/>
      <c r="BRZ29" s="49"/>
      <c r="BSA29" s="49"/>
      <c r="BSB29" s="49"/>
      <c r="BSC29" s="49"/>
      <c r="BSD29" s="49"/>
      <c r="BSE29" s="49"/>
      <c r="BSF29" s="49"/>
      <c r="BSG29" s="49"/>
      <c r="BSH29" s="49"/>
      <c r="BSI29" s="49"/>
      <c r="BSJ29" s="49"/>
      <c r="BSK29" s="49"/>
      <c r="BSL29" s="49"/>
      <c r="BSM29" s="49"/>
      <c r="BSN29" s="49"/>
      <c r="BSO29" s="49"/>
      <c r="BSP29" s="49"/>
      <c r="BSQ29" s="49"/>
      <c r="BSR29" s="49"/>
      <c r="BSS29" s="49"/>
      <c r="BST29" s="49"/>
      <c r="BSU29" s="49"/>
      <c r="BSV29" s="49"/>
      <c r="BSW29" s="49"/>
      <c r="BSX29" s="49"/>
      <c r="BSY29" s="49"/>
      <c r="BSZ29" s="49"/>
      <c r="BTA29" s="49"/>
      <c r="BTB29" s="49"/>
      <c r="BTC29" s="49"/>
      <c r="BTD29" s="49"/>
      <c r="BTE29" s="49"/>
      <c r="BTF29" s="49"/>
      <c r="BTG29" s="49"/>
      <c r="BTH29" s="49"/>
      <c r="BTI29" s="49"/>
      <c r="BTJ29" s="49"/>
      <c r="BTK29" s="49"/>
      <c r="BTL29" s="49"/>
      <c r="BTM29" s="49"/>
      <c r="BTN29" s="49"/>
      <c r="BTO29" s="49"/>
      <c r="BTP29" s="49"/>
      <c r="BTQ29" s="49"/>
      <c r="BTR29" s="49"/>
      <c r="BTS29" s="49"/>
      <c r="BTT29" s="49"/>
      <c r="BTU29" s="49"/>
      <c r="BTV29" s="49"/>
      <c r="BTW29" s="49"/>
      <c r="BTX29" s="49"/>
      <c r="BTY29" s="49"/>
      <c r="BTZ29" s="49"/>
      <c r="BUA29" s="49"/>
      <c r="BUB29" s="49"/>
      <c r="BUC29" s="49"/>
      <c r="BUD29" s="49"/>
      <c r="BUE29" s="49"/>
      <c r="BUF29" s="49"/>
      <c r="BUG29" s="49"/>
      <c r="BUH29" s="49"/>
      <c r="BUI29" s="49"/>
      <c r="BUJ29" s="49"/>
      <c r="BUK29" s="49"/>
      <c r="BUL29" s="49"/>
      <c r="BUM29" s="49"/>
      <c r="BUN29" s="49"/>
      <c r="BUO29" s="49"/>
      <c r="BUP29" s="49"/>
      <c r="BUQ29" s="49"/>
      <c r="BUR29" s="49"/>
      <c r="BUS29" s="49"/>
      <c r="BUT29" s="49"/>
      <c r="BUU29" s="49"/>
      <c r="BUV29" s="49"/>
      <c r="BUW29" s="49"/>
      <c r="BUX29" s="49"/>
      <c r="BUY29" s="49"/>
      <c r="BUZ29" s="49"/>
      <c r="BVA29" s="49"/>
      <c r="BVB29" s="49"/>
      <c r="BVC29" s="49"/>
      <c r="BVD29" s="49"/>
      <c r="BVE29" s="49"/>
      <c r="BVF29" s="49"/>
      <c r="BVG29" s="49"/>
      <c r="BVH29" s="49"/>
      <c r="BVI29" s="49"/>
      <c r="BVJ29" s="49"/>
      <c r="BVK29" s="49"/>
      <c r="BVL29" s="49"/>
      <c r="BVM29" s="49"/>
      <c r="BVN29" s="49"/>
      <c r="BVO29" s="49"/>
      <c r="BVP29" s="49"/>
      <c r="BVQ29" s="49"/>
      <c r="BVR29" s="49"/>
      <c r="BVS29" s="49"/>
      <c r="BVT29" s="49"/>
      <c r="BVU29" s="49"/>
      <c r="BVV29" s="49"/>
      <c r="BVW29" s="49"/>
      <c r="BVX29" s="49"/>
      <c r="BVY29" s="49"/>
      <c r="BVZ29" s="49"/>
      <c r="BWA29" s="49"/>
      <c r="BWB29" s="49"/>
      <c r="BWC29" s="49"/>
      <c r="BWD29" s="49"/>
      <c r="BWE29" s="49"/>
      <c r="BWF29" s="49"/>
      <c r="BWG29" s="49"/>
      <c r="BWH29" s="49"/>
      <c r="BWI29" s="49"/>
      <c r="BWJ29" s="49"/>
    </row>
    <row r="30" spans="1:1960" x14ac:dyDescent="0.25">
      <c r="A30" s="50">
        <v>7</v>
      </c>
      <c r="B30" s="51">
        <v>25</v>
      </c>
      <c r="C30" s="52">
        <v>66.5</v>
      </c>
      <c r="D30" s="53" t="s">
        <v>24</v>
      </c>
      <c r="E30" s="271">
        <f ca="1"/>
        <v>42</v>
      </c>
      <c r="F30" s="43">
        <v>66.599999999999994</v>
      </c>
      <c r="G30" s="33">
        <v>66.5</v>
      </c>
      <c r="H30" s="43">
        <f ca="1"/>
        <v>-100</v>
      </c>
      <c r="I30" s="33">
        <f ca="1"/>
        <v>52.9</v>
      </c>
      <c r="J30" s="54" t="s">
        <v>4</v>
      </c>
      <c r="K30" s="55"/>
      <c r="L30" s="55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1960" x14ac:dyDescent="0.25">
      <c r="A31" s="56">
        <v>7</v>
      </c>
      <c r="B31" s="57">
        <v>25</v>
      </c>
      <c r="C31" s="58">
        <v>67</v>
      </c>
      <c r="D31" s="59" t="s">
        <v>24</v>
      </c>
      <c r="E31" s="271">
        <f ca="1"/>
        <v>44</v>
      </c>
      <c r="F31" s="43">
        <v>67.099999999999994</v>
      </c>
      <c r="G31" s="33">
        <v>67</v>
      </c>
      <c r="H31" s="43">
        <f ca="1"/>
        <v>-100</v>
      </c>
      <c r="I31" s="33">
        <f ca="1"/>
        <v>53</v>
      </c>
      <c r="J31" s="54" t="s">
        <v>4</v>
      </c>
      <c r="K31" s="60"/>
      <c r="L31" s="9"/>
      <c r="M31" s="61"/>
      <c r="N31" s="61"/>
      <c r="W31" s="62"/>
    </row>
    <row r="32" spans="1:1960" x14ac:dyDescent="0.25">
      <c r="A32" s="56">
        <v>7</v>
      </c>
      <c r="B32" s="57">
        <v>25</v>
      </c>
      <c r="C32" s="58">
        <v>67.5</v>
      </c>
      <c r="D32" s="59" t="s">
        <v>24</v>
      </c>
      <c r="E32" s="271">
        <f ca="1"/>
        <v>46</v>
      </c>
      <c r="F32" s="43">
        <v>67.599999999999994</v>
      </c>
      <c r="G32" s="33">
        <v>67.5</v>
      </c>
      <c r="H32" s="43">
        <f ca="1"/>
        <v>42.699999999999996</v>
      </c>
      <c r="I32" s="33">
        <f ca="1"/>
        <v>53.9</v>
      </c>
      <c r="J32" s="54" t="s">
        <v>4</v>
      </c>
      <c r="K32" s="63" t="s">
        <v>25</v>
      </c>
      <c r="L32" s="63"/>
      <c r="M32" s="64"/>
      <c r="O32" s="65" t="s">
        <v>26</v>
      </c>
      <c r="P32" s="66"/>
      <c r="Q32" s="66"/>
      <c r="R32" s="66"/>
      <c r="S32" s="66"/>
      <c r="T32" s="66"/>
      <c r="U32" s="66"/>
      <c r="V32" s="66"/>
      <c r="W32" s="62"/>
    </row>
    <row r="33" spans="1:23" x14ac:dyDescent="0.25">
      <c r="A33" s="56">
        <v>7</v>
      </c>
      <c r="B33" s="57">
        <v>25</v>
      </c>
      <c r="C33" s="58">
        <v>68</v>
      </c>
      <c r="D33" s="59" t="s">
        <v>24</v>
      </c>
      <c r="E33" s="271">
        <f ca="1"/>
        <v>48</v>
      </c>
      <c r="F33" s="43">
        <v>68.099999999999994</v>
      </c>
      <c r="G33" s="33">
        <v>68</v>
      </c>
      <c r="H33" s="43">
        <f ca="1"/>
        <v>42.9</v>
      </c>
      <c r="I33" s="33">
        <f ca="1"/>
        <v>54</v>
      </c>
      <c r="J33" s="54" t="s">
        <v>4</v>
      </c>
      <c r="N33" s="67"/>
      <c r="O33" s="68"/>
      <c r="P33" s="68"/>
      <c r="Q33" s="68"/>
      <c r="R33" s="68"/>
      <c r="S33" s="68"/>
      <c r="T33" s="69"/>
      <c r="U33" s="68"/>
      <c r="V33" s="68"/>
      <c r="W33" s="62"/>
    </row>
    <row r="34" spans="1:23" x14ac:dyDescent="0.25">
      <c r="A34" s="56">
        <v>21</v>
      </c>
      <c r="B34" s="57">
        <v>20</v>
      </c>
      <c r="C34" s="58">
        <v>77</v>
      </c>
      <c r="D34" s="59" t="s">
        <v>24</v>
      </c>
      <c r="E34" s="271">
        <f ca="1"/>
        <v>60</v>
      </c>
      <c r="F34" s="43">
        <v>77.099999999999994</v>
      </c>
      <c r="G34" s="33">
        <v>77</v>
      </c>
      <c r="H34" s="43">
        <f ca="1"/>
        <v>42.9</v>
      </c>
      <c r="I34" s="33">
        <f ca="1"/>
        <v>54.9</v>
      </c>
      <c r="J34" s="54" t="s">
        <v>4</v>
      </c>
      <c r="K34" s="70"/>
      <c r="L34" s="71" t="s">
        <v>27</v>
      </c>
      <c r="M34" s="72"/>
      <c r="O34" s="73" t="s">
        <v>14</v>
      </c>
      <c r="P34" s="74" t="s">
        <v>28</v>
      </c>
      <c r="Q34" s="75" t="s">
        <v>29</v>
      </c>
      <c r="R34" s="75" t="s">
        <v>30</v>
      </c>
      <c r="S34" s="76" t="s">
        <v>31</v>
      </c>
      <c r="T34" s="76"/>
      <c r="U34" s="76"/>
      <c r="V34" s="76"/>
      <c r="W34" s="62"/>
    </row>
    <row r="35" spans="1:23" x14ac:dyDescent="0.25">
      <c r="A35" s="56">
        <v>21</v>
      </c>
      <c r="B35" s="57">
        <v>26</v>
      </c>
      <c r="C35" s="58">
        <v>78.5</v>
      </c>
      <c r="D35" s="59" t="s">
        <v>24</v>
      </c>
      <c r="E35" s="271">
        <f ca="1"/>
        <v>62</v>
      </c>
      <c r="F35" s="43">
        <v>78.599999999999994</v>
      </c>
      <c r="G35" s="33">
        <v>78.5</v>
      </c>
      <c r="H35" s="43">
        <f ca="1"/>
        <v>42.9</v>
      </c>
      <c r="I35" s="33">
        <f ca="1"/>
        <v>55</v>
      </c>
      <c r="J35" s="54" t="s">
        <v>4</v>
      </c>
      <c r="K35" s="77" t="str">
        <f>IF(DayAheadDeals!$K$28=0,"",IF(DayAheadDeals!$K$28&lt;0,"Sell on the Exchange","Buy from the exchange"))</f>
        <v/>
      </c>
      <c r="L35" s="77"/>
      <c r="M35" s="77"/>
      <c r="O35" s="78">
        <v>1</v>
      </c>
      <c r="P35" s="232" t="str">
        <f t="shared" ref="P35:P38" si="0">IF(Q35="","",IF(Q35&lt;0,"Sell","Buy"))</f>
        <v/>
      </c>
      <c r="Q35" s="237" t="str">
        <f>IF(SUM(Q56:AN56)=0,"",SUM(Q56:AN56))</f>
        <v/>
      </c>
      <c r="R35" s="240" t="str">
        <f t="array" ref="R35:R54">IF(P56:P75=0,"",P56:P75)</f>
        <v/>
      </c>
      <c r="S35" s="62"/>
      <c r="T35" s="79"/>
      <c r="U35" s="79"/>
      <c r="V35" s="79"/>
      <c r="W35" s="79"/>
    </row>
    <row r="36" spans="1:23" x14ac:dyDescent="0.25">
      <c r="A36" s="56">
        <v>21</v>
      </c>
      <c r="B36" s="57">
        <v>25</v>
      </c>
      <c r="C36" s="58">
        <v>80</v>
      </c>
      <c r="D36" s="59" t="s">
        <v>24</v>
      </c>
      <c r="E36" s="271">
        <f ca="1"/>
        <v>64</v>
      </c>
      <c r="F36" s="43">
        <v>80.099999999999994</v>
      </c>
      <c r="G36" s="33">
        <v>80</v>
      </c>
      <c r="H36" s="43">
        <f ca="1"/>
        <v>43</v>
      </c>
      <c r="I36" s="33">
        <f ca="1"/>
        <v>55.4</v>
      </c>
      <c r="J36" s="54" t="s">
        <v>4</v>
      </c>
      <c r="K36" s="80" t="str">
        <f>IF(DayAheadDeals!$K$28=0,"",IF(AND(DayAheadDeals!$K$28=DayAheadDeals!$U$4+DayAheadDeals!$U$5,DayAheadDeals!$U$4&lt;&gt;0,DayAheadDeals!$U$5&lt;&gt;0),"BASE",IF(AND(DayAheadDeals!$K$4=0,DayAheadDeals!$K$27=0),"PEAK","OFFPEAK")))</f>
        <v/>
      </c>
      <c r="L36" s="80"/>
      <c r="M36" s="80"/>
      <c r="O36" s="81">
        <v>2</v>
      </c>
      <c r="P36" s="233" t="str">
        <f t="shared" si="0"/>
        <v/>
      </c>
      <c r="Q36" s="238" t="str">
        <f t="shared" ref="Q36:Q54" si="1">IF(SUM(Q57:AN57)=0,"",SUM(Q57:AN57))</f>
        <v/>
      </c>
      <c r="R36" s="241" t="str">
        <v/>
      </c>
      <c r="T36" s="229" t="s">
        <v>164</v>
      </c>
      <c r="U36" s="79"/>
      <c r="V36" s="79"/>
      <c r="W36" s="79"/>
    </row>
    <row r="37" spans="1:23" x14ac:dyDescent="0.25">
      <c r="A37" s="56">
        <v>21</v>
      </c>
      <c r="B37" s="57">
        <v>25</v>
      </c>
      <c r="C37" s="58">
        <v>82</v>
      </c>
      <c r="D37" s="59" t="s">
        <v>24</v>
      </c>
      <c r="E37" s="271">
        <f ca="1"/>
        <v>66</v>
      </c>
      <c r="F37" s="43">
        <v>82.1</v>
      </c>
      <c r="G37" s="33">
        <v>82</v>
      </c>
      <c r="H37" s="43">
        <f ca="1"/>
        <v>43</v>
      </c>
      <c r="I37" s="33">
        <f ca="1"/>
        <v>55.5</v>
      </c>
      <c r="J37" s="54" t="s">
        <v>4</v>
      </c>
      <c r="K37" s="265" t="str">
        <f>IF(DayAheadDeals!$K$28=0,"",DayAheadDeals!$K$28)</f>
        <v/>
      </c>
      <c r="L37" s="77"/>
      <c r="M37" s="77"/>
      <c r="O37" s="81">
        <v>3</v>
      </c>
      <c r="P37" s="233" t="str">
        <f t="shared" si="0"/>
        <v/>
      </c>
      <c r="Q37" s="238" t="str">
        <f t="shared" si="1"/>
        <v/>
      </c>
      <c r="R37" s="241" t="str">
        <v/>
      </c>
      <c r="S37" s="62"/>
      <c r="T37" s="229" t="s">
        <v>165</v>
      </c>
      <c r="U37" s="79"/>
      <c r="V37" s="79"/>
      <c r="W37" s="79"/>
    </row>
    <row r="38" spans="1:23" x14ac:dyDescent="0.25">
      <c r="A38" s="56">
        <v>22</v>
      </c>
      <c r="B38" s="57">
        <v>21</v>
      </c>
      <c r="C38" s="58">
        <v>69</v>
      </c>
      <c r="D38" s="59" t="s">
        <v>24</v>
      </c>
      <c r="E38" s="271">
        <f ca="1"/>
        <v>52</v>
      </c>
      <c r="F38" s="43">
        <v>69.099999999999994</v>
      </c>
      <c r="G38" s="33">
        <v>69</v>
      </c>
      <c r="H38" s="43">
        <f ca="1"/>
        <v>43</v>
      </c>
      <c r="I38" s="33">
        <f ca="1"/>
        <v>57.9</v>
      </c>
      <c r="J38" s="54" t="s">
        <v>4</v>
      </c>
      <c r="K38" s="82"/>
      <c r="L38" s="82"/>
      <c r="M38" s="82"/>
      <c r="O38" s="83">
        <v>4</v>
      </c>
      <c r="P38" s="234" t="str">
        <f t="shared" si="0"/>
        <v/>
      </c>
      <c r="Q38" s="239" t="str">
        <f t="shared" si="1"/>
        <v/>
      </c>
      <c r="R38" s="242" t="str">
        <v/>
      </c>
      <c r="S38" s="62"/>
      <c r="T38" s="236" t="s">
        <v>162</v>
      </c>
      <c r="U38" s="79"/>
      <c r="V38" s="79"/>
      <c r="W38" s="79"/>
    </row>
    <row r="39" spans="1:23" x14ac:dyDescent="0.25">
      <c r="A39" s="56">
        <v>22</v>
      </c>
      <c r="B39" s="57">
        <v>25</v>
      </c>
      <c r="C39" s="58">
        <v>70</v>
      </c>
      <c r="D39" s="59" t="s">
        <v>24</v>
      </c>
      <c r="E39" s="271">
        <f ca="1"/>
        <v>56</v>
      </c>
      <c r="F39" s="43">
        <v>70.099999999999994</v>
      </c>
      <c r="G39" s="33">
        <v>70</v>
      </c>
      <c r="H39" s="43">
        <f ca="1"/>
        <v>43.4</v>
      </c>
      <c r="I39" s="33">
        <f ca="1"/>
        <v>58</v>
      </c>
      <c r="J39" s="54" t="s">
        <v>4</v>
      </c>
      <c r="K39" s="84" t="s">
        <v>32</v>
      </c>
      <c r="L39" s="77"/>
      <c r="M39" s="77"/>
      <c r="O39" s="78">
        <v>5</v>
      </c>
      <c r="P39" s="78" t="str">
        <f>IF(Q39="","",IF(Q39&lt;0,"Sell","Buy"))</f>
        <v/>
      </c>
      <c r="Q39" s="237" t="str">
        <f t="shared" si="1"/>
        <v/>
      </c>
      <c r="R39" s="240" t="str">
        <v/>
      </c>
      <c r="S39" s="62"/>
      <c r="T39" s="236" t="s">
        <v>163</v>
      </c>
      <c r="V39" s="79"/>
      <c r="W39" s="79"/>
    </row>
    <row r="40" spans="1:23" x14ac:dyDescent="0.25">
      <c r="A40" s="56">
        <v>22</v>
      </c>
      <c r="B40" s="57">
        <v>25</v>
      </c>
      <c r="C40" s="58">
        <v>71</v>
      </c>
      <c r="D40" s="59" t="s">
        <v>24</v>
      </c>
      <c r="E40" s="271">
        <f ca="1"/>
        <v>58</v>
      </c>
      <c r="F40" s="43">
        <v>71.099999999999994</v>
      </c>
      <c r="G40" s="33">
        <v>71</v>
      </c>
      <c r="H40" s="43">
        <f ca="1"/>
        <v>43.4</v>
      </c>
      <c r="I40" s="33">
        <f ca="1"/>
        <v>59.9</v>
      </c>
      <c r="J40" s="54" t="s">
        <v>4</v>
      </c>
      <c r="K40" s="77" t="str">
        <f>IF(DayAheadDeals!$L$28=0,"","Buy from the exchange")</f>
        <v/>
      </c>
      <c r="L40" s="77"/>
      <c r="M40" s="77"/>
      <c r="O40" s="81">
        <v>6</v>
      </c>
      <c r="P40" s="81" t="str">
        <f t="shared" ref="P40:P54" si="2">IF(Q40="","",IF(Q40&lt;0,"Sell","Buy"))</f>
        <v/>
      </c>
      <c r="Q40" s="238" t="str">
        <f t="shared" si="1"/>
        <v/>
      </c>
      <c r="R40" s="241" t="str">
        <v/>
      </c>
      <c r="S40" s="62"/>
      <c r="T40" s="236" t="s">
        <v>166</v>
      </c>
      <c r="U40" s="79"/>
      <c r="V40" s="79"/>
      <c r="W40" s="79"/>
    </row>
    <row r="41" spans="1:23" x14ac:dyDescent="0.25">
      <c r="A41" s="56">
        <v>23</v>
      </c>
      <c r="B41" s="57">
        <v>25</v>
      </c>
      <c r="C41" s="58">
        <v>68.5</v>
      </c>
      <c r="D41" s="59" t="s">
        <v>24</v>
      </c>
      <c r="E41" s="271">
        <f ca="1"/>
        <v>50</v>
      </c>
      <c r="F41" s="43">
        <v>68.599999999999994</v>
      </c>
      <c r="G41" s="33">
        <v>68.5</v>
      </c>
      <c r="H41" s="43">
        <f ca="1"/>
        <v>43.4</v>
      </c>
      <c r="I41" s="33">
        <f ca="1"/>
        <v>60</v>
      </c>
      <c r="J41" s="54" t="s">
        <v>4</v>
      </c>
      <c r="K41" s="266" t="str">
        <f>IF($K$40="","",DayAheadDeals!$L$28)</f>
        <v/>
      </c>
      <c r="L41" s="80"/>
      <c r="M41" s="80"/>
      <c r="O41" s="81">
        <v>7</v>
      </c>
      <c r="P41" s="81" t="str">
        <f t="shared" si="2"/>
        <v/>
      </c>
      <c r="Q41" s="238" t="str">
        <f t="shared" si="1"/>
        <v/>
      </c>
      <c r="R41" s="241" t="str">
        <v/>
      </c>
      <c r="S41" s="62"/>
      <c r="T41" s="236" t="s">
        <v>179</v>
      </c>
      <c r="U41" s="79"/>
      <c r="V41" s="79"/>
      <c r="W41" s="79"/>
    </row>
    <row r="42" spans="1:23" x14ac:dyDescent="0.25">
      <c r="A42" s="56">
        <v>23</v>
      </c>
      <c r="B42" s="57">
        <v>25</v>
      </c>
      <c r="C42" s="58">
        <v>69</v>
      </c>
      <c r="D42" s="59" t="s">
        <v>24</v>
      </c>
      <c r="E42" s="271">
        <f ca="1"/>
        <v>52</v>
      </c>
      <c r="F42" s="43">
        <v>69.099999999999994</v>
      </c>
      <c r="G42" s="33">
        <v>69</v>
      </c>
      <c r="H42" s="43">
        <f ca="1"/>
        <v>43.5</v>
      </c>
      <c r="I42" s="33">
        <f ca="1"/>
        <v>60.9</v>
      </c>
      <c r="J42" s="54" t="s">
        <v>4</v>
      </c>
      <c r="K42" s="77" t="str">
        <f>IF(DayAheadDeals!$M$28=0,"","Sell on the exchange")</f>
        <v/>
      </c>
      <c r="L42" s="77"/>
      <c r="M42" s="77"/>
      <c r="O42" s="83">
        <v>8</v>
      </c>
      <c r="P42" s="83" t="str">
        <f t="shared" si="2"/>
        <v/>
      </c>
      <c r="Q42" s="239" t="str">
        <f t="shared" si="1"/>
        <v/>
      </c>
      <c r="R42" s="242" t="str">
        <v/>
      </c>
      <c r="S42" s="62"/>
      <c r="T42" s="236" t="s">
        <v>167</v>
      </c>
      <c r="U42" s="79"/>
      <c r="V42" s="79"/>
      <c r="W42" s="79"/>
    </row>
    <row r="43" spans="1:23" x14ac:dyDescent="0.25">
      <c r="A43" s="56">
        <v>23</v>
      </c>
      <c r="B43" s="57">
        <v>25</v>
      </c>
      <c r="C43" s="58">
        <v>69.5</v>
      </c>
      <c r="D43" s="59" t="s">
        <v>24</v>
      </c>
      <c r="E43" s="271">
        <f ca="1"/>
        <v>54</v>
      </c>
      <c r="F43" s="43">
        <v>69.599999999999994</v>
      </c>
      <c r="G43" s="33">
        <v>69.5</v>
      </c>
      <c r="H43" s="43">
        <f ca="1"/>
        <v>43.5</v>
      </c>
      <c r="I43" s="33">
        <f ca="1"/>
        <v>61</v>
      </c>
      <c r="J43" s="54" t="s">
        <v>4</v>
      </c>
      <c r="K43" s="266" t="str">
        <f>IF($K$42="","",-DayAheadDeals!$M$28)</f>
        <v/>
      </c>
      <c r="L43" s="80"/>
      <c r="M43" s="80"/>
      <c r="O43" s="85">
        <v>9</v>
      </c>
      <c r="P43" s="81" t="str">
        <f t="shared" si="2"/>
        <v/>
      </c>
      <c r="Q43" s="238" t="str">
        <f t="shared" si="1"/>
        <v/>
      </c>
      <c r="R43" s="241" t="str">
        <v/>
      </c>
      <c r="S43" s="62"/>
      <c r="T43" s="62"/>
      <c r="U43" s="62"/>
      <c r="V43" s="62"/>
      <c r="W43" s="62"/>
    </row>
    <row r="44" spans="1:23" x14ac:dyDescent="0.25">
      <c r="A44" s="56">
        <v>23</v>
      </c>
      <c r="B44" s="57">
        <v>25</v>
      </c>
      <c r="C44" s="58">
        <v>70</v>
      </c>
      <c r="D44" s="59" t="s">
        <v>24</v>
      </c>
      <c r="E44" s="271">
        <f ca="1"/>
        <v>56</v>
      </c>
      <c r="F44" s="43">
        <v>70.099999999999994</v>
      </c>
      <c r="G44" s="33">
        <v>70</v>
      </c>
      <c r="H44" s="43">
        <f ca="1"/>
        <v>43.5</v>
      </c>
      <c r="I44" s="33">
        <f ca="1"/>
        <v>61.9</v>
      </c>
      <c r="J44" s="54" t="s">
        <v>4</v>
      </c>
      <c r="O44" s="85">
        <v>10</v>
      </c>
      <c r="P44" s="81" t="str">
        <f t="shared" si="2"/>
        <v/>
      </c>
      <c r="Q44" s="238" t="str">
        <f t="shared" si="1"/>
        <v/>
      </c>
      <c r="R44" s="241" t="str">
        <v/>
      </c>
      <c r="S44" s="62"/>
      <c r="T44" s="62"/>
      <c r="U44" s="62"/>
      <c r="V44" s="62"/>
      <c r="W44" s="62"/>
    </row>
    <row r="45" spans="1:23" x14ac:dyDescent="0.25">
      <c r="A45" s="56">
        <v>24</v>
      </c>
      <c r="B45" s="57">
        <v>25</v>
      </c>
      <c r="C45" s="58">
        <v>67</v>
      </c>
      <c r="D45" s="59" t="s">
        <v>24</v>
      </c>
      <c r="E45" s="271">
        <f ca="1"/>
        <v>44</v>
      </c>
      <c r="F45" s="43">
        <v>67.099999999999994</v>
      </c>
      <c r="G45" s="33">
        <v>67</v>
      </c>
      <c r="H45" s="43">
        <f ca="1"/>
        <v>43.9</v>
      </c>
      <c r="I45" s="33">
        <f ca="1"/>
        <v>62</v>
      </c>
      <c r="J45" s="54" t="s">
        <v>4</v>
      </c>
      <c r="O45" s="85">
        <v>11</v>
      </c>
      <c r="P45" s="81" t="str">
        <f t="shared" si="2"/>
        <v/>
      </c>
      <c r="Q45" s="238" t="str">
        <f t="shared" si="1"/>
        <v/>
      </c>
      <c r="R45" s="241" t="str">
        <v/>
      </c>
      <c r="S45" s="62"/>
      <c r="T45" s="62"/>
      <c r="U45" s="62"/>
      <c r="V45" s="62"/>
      <c r="W45" s="62"/>
    </row>
    <row r="46" spans="1:23" x14ac:dyDescent="0.25">
      <c r="A46" s="56">
        <v>24</v>
      </c>
      <c r="B46" s="57">
        <v>25</v>
      </c>
      <c r="C46" s="58">
        <v>68</v>
      </c>
      <c r="D46" s="59" t="s">
        <v>24</v>
      </c>
      <c r="E46" s="271">
        <f ca="1"/>
        <v>48</v>
      </c>
      <c r="F46" s="43">
        <v>68.099999999999994</v>
      </c>
      <c r="G46" s="33">
        <v>68</v>
      </c>
      <c r="H46" s="43">
        <f ca="1"/>
        <v>43.9</v>
      </c>
      <c r="I46" s="33">
        <f ca="1"/>
        <v>66.5</v>
      </c>
      <c r="J46" s="54" t="s">
        <v>4</v>
      </c>
      <c r="O46" s="85">
        <v>12</v>
      </c>
      <c r="P46" s="81" t="str">
        <f t="shared" si="2"/>
        <v/>
      </c>
      <c r="Q46" s="238" t="str">
        <f t="shared" si="1"/>
        <v/>
      </c>
      <c r="R46" s="241" t="str">
        <v/>
      </c>
      <c r="S46" s="62"/>
      <c r="T46" s="62"/>
      <c r="U46" s="62"/>
      <c r="V46" s="62"/>
      <c r="W46" s="62"/>
    </row>
    <row r="47" spans="1:23" x14ac:dyDescent="0.25">
      <c r="A47" s="56">
        <v>1</v>
      </c>
      <c r="B47" s="57">
        <v>-25</v>
      </c>
      <c r="C47" s="58">
        <v>52</v>
      </c>
      <c r="D47" s="59" t="s">
        <v>24</v>
      </c>
      <c r="E47" s="271">
        <f ca="1"/>
        <v>21</v>
      </c>
      <c r="F47" s="43">
        <v>51.9</v>
      </c>
      <c r="G47" s="33">
        <v>52</v>
      </c>
      <c r="H47" s="43">
        <f ca="1"/>
        <v>43.9</v>
      </c>
      <c r="I47" s="33">
        <f ca="1"/>
        <v>66.599999999999994</v>
      </c>
      <c r="J47" s="54" t="s">
        <v>4</v>
      </c>
      <c r="O47" s="78">
        <v>13</v>
      </c>
      <c r="P47" s="78" t="str">
        <f t="shared" si="2"/>
        <v/>
      </c>
      <c r="Q47" s="237" t="str">
        <f t="shared" si="1"/>
        <v/>
      </c>
      <c r="R47" s="240" t="str">
        <v/>
      </c>
      <c r="S47" s="62"/>
      <c r="T47" s="62"/>
      <c r="U47" s="62"/>
      <c r="V47" s="62"/>
      <c r="W47" s="62"/>
    </row>
    <row r="48" spans="1:23" x14ac:dyDescent="0.25">
      <c r="A48" s="56">
        <v>1</v>
      </c>
      <c r="B48" s="57">
        <v>-25</v>
      </c>
      <c r="C48" s="58">
        <v>55</v>
      </c>
      <c r="D48" s="59" t="s">
        <v>24</v>
      </c>
      <c r="E48" s="271">
        <f ca="1"/>
        <v>29</v>
      </c>
      <c r="F48" s="43">
        <v>54.9</v>
      </c>
      <c r="G48" s="33">
        <v>55</v>
      </c>
      <c r="H48" s="43">
        <f ca="1"/>
        <v>44</v>
      </c>
      <c r="I48" s="33">
        <f ca="1"/>
        <v>67</v>
      </c>
      <c r="J48" s="54" t="s">
        <v>4</v>
      </c>
      <c r="O48" s="81">
        <v>14</v>
      </c>
      <c r="P48" s="81" t="str">
        <f t="shared" si="2"/>
        <v/>
      </c>
      <c r="Q48" s="238" t="str">
        <f t="shared" si="1"/>
        <v/>
      </c>
      <c r="R48" s="241" t="str">
        <v/>
      </c>
      <c r="S48" s="62"/>
      <c r="T48" s="62"/>
      <c r="U48" s="62"/>
      <c r="V48" s="62"/>
      <c r="W48" s="62"/>
    </row>
    <row r="49" spans="1:41" x14ac:dyDescent="0.25">
      <c r="A49" s="56">
        <v>1</v>
      </c>
      <c r="B49" s="57">
        <v>-25</v>
      </c>
      <c r="C49" s="58">
        <v>58</v>
      </c>
      <c r="D49" s="59" t="s">
        <v>24</v>
      </c>
      <c r="E49" s="271">
        <f ca="1"/>
        <v>33</v>
      </c>
      <c r="F49" s="43">
        <v>57.9</v>
      </c>
      <c r="G49" s="33">
        <v>58</v>
      </c>
      <c r="H49" s="43">
        <f ca="1"/>
        <v>44</v>
      </c>
      <c r="I49" s="33">
        <f ca="1"/>
        <v>67.099999999999994</v>
      </c>
      <c r="J49" s="54" t="s">
        <v>4</v>
      </c>
      <c r="O49" s="81">
        <v>15</v>
      </c>
      <c r="P49" s="81" t="str">
        <f t="shared" si="2"/>
        <v/>
      </c>
      <c r="Q49" s="238" t="str">
        <f t="shared" si="1"/>
        <v/>
      </c>
      <c r="R49" s="241" t="str">
        <v/>
      </c>
      <c r="S49" s="62"/>
      <c r="T49" s="62"/>
      <c r="U49" s="62"/>
      <c r="V49" s="62"/>
      <c r="W49" s="62"/>
    </row>
    <row r="50" spans="1:41" x14ac:dyDescent="0.25">
      <c r="A50" s="56">
        <v>1</v>
      </c>
      <c r="B50" s="57">
        <v>-25</v>
      </c>
      <c r="C50" s="58">
        <v>60</v>
      </c>
      <c r="D50" s="59" t="s">
        <v>24</v>
      </c>
      <c r="E50" s="271">
        <f ca="1"/>
        <v>35</v>
      </c>
      <c r="F50" s="43">
        <v>59.9</v>
      </c>
      <c r="G50" s="33">
        <v>60</v>
      </c>
      <c r="H50" s="43">
        <f ca="1"/>
        <v>44</v>
      </c>
      <c r="I50" s="33">
        <f ca="1"/>
        <v>67.5</v>
      </c>
      <c r="J50" s="54" t="s">
        <v>4</v>
      </c>
      <c r="O50" s="83">
        <v>16</v>
      </c>
      <c r="P50" s="83" t="str">
        <f t="shared" si="2"/>
        <v/>
      </c>
      <c r="Q50" s="239" t="str">
        <f t="shared" si="1"/>
        <v/>
      </c>
      <c r="R50" s="242" t="str">
        <v/>
      </c>
      <c r="S50" s="62"/>
      <c r="T50" s="62"/>
      <c r="U50" s="62"/>
      <c r="V50" s="62"/>
      <c r="W50" s="62"/>
    </row>
    <row r="51" spans="1:41" x14ac:dyDescent="0.25">
      <c r="A51" s="56">
        <v>1</v>
      </c>
      <c r="B51" s="57">
        <v>-25</v>
      </c>
      <c r="C51" s="58">
        <v>61</v>
      </c>
      <c r="D51" s="59" t="s">
        <v>24</v>
      </c>
      <c r="E51" s="271">
        <f ca="1"/>
        <v>37</v>
      </c>
      <c r="F51" s="43">
        <v>60.9</v>
      </c>
      <c r="G51" s="33">
        <v>61</v>
      </c>
      <c r="H51" s="43">
        <f ca="1"/>
        <v>44.4</v>
      </c>
      <c r="I51" s="33">
        <f ca="1"/>
        <v>67.599999999999994</v>
      </c>
      <c r="J51" s="54" t="s">
        <v>4</v>
      </c>
      <c r="O51" s="85">
        <v>17</v>
      </c>
      <c r="P51" s="81" t="str">
        <f t="shared" si="2"/>
        <v/>
      </c>
      <c r="Q51" s="238" t="str">
        <f t="shared" si="1"/>
        <v/>
      </c>
      <c r="R51" s="241" t="str">
        <v/>
      </c>
      <c r="S51" s="62"/>
      <c r="T51" s="62"/>
      <c r="U51" s="62"/>
      <c r="V51" s="62"/>
      <c r="W51" s="62"/>
    </row>
    <row r="52" spans="1:41" x14ac:dyDescent="0.25">
      <c r="A52" s="56">
        <v>1</v>
      </c>
      <c r="B52" s="57">
        <v>-25</v>
      </c>
      <c r="C52" s="58">
        <v>62</v>
      </c>
      <c r="D52" s="59" t="s">
        <v>24</v>
      </c>
      <c r="E52" s="271">
        <f ca="1"/>
        <v>39</v>
      </c>
      <c r="F52" s="43">
        <v>61.9</v>
      </c>
      <c r="G52" s="33">
        <v>62</v>
      </c>
      <c r="H52" s="43">
        <f ca="1"/>
        <v>44.4</v>
      </c>
      <c r="I52" s="33">
        <f ca="1"/>
        <v>68</v>
      </c>
      <c r="J52" s="54" t="s">
        <v>4</v>
      </c>
      <c r="O52" s="85">
        <v>18</v>
      </c>
      <c r="P52" s="81" t="str">
        <f t="shared" si="2"/>
        <v/>
      </c>
      <c r="Q52" s="238" t="str">
        <f t="shared" si="1"/>
        <v/>
      </c>
      <c r="R52" s="241" t="str">
        <v/>
      </c>
      <c r="S52" s="62"/>
      <c r="T52" s="62"/>
      <c r="U52" s="62"/>
      <c r="V52" s="62"/>
      <c r="W52" s="62"/>
    </row>
    <row r="53" spans="1:41" x14ac:dyDescent="0.25">
      <c r="A53" s="56">
        <v>2</v>
      </c>
      <c r="B53" s="57">
        <v>-25</v>
      </c>
      <c r="C53" s="58">
        <v>50</v>
      </c>
      <c r="D53" s="59" t="s">
        <v>24</v>
      </c>
      <c r="E53" s="271">
        <f ca="1"/>
        <v>17</v>
      </c>
      <c r="F53" s="43">
        <v>49.9</v>
      </c>
      <c r="G53" s="33">
        <v>50</v>
      </c>
      <c r="H53" s="43">
        <f ca="1"/>
        <v>44.4</v>
      </c>
      <c r="I53" s="33">
        <f ca="1"/>
        <v>68.099999999999994</v>
      </c>
      <c r="J53" s="54" t="s">
        <v>4</v>
      </c>
      <c r="O53" s="85">
        <v>19</v>
      </c>
      <c r="P53" s="81" t="str">
        <f t="shared" si="2"/>
        <v/>
      </c>
      <c r="Q53" s="238" t="str">
        <f t="shared" si="1"/>
        <v/>
      </c>
      <c r="R53" s="241" t="str">
        <v/>
      </c>
      <c r="S53" s="62"/>
      <c r="T53" s="62"/>
      <c r="U53" s="62"/>
      <c r="V53" s="62"/>
      <c r="W53" s="62"/>
    </row>
    <row r="54" spans="1:41" x14ac:dyDescent="0.25">
      <c r="A54" s="86">
        <v>2</v>
      </c>
      <c r="B54" s="87">
        <v>-25</v>
      </c>
      <c r="C54" s="58">
        <v>51</v>
      </c>
      <c r="D54" s="59" t="s">
        <v>24</v>
      </c>
      <c r="E54" s="271">
        <f ca="1"/>
        <v>19</v>
      </c>
      <c r="F54" s="43">
        <v>50.9</v>
      </c>
      <c r="G54" s="33">
        <v>51</v>
      </c>
      <c r="H54" s="43">
        <f ca="1"/>
        <v>44.5</v>
      </c>
      <c r="I54" s="33">
        <f ca="1"/>
        <v>68.5</v>
      </c>
      <c r="J54" s="54" t="s">
        <v>4</v>
      </c>
      <c r="O54" s="85">
        <v>20</v>
      </c>
      <c r="P54" s="81" t="str">
        <f t="shared" si="2"/>
        <v/>
      </c>
      <c r="Q54" s="238" t="str">
        <f t="shared" si="1"/>
        <v/>
      </c>
      <c r="R54" s="241" t="str">
        <v/>
      </c>
      <c r="S54" s="62"/>
      <c r="T54" s="62"/>
      <c r="U54" s="62"/>
      <c r="V54" s="62"/>
      <c r="W54" s="62"/>
    </row>
    <row r="55" spans="1:41" x14ac:dyDescent="0.25">
      <c r="A55" s="56">
        <v>2</v>
      </c>
      <c r="B55" s="57">
        <v>-25</v>
      </c>
      <c r="C55" s="58">
        <v>52</v>
      </c>
      <c r="D55" s="59" t="s">
        <v>24</v>
      </c>
      <c r="E55" s="271">
        <f ca="1"/>
        <v>21</v>
      </c>
      <c r="F55" s="43">
        <v>51.9</v>
      </c>
      <c r="G55" s="33">
        <v>52</v>
      </c>
      <c r="H55" s="43">
        <f ca="1"/>
        <v>44.5</v>
      </c>
      <c r="I55" s="33">
        <f ca="1"/>
        <v>68.599999999999994</v>
      </c>
      <c r="J55" s="54" t="s">
        <v>4</v>
      </c>
      <c r="L55" s="88" t="s">
        <v>33</v>
      </c>
      <c r="M55" s="88" t="s">
        <v>34</v>
      </c>
      <c r="N55" s="88" t="s">
        <v>35</v>
      </c>
      <c r="O55" s="88" t="s">
        <v>36</v>
      </c>
      <c r="P55" s="88" t="s">
        <v>16</v>
      </c>
      <c r="Q55" s="88">
        <v>1</v>
      </c>
      <c r="R55" s="88">
        <v>2</v>
      </c>
      <c r="S55" s="88">
        <v>3</v>
      </c>
      <c r="T55" s="88">
        <v>4</v>
      </c>
      <c r="U55" s="88">
        <v>5</v>
      </c>
      <c r="V55" s="88">
        <v>6</v>
      </c>
      <c r="W55" s="88">
        <v>7</v>
      </c>
      <c r="X55" s="88">
        <v>8</v>
      </c>
      <c r="Y55" s="88">
        <v>9</v>
      </c>
      <c r="Z55" s="88">
        <v>10</v>
      </c>
      <c r="AA55" s="88">
        <v>11</v>
      </c>
      <c r="AB55" s="88">
        <v>12</v>
      </c>
      <c r="AC55" s="88">
        <v>13</v>
      </c>
      <c r="AD55" s="88">
        <v>14</v>
      </c>
      <c r="AE55" s="88">
        <v>15</v>
      </c>
      <c r="AF55" s="88">
        <v>16</v>
      </c>
      <c r="AG55" s="88">
        <v>17</v>
      </c>
      <c r="AH55" s="88">
        <v>18</v>
      </c>
      <c r="AI55" s="88">
        <v>19</v>
      </c>
      <c r="AJ55" s="88">
        <v>20</v>
      </c>
      <c r="AK55" s="88">
        <v>21</v>
      </c>
      <c r="AL55" s="88">
        <v>22</v>
      </c>
      <c r="AM55" s="88">
        <v>23</v>
      </c>
      <c r="AN55" s="88">
        <v>24</v>
      </c>
      <c r="AO55" s="18" t="s">
        <v>131</v>
      </c>
    </row>
    <row r="56" spans="1:41" x14ac:dyDescent="0.25">
      <c r="A56" s="56">
        <v>2</v>
      </c>
      <c r="B56" s="57">
        <v>-25</v>
      </c>
      <c r="C56" s="58">
        <v>53</v>
      </c>
      <c r="D56" s="59" t="s">
        <v>24</v>
      </c>
      <c r="E56" s="271">
        <f ca="1"/>
        <v>25</v>
      </c>
      <c r="F56" s="43">
        <v>52.9</v>
      </c>
      <c r="G56" s="33">
        <v>53</v>
      </c>
      <c r="H56" s="43">
        <f ca="1"/>
        <v>44.5</v>
      </c>
      <c r="I56" s="33">
        <f ca="1"/>
        <v>69</v>
      </c>
      <c r="J56" s="54" t="s">
        <v>4</v>
      </c>
      <c r="L56" s="89" t="s">
        <v>37</v>
      </c>
      <c r="M56" s="89">
        <v>1</v>
      </c>
      <c r="N56" s="89"/>
      <c r="O56" s="90" t="s">
        <v>132</v>
      </c>
      <c r="P56" s="244"/>
      <c r="Q56" s="91"/>
      <c r="R56" s="92"/>
      <c r="S56" s="93"/>
      <c r="T56" s="91"/>
      <c r="U56" s="92"/>
      <c r="V56" s="93"/>
      <c r="W56" s="91"/>
      <c r="X56" s="92"/>
      <c r="Y56" s="93"/>
      <c r="Z56" s="91"/>
      <c r="AA56" s="92"/>
      <c r="AB56" s="93"/>
      <c r="AC56" s="91"/>
      <c r="AD56" s="92"/>
      <c r="AE56" s="93"/>
      <c r="AF56" s="91"/>
      <c r="AG56" s="92"/>
      <c r="AH56" s="93"/>
      <c r="AI56" s="91"/>
      <c r="AJ56" s="92"/>
      <c r="AK56" s="93"/>
      <c r="AL56" s="91"/>
      <c r="AM56" s="92"/>
      <c r="AN56" s="93"/>
      <c r="AO56" s="243" t="str">
        <f t="array" ref="AO56:AO75">$Q$35:$Q$54</f>
        <v/>
      </c>
    </row>
    <row r="57" spans="1:41" x14ac:dyDescent="0.25">
      <c r="A57" s="56">
        <v>2</v>
      </c>
      <c r="B57" s="57">
        <v>-25</v>
      </c>
      <c r="C57" s="58">
        <v>54</v>
      </c>
      <c r="D57" s="59" t="s">
        <v>24</v>
      </c>
      <c r="E57" s="271">
        <f ca="1"/>
        <v>27</v>
      </c>
      <c r="F57" s="43">
        <v>53.9</v>
      </c>
      <c r="G57" s="33">
        <v>54</v>
      </c>
      <c r="H57" s="43">
        <f ca="1"/>
        <v>44.9</v>
      </c>
      <c r="I57" s="33">
        <f ca="1"/>
        <v>69.099999999999994</v>
      </c>
      <c r="J57" s="54" t="s">
        <v>4</v>
      </c>
      <c r="L57" s="89" t="s">
        <v>37</v>
      </c>
      <c r="M57" s="89">
        <v>2</v>
      </c>
      <c r="N57" s="89"/>
      <c r="O57" s="90" t="s">
        <v>133</v>
      </c>
      <c r="P57" s="244"/>
      <c r="Q57" s="91"/>
      <c r="R57" s="92"/>
      <c r="S57" s="93"/>
      <c r="T57" s="91"/>
      <c r="U57" s="92"/>
      <c r="V57" s="93"/>
      <c r="W57" s="91"/>
      <c r="X57" s="92"/>
      <c r="Y57" s="93"/>
      <c r="Z57" s="91"/>
      <c r="AA57" s="92"/>
      <c r="AB57" s="93"/>
      <c r="AC57" s="91"/>
      <c r="AD57" s="92"/>
      <c r="AE57" s="93"/>
      <c r="AF57" s="91"/>
      <c r="AG57" s="92"/>
      <c r="AH57" s="93"/>
      <c r="AI57" s="91"/>
      <c r="AJ57" s="92"/>
      <c r="AK57" s="93"/>
      <c r="AL57" s="91"/>
      <c r="AM57" s="92"/>
      <c r="AN57" s="93"/>
      <c r="AO57" s="243" t="str">
        <v/>
      </c>
    </row>
    <row r="58" spans="1:41" x14ac:dyDescent="0.25">
      <c r="A58" s="56">
        <v>2</v>
      </c>
      <c r="B58" s="57">
        <v>-25</v>
      </c>
      <c r="C58" s="58">
        <v>55</v>
      </c>
      <c r="D58" s="59" t="s">
        <v>24</v>
      </c>
      <c r="E58" s="271">
        <f ca="1"/>
        <v>29</v>
      </c>
      <c r="F58" s="43">
        <v>54.9</v>
      </c>
      <c r="G58" s="33">
        <v>55</v>
      </c>
      <c r="H58" s="43">
        <f ca="1"/>
        <v>44.9</v>
      </c>
      <c r="I58" s="33">
        <f ca="1"/>
        <v>69.5</v>
      </c>
      <c r="J58" s="54" t="s">
        <v>4</v>
      </c>
      <c r="L58" s="89" t="s">
        <v>37</v>
      </c>
      <c r="M58" s="89">
        <v>3</v>
      </c>
      <c r="N58" s="89"/>
      <c r="O58" s="90" t="s">
        <v>134</v>
      </c>
      <c r="P58" s="244"/>
      <c r="Q58" s="91"/>
      <c r="R58" s="92"/>
      <c r="S58" s="93"/>
      <c r="T58" s="91"/>
      <c r="U58" s="92"/>
      <c r="V58" s="93"/>
      <c r="W58" s="91"/>
      <c r="X58" s="92"/>
      <c r="Y58" s="93"/>
      <c r="Z58" s="91"/>
      <c r="AA58" s="92"/>
      <c r="AB58" s="93"/>
      <c r="AC58" s="91"/>
      <c r="AD58" s="92"/>
      <c r="AE58" s="93"/>
      <c r="AF58" s="91"/>
      <c r="AG58" s="92"/>
      <c r="AH58" s="93"/>
      <c r="AI58" s="91"/>
      <c r="AJ58" s="92"/>
      <c r="AK58" s="93"/>
      <c r="AL58" s="91"/>
      <c r="AM58" s="92"/>
      <c r="AN58" s="93"/>
      <c r="AO58" s="243" t="str">
        <v/>
      </c>
    </row>
    <row r="59" spans="1:41" x14ac:dyDescent="0.25">
      <c r="A59" s="56">
        <v>3</v>
      </c>
      <c r="B59" s="57">
        <v>-25</v>
      </c>
      <c r="C59" s="58">
        <v>43</v>
      </c>
      <c r="D59" s="59" t="s">
        <v>24</v>
      </c>
      <c r="E59" s="271">
        <f ca="1"/>
        <v>5</v>
      </c>
      <c r="F59" s="43">
        <v>42.9</v>
      </c>
      <c r="G59" s="33">
        <v>43</v>
      </c>
      <c r="H59" s="43">
        <f ca="1"/>
        <v>44.9</v>
      </c>
      <c r="I59" s="33">
        <f ca="1"/>
        <v>69.599999999999994</v>
      </c>
      <c r="J59" s="54" t="s">
        <v>4</v>
      </c>
      <c r="L59" s="89" t="s">
        <v>37</v>
      </c>
      <c r="M59" s="89">
        <v>4</v>
      </c>
      <c r="N59" s="89"/>
      <c r="O59" s="90" t="s">
        <v>135</v>
      </c>
      <c r="P59" s="244"/>
      <c r="Q59" s="91"/>
      <c r="R59" s="92"/>
      <c r="S59" s="93"/>
      <c r="T59" s="91"/>
      <c r="U59" s="92"/>
      <c r="V59" s="93"/>
      <c r="W59" s="91"/>
      <c r="X59" s="92"/>
      <c r="Y59" s="93"/>
      <c r="Z59" s="91"/>
      <c r="AA59" s="92"/>
      <c r="AB59" s="93"/>
      <c r="AC59" s="91"/>
      <c r="AD59" s="92"/>
      <c r="AE59" s="93"/>
      <c r="AF59" s="91"/>
      <c r="AG59" s="92"/>
      <c r="AH59" s="93"/>
      <c r="AI59" s="91"/>
      <c r="AJ59" s="92"/>
      <c r="AK59" s="93"/>
      <c r="AL59" s="91"/>
      <c r="AM59" s="92"/>
      <c r="AN59" s="93"/>
      <c r="AO59" s="243" t="str">
        <v/>
      </c>
    </row>
    <row r="60" spans="1:41" x14ac:dyDescent="0.25">
      <c r="A60" s="56">
        <v>3</v>
      </c>
      <c r="B60" s="57">
        <v>-25</v>
      </c>
      <c r="C60" s="58">
        <v>43.5</v>
      </c>
      <c r="D60" s="59" t="s">
        <v>24</v>
      </c>
      <c r="E60" s="271">
        <f ca="1"/>
        <v>7</v>
      </c>
      <c r="F60" s="43">
        <v>43.4</v>
      </c>
      <c r="G60" s="33">
        <v>43.5</v>
      </c>
      <c r="H60" s="43">
        <f ca="1"/>
        <v>45</v>
      </c>
      <c r="I60" s="33">
        <f ca="1"/>
        <v>70</v>
      </c>
      <c r="J60" s="54" t="s">
        <v>4</v>
      </c>
      <c r="L60" s="89" t="s">
        <v>37</v>
      </c>
      <c r="M60" s="89">
        <v>5</v>
      </c>
      <c r="N60" s="89"/>
      <c r="O60" s="90" t="s">
        <v>136</v>
      </c>
      <c r="P60" s="244"/>
      <c r="Q60" s="91"/>
      <c r="R60" s="92"/>
      <c r="S60" s="93"/>
      <c r="T60" s="91"/>
      <c r="U60" s="92"/>
      <c r="V60" s="93"/>
      <c r="W60" s="91"/>
      <c r="X60" s="92"/>
      <c r="Y60" s="93"/>
      <c r="Z60" s="91"/>
      <c r="AA60" s="92"/>
      <c r="AB60" s="93"/>
      <c r="AC60" s="91"/>
      <c r="AD60" s="92"/>
      <c r="AE60" s="93"/>
      <c r="AF60" s="91"/>
      <c r="AG60" s="92"/>
      <c r="AH60" s="93"/>
      <c r="AI60" s="91"/>
      <c r="AJ60" s="92"/>
      <c r="AK60" s="93"/>
      <c r="AL60" s="91"/>
      <c r="AM60" s="92"/>
      <c r="AN60" s="93"/>
      <c r="AO60" s="243" t="str">
        <v/>
      </c>
    </row>
    <row r="61" spans="1:41" x14ac:dyDescent="0.25">
      <c r="A61" s="56">
        <v>3</v>
      </c>
      <c r="B61" s="57">
        <v>-25</v>
      </c>
      <c r="C61" s="58">
        <v>44</v>
      </c>
      <c r="D61" s="59" t="s">
        <v>24</v>
      </c>
      <c r="E61" s="271">
        <f ca="1"/>
        <v>9</v>
      </c>
      <c r="F61" s="43">
        <v>43.9</v>
      </c>
      <c r="G61" s="33">
        <v>44</v>
      </c>
      <c r="H61" s="43">
        <f ca="1"/>
        <v>45</v>
      </c>
      <c r="I61" s="33">
        <f ca="1"/>
        <v>70.099999999999994</v>
      </c>
      <c r="J61" s="54" t="s">
        <v>4</v>
      </c>
      <c r="L61" s="89" t="s">
        <v>37</v>
      </c>
      <c r="M61" s="89">
        <v>6</v>
      </c>
      <c r="N61" s="89"/>
      <c r="O61" s="90" t="s">
        <v>137</v>
      </c>
      <c r="P61" s="244"/>
      <c r="Q61" s="91"/>
      <c r="R61" s="92"/>
      <c r="S61" s="93"/>
      <c r="T61" s="91"/>
      <c r="U61" s="92"/>
      <c r="V61" s="93"/>
      <c r="W61" s="91"/>
      <c r="X61" s="92"/>
      <c r="Y61" s="93"/>
      <c r="Z61" s="91"/>
      <c r="AA61" s="92"/>
      <c r="AB61" s="93"/>
      <c r="AC61" s="91"/>
      <c r="AD61" s="92"/>
      <c r="AE61" s="93"/>
      <c r="AF61" s="91"/>
      <c r="AG61" s="92"/>
      <c r="AH61" s="93"/>
      <c r="AI61" s="91"/>
      <c r="AJ61" s="92"/>
      <c r="AK61" s="93"/>
      <c r="AL61" s="91"/>
      <c r="AM61" s="92"/>
      <c r="AN61" s="93"/>
      <c r="AO61" s="243" t="str">
        <v/>
      </c>
    </row>
    <row r="62" spans="1:41" x14ac:dyDescent="0.25">
      <c r="A62" s="56">
        <v>3</v>
      </c>
      <c r="B62" s="57">
        <v>-25</v>
      </c>
      <c r="C62" s="58">
        <v>44.5</v>
      </c>
      <c r="D62" s="59" t="s">
        <v>24</v>
      </c>
      <c r="E62" s="271">
        <f ca="1"/>
        <v>11</v>
      </c>
      <c r="F62" s="43">
        <v>44.4</v>
      </c>
      <c r="G62" s="33">
        <v>44.5</v>
      </c>
      <c r="H62" s="43">
        <f ca="1"/>
        <v>45</v>
      </c>
      <c r="I62" s="33">
        <f ca="1"/>
        <v>71</v>
      </c>
      <c r="J62" s="54" t="s">
        <v>4</v>
      </c>
      <c r="L62" s="89" t="s">
        <v>37</v>
      </c>
      <c r="M62" s="89">
        <v>7</v>
      </c>
      <c r="N62" s="89"/>
      <c r="O62" s="90" t="s">
        <v>138</v>
      </c>
      <c r="P62" s="244"/>
      <c r="Q62" s="91"/>
      <c r="R62" s="92"/>
      <c r="S62" s="93"/>
      <c r="T62" s="91"/>
      <c r="U62" s="92"/>
      <c r="V62" s="93"/>
      <c r="W62" s="91"/>
      <c r="X62" s="92"/>
      <c r="Y62" s="93"/>
      <c r="Z62" s="91"/>
      <c r="AA62" s="92"/>
      <c r="AB62" s="93"/>
      <c r="AC62" s="91"/>
      <c r="AD62" s="92"/>
      <c r="AE62" s="93"/>
      <c r="AF62" s="91"/>
      <c r="AG62" s="92"/>
      <c r="AH62" s="93"/>
      <c r="AI62" s="91"/>
      <c r="AJ62" s="92"/>
      <c r="AK62" s="93"/>
      <c r="AL62" s="91"/>
      <c r="AM62" s="92"/>
      <c r="AN62" s="93"/>
      <c r="AO62" s="243" t="str">
        <v/>
      </c>
    </row>
    <row r="63" spans="1:41" x14ac:dyDescent="0.25">
      <c r="A63" s="56">
        <v>3</v>
      </c>
      <c r="B63" s="57">
        <v>-25</v>
      </c>
      <c r="C63" s="58">
        <v>45</v>
      </c>
      <c r="D63" s="59" t="s">
        <v>24</v>
      </c>
      <c r="E63" s="271">
        <f ca="1"/>
        <v>13</v>
      </c>
      <c r="F63" s="43">
        <v>44.9</v>
      </c>
      <c r="G63" s="33">
        <v>45</v>
      </c>
      <c r="H63" s="43">
        <f ca="1"/>
        <v>45.4</v>
      </c>
      <c r="I63" s="33">
        <f ca="1"/>
        <v>71.099999999999994</v>
      </c>
      <c r="J63" s="54" t="s">
        <v>4</v>
      </c>
      <c r="L63" s="89" t="s">
        <v>37</v>
      </c>
      <c r="M63" s="89">
        <v>8</v>
      </c>
      <c r="N63" s="89"/>
      <c r="O63" s="90" t="s">
        <v>139</v>
      </c>
      <c r="P63" s="244"/>
      <c r="Q63" s="91"/>
      <c r="R63" s="92"/>
      <c r="S63" s="93"/>
      <c r="T63" s="91"/>
      <c r="U63" s="92"/>
      <c r="V63" s="93"/>
      <c r="W63" s="91"/>
      <c r="X63" s="92"/>
      <c r="Y63" s="93"/>
      <c r="Z63" s="91"/>
      <c r="AA63" s="92"/>
      <c r="AB63" s="93"/>
      <c r="AC63" s="91"/>
      <c r="AD63" s="92"/>
      <c r="AE63" s="93"/>
      <c r="AF63" s="91"/>
      <c r="AG63" s="92"/>
      <c r="AH63" s="93"/>
      <c r="AI63" s="91"/>
      <c r="AJ63" s="92"/>
      <c r="AK63" s="93"/>
      <c r="AL63" s="91"/>
      <c r="AM63" s="92"/>
      <c r="AN63" s="93"/>
      <c r="AO63" s="243" t="str">
        <v/>
      </c>
    </row>
    <row r="64" spans="1:41" x14ac:dyDescent="0.25">
      <c r="A64" s="56">
        <v>3</v>
      </c>
      <c r="B64" s="57">
        <v>-25</v>
      </c>
      <c r="C64" s="58">
        <v>45.5</v>
      </c>
      <c r="D64" s="59" t="s">
        <v>24</v>
      </c>
      <c r="E64" s="271">
        <f ca="1"/>
        <v>15</v>
      </c>
      <c r="F64" s="43">
        <v>45.4</v>
      </c>
      <c r="G64" s="33">
        <v>45.5</v>
      </c>
      <c r="H64" s="43">
        <f ca="1"/>
        <v>45.4</v>
      </c>
      <c r="I64" s="33">
        <f ca="1"/>
        <v>77</v>
      </c>
      <c r="J64" s="54" t="s">
        <v>4</v>
      </c>
      <c r="L64" s="89" t="s">
        <v>37</v>
      </c>
      <c r="M64" s="89">
        <v>9</v>
      </c>
      <c r="N64" s="89"/>
      <c r="O64" s="90" t="s">
        <v>140</v>
      </c>
      <c r="P64" s="244"/>
      <c r="Q64" s="91"/>
      <c r="R64" s="92"/>
      <c r="S64" s="93"/>
      <c r="T64" s="91"/>
      <c r="U64" s="92"/>
      <c r="V64" s="93"/>
      <c r="W64" s="91"/>
      <c r="X64" s="92"/>
      <c r="Y64" s="93"/>
      <c r="Z64" s="91"/>
      <c r="AA64" s="92"/>
      <c r="AB64" s="93"/>
      <c r="AC64" s="91"/>
      <c r="AD64" s="92"/>
      <c r="AE64" s="93"/>
      <c r="AF64" s="91"/>
      <c r="AG64" s="92"/>
      <c r="AH64" s="93"/>
      <c r="AI64" s="91"/>
      <c r="AJ64" s="92"/>
      <c r="AK64" s="93"/>
      <c r="AL64" s="91"/>
      <c r="AM64" s="92"/>
      <c r="AN64" s="93"/>
      <c r="AO64" s="243" t="str">
        <v/>
      </c>
    </row>
    <row r="65" spans="1:41" x14ac:dyDescent="0.25">
      <c r="A65" s="56">
        <v>4</v>
      </c>
      <c r="B65" s="57">
        <v>-25</v>
      </c>
      <c r="C65" s="58">
        <v>43</v>
      </c>
      <c r="D65" s="59" t="s">
        <v>24</v>
      </c>
      <c r="E65" s="271">
        <f ca="1"/>
        <v>5</v>
      </c>
      <c r="F65" s="43">
        <v>42.9</v>
      </c>
      <c r="G65" s="33">
        <v>43</v>
      </c>
      <c r="H65" s="43">
        <f ca="1"/>
        <v>45.4</v>
      </c>
      <c r="I65" s="33">
        <f ca="1"/>
        <v>77.099999999999994</v>
      </c>
      <c r="J65" s="54" t="s">
        <v>4</v>
      </c>
      <c r="L65" s="89" t="s">
        <v>37</v>
      </c>
      <c r="M65" s="89">
        <v>10</v>
      </c>
      <c r="N65" s="89"/>
      <c r="O65" s="90" t="s">
        <v>141</v>
      </c>
      <c r="P65" s="244"/>
      <c r="Q65" s="91"/>
      <c r="R65" s="92"/>
      <c r="S65" s="93"/>
      <c r="T65" s="91"/>
      <c r="U65" s="92"/>
      <c r="V65" s="93"/>
      <c r="W65" s="91"/>
      <c r="X65" s="92"/>
      <c r="Y65" s="93"/>
      <c r="Z65" s="91"/>
      <c r="AA65" s="92"/>
      <c r="AB65" s="93"/>
      <c r="AC65" s="91"/>
      <c r="AD65" s="92"/>
      <c r="AE65" s="93"/>
      <c r="AF65" s="91"/>
      <c r="AG65" s="92"/>
      <c r="AH65" s="93"/>
      <c r="AI65" s="91"/>
      <c r="AJ65" s="92"/>
      <c r="AK65" s="93"/>
      <c r="AL65" s="91"/>
      <c r="AM65" s="92"/>
      <c r="AN65" s="93"/>
      <c r="AO65" s="243" t="str">
        <v/>
      </c>
    </row>
    <row r="66" spans="1:41" x14ac:dyDescent="0.25">
      <c r="A66" s="56">
        <v>4</v>
      </c>
      <c r="B66" s="57">
        <v>-25</v>
      </c>
      <c r="C66" s="58">
        <v>43.5</v>
      </c>
      <c r="D66" s="59" t="s">
        <v>24</v>
      </c>
      <c r="E66" s="271">
        <f ca="1"/>
        <v>7</v>
      </c>
      <c r="F66" s="43">
        <v>43.4</v>
      </c>
      <c r="G66" s="33">
        <v>43.5</v>
      </c>
      <c r="H66" s="43">
        <f ca="1"/>
        <v>45.5</v>
      </c>
      <c r="I66" s="33">
        <f ca="1"/>
        <v>78.5</v>
      </c>
      <c r="J66" s="54" t="s">
        <v>4</v>
      </c>
      <c r="K66" s="8"/>
      <c r="L66" s="89" t="s">
        <v>37</v>
      </c>
      <c r="M66" s="89">
        <v>11</v>
      </c>
      <c r="N66" s="89"/>
      <c r="O66" s="90" t="s">
        <v>142</v>
      </c>
      <c r="P66" s="244"/>
      <c r="Q66" s="91"/>
      <c r="R66" s="92"/>
      <c r="S66" s="93"/>
      <c r="T66" s="91"/>
      <c r="U66" s="92"/>
      <c r="V66" s="93"/>
      <c r="W66" s="91"/>
      <c r="X66" s="92"/>
      <c r="Y66" s="93"/>
      <c r="Z66" s="91"/>
      <c r="AA66" s="92"/>
      <c r="AB66" s="93"/>
      <c r="AC66" s="91"/>
      <c r="AD66" s="92"/>
      <c r="AE66" s="93"/>
      <c r="AF66" s="91"/>
      <c r="AG66" s="92"/>
      <c r="AH66" s="93"/>
      <c r="AI66" s="91"/>
      <c r="AJ66" s="92"/>
      <c r="AK66" s="93"/>
      <c r="AL66" s="91"/>
      <c r="AM66" s="92"/>
      <c r="AN66" s="93"/>
      <c r="AO66" s="243" t="str">
        <v/>
      </c>
    </row>
    <row r="67" spans="1:41" x14ac:dyDescent="0.25">
      <c r="A67" s="56">
        <v>4</v>
      </c>
      <c r="B67" s="57">
        <v>-25</v>
      </c>
      <c r="C67" s="58">
        <v>44</v>
      </c>
      <c r="D67" s="59" t="s">
        <v>24</v>
      </c>
      <c r="E67" s="271">
        <f ca="1"/>
        <v>9</v>
      </c>
      <c r="F67" s="43">
        <v>43.9</v>
      </c>
      <c r="G67" s="33">
        <v>44</v>
      </c>
      <c r="H67" s="43">
        <f ca="1"/>
        <v>45.5</v>
      </c>
      <c r="I67" s="33">
        <f ca="1"/>
        <v>78.599999999999994</v>
      </c>
      <c r="J67" s="54" t="s">
        <v>4</v>
      </c>
      <c r="K67" s="94"/>
      <c r="L67" s="89" t="s">
        <v>37</v>
      </c>
      <c r="M67" s="89">
        <v>12</v>
      </c>
      <c r="N67" s="89"/>
      <c r="O67" s="90" t="s">
        <v>143</v>
      </c>
      <c r="P67" s="244"/>
      <c r="Q67" s="91"/>
      <c r="R67" s="92"/>
      <c r="S67" s="93"/>
      <c r="T67" s="91"/>
      <c r="U67" s="92"/>
      <c r="V67" s="93"/>
      <c r="W67" s="91"/>
      <c r="X67" s="92"/>
      <c r="Y67" s="93"/>
      <c r="Z67" s="91"/>
      <c r="AA67" s="92"/>
      <c r="AB67" s="93"/>
      <c r="AC67" s="91"/>
      <c r="AD67" s="92"/>
      <c r="AE67" s="93"/>
      <c r="AF67" s="91"/>
      <c r="AG67" s="92"/>
      <c r="AH67" s="93"/>
      <c r="AI67" s="91"/>
      <c r="AJ67" s="92"/>
      <c r="AK67" s="93"/>
      <c r="AL67" s="91"/>
      <c r="AM67" s="92"/>
      <c r="AN67" s="93"/>
      <c r="AO67" s="243" t="str">
        <v/>
      </c>
    </row>
    <row r="68" spans="1:41" x14ac:dyDescent="0.25">
      <c r="A68" s="56">
        <v>4</v>
      </c>
      <c r="B68" s="57">
        <v>-25</v>
      </c>
      <c r="C68" s="58">
        <v>44.5</v>
      </c>
      <c r="D68" s="59" t="s">
        <v>24</v>
      </c>
      <c r="E68" s="271">
        <f ca="1"/>
        <v>11</v>
      </c>
      <c r="F68" s="43">
        <v>44.4</v>
      </c>
      <c r="G68" s="33">
        <v>44.5</v>
      </c>
      <c r="H68" s="43">
        <f ca="1"/>
        <v>45.5</v>
      </c>
      <c r="I68" s="33">
        <f ca="1"/>
        <v>80</v>
      </c>
      <c r="J68" s="54" t="s">
        <v>4</v>
      </c>
      <c r="K68" s="94"/>
      <c r="L68" s="89" t="s">
        <v>37</v>
      </c>
      <c r="M68" s="89">
        <v>13</v>
      </c>
      <c r="N68" s="89"/>
      <c r="O68" s="90" t="s">
        <v>144</v>
      </c>
      <c r="P68" s="244"/>
      <c r="Q68" s="91"/>
      <c r="R68" s="92"/>
      <c r="S68" s="93"/>
      <c r="T68" s="91"/>
      <c r="U68" s="92"/>
      <c r="V68" s="93"/>
      <c r="W68" s="91"/>
      <c r="X68" s="92"/>
      <c r="Y68" s="93"/>
      <c r="Z68" s="91"/>
      <c r="AA68" s="92"/>
      <c r="AB68" s="93"/>
      <c r="AC68" s="91"/>
      <c r="AD68" s="92"/>
      <c r="AE68" s="93"/>
      <c r="AF68" s="91"/>
      <c r="AG68" s="92"/>
      <c r="AH68" s="93"/>
      <c r="AI68" s="91"/>
      <c r="AJ68" s="92"/>
      <c r="AK68" s="93"/>
      <c r="AL68" s="91"/>
      <c r="AM68" s="92"/>
      <c r="AN68" s="93"/>
      <c r="AO68" s="243" t="str">
        <v/>
      </c>
    </row>
    <row r="69" spans="1:41" x14ac:dyDescent="0.25">
      <c r="A69" s="56">
        <v>4</v>
      </c>
      <c r="B69" s="57">
        <v>-25</v>
      </c>
      <c r="C69" s="58">
        <v>45</v>
      </c>
      <c r="D69" s="59" t="s">
        <v>24</v>
      </c>
      <c r="E69" s="271">
        <f ca="1"/>
        <v>13</v>
      </c>
      <c r="F69" s="43">
        <v>44.9</v>
      </c>
      <c r="G69" s="33">
        <v>45</v>
      </c>
      <c r="H69" s="43">
        <f ca="1"/>
        <v>49.9</v>
      </c>
      <c r="I69" s="33">
        <f ca="1"/>
        <v>80.099999999999994</v>
      </c>
      <c r="J69" s="54" t="s">
        <v>4</v>
      </c>
      <c r="K69" s="94"/>
      <c r="L69" s="89" t="s">
        <v>37</v>
      </c>
      <c r="M69" s="89">
        <v>14</v>
      </c>
      <c r="N69" s="89"/>
      <c r="O69" s="90" t="s">
        <v>145</v>
      </c>
      <c r="P69" s="244"/>
      <c r="Q69" s="91"/>
      <c r="R69" s="92"/>
      <c r="S69" s="93"/>
      <c r="T69" s="91"/>
      <c r="U69" s="92"/>
      <c r="V69" s="93"/>
      <c r="W69" s="91"/>
      <c r="X69" s="92"/>
      <c r="Y69" s="93"/>
      <c r="Z69" s="91"/>
      <c r="AA69" s="92"/>
      <c r="AB69" s="93"/>
      <c r="AC69" s="91"/>
      <c r="AD69" s="92"/>
      <c r="AE69" s="93"/>
      <c r="AF69" s="91"/>
      <c r="AG69" s="92"/>
      <c r="AH69" s="93"/>
      <c r="AI69" s="91"/>
      <c r="AJ69" s="92"/>
      <c r="AK69" s="93"/>
      <c r="AL69" s="91"/>
      <c r="AM69" s="92"/>
      <c r="AN69" s="93"/>
      <c r="AO69" s="243" t="str">
        <v/>
      </c>
    </row>
    <row r="70" spans="1:41" x14ac:dyDescent="0.25">
      <c r="A70" s="56">
        <v>4</v>
      </c>
      <c r="B70" s="57">
        <v>-25</v>
      </c>
      <c r="C70" s="58">
        <v>45.5</v>
      </c>
      <c r="D70" s="59" t="s">
        <v>24</v>
      </c>
      <c r="E70" s="271">
        <f ca="1"/>
        <v>15</v>
      </c>
      <c r="F70" s="43">
        <v>45.4</v>
      </c>
      <c r="G70" s="33">
        <v>45.5</v>
      </c>
      <c r="H70" s="43">
        <f ca="1"/>
        <v>49.9</v>
      </c>
      <c r="I70" s="33">
        <f ca="1"/>
        <v>82</v>
      </c>
      <c r="J70" s="54" t="s">
        <v>4</v>
      </c>
      <c r="K70" s="94"/>
      <c r="L70" s="89" t="s">
        <v>37</v>
      </c>
      <c r="M70" s="89">
        <v>15</v>
      </c>
      <c r="N70" s="89"/>
      <c r="O70" s="90" t="s">
        <v>146</v>
      </c>
      <c r="P70" s="244"/>
      <c r="Q70" s="91"/>
      <c r="R70" s="92"/>
      <c r="S70" s="93"/>
      <c r="T70" s="91"/>
      <c r="U70" s="92"/>
      <c r="V70" s="93"/>
      <c r="W70" s="91"/>
      <c r="X70" s="92"/>
      <c r="Y70" s="93"/>
      <c r="Z70" s="91"/>
      <c r="AA70" s="92"/>
      <c r="AB70" s="93"/>
      <c r="AC70" s="91"/>
      <c r="AD70" s="92"/>
      <c r="AE70" s="93"/>
      <c r="AF70" s="91"/>
      <c r="AG70" s="92"/>
      <c r="AH70" s="93"/>
      <c r="AI70" s="91"/>
      <c r="AJ70" s="92"/>
      <c r="AK70" s="93"/>
      <c r="AL70" s="91"/>
      <c r="AM70" s="92"/>
      <c r="AN70" s="93"/>
      <c r="AO70" s="243" t="str">
        <v/>
      </c>
    </row>
    <row r="71" spans="1:41" x14ac:dyDescent="0.25">
      <c r="A71" s="56">
        <v>5</v>
      </c>
      <c r="B71" s="57">
        <v>-25</v>
      </c>
      <c r="C71" s="58">
        <v>43</v>
      </c>
      <c r="D71" s="59" t="s">
        <v>24</v>
      </c>
      <c r="E71" s="271">
        <f ca="1"/>
        <v>5</v>
      </c>
      <c r="F71" s="43">
        <v>42.9</v>
      </c>
      <c r="G71" s="33">
        <v>43</v>
      </c>
      <c r="H71" s="43">
        <f ca="1"/>
        <v>50</v>
      </c>
      <c r="I71" s="33">
        <f ca="1"/>
        <v>82.1</v>
      </c>
      <c r="J71" s="54" t="s">
        <v>4</v>
      </c>
      <c r="K71" s="94"/>
      <c r="L71" s="89" t="s">
        <v>37</v>
      </c>
      <c r="M71" s="89">
        <v>16</v>
      </c>
      <c r="N71" s="89"/>
      <c r="O71" s="90" t="s">
        <v>147</v>
      </c>
      <c r="P71" s="244"/>
      <c r="Q71" s="91"/>
      <c r="R71" s="92"/>
      <c r="S71" s="93"/>
      <c r="T71" s="91"/>
      <c r="U71" s="92"/>
      <c r="V71" s="93"/>
      <c r="W71" s="91"/>
      <c r="X71" s="92"/>
      <c r="Y71" s="93"/>
      <c r="Z71" s="91"/>
      <c r="AA71" s="92"/>
      <c r="AB71" s="93"/>
      <c r="AC71" s="91"/>
      <c r="AD71" s="92"/>
      <c r="AE71" s="93"/>
      <c r="AF71" s="91"/>
      <c r="AG71" s="92"/>
      <c r="AH71" s="93"/>
      <c r="AI71" s="91"/>
      <c r="AJ71" s="92"/>
      <c r="AK71" s="93"/>
      <c r="AL71" s="91"/>
      <c r="AM71" s="92"/>
      <c r="AN71" s="93"/>
      <c r="AO71" s="243" t="str">
        <v/>
      </c>
    </row>
    <row r="72" spans="1:41" x14ac:dyDescent="0.25">
      <c r="A72" s="56">
        <v>5</v>
      </c>
      <c r="B72" s="57">
        <v>-25</v>
      </c>
      <c r="C72" s="58">
        <v>43.5</v>
      </c>
      <c r="D72" s="59" t="s">
        <v>24</v>
      </c>
      <c r="E72" s="271">
        <f ca="1"/>
        <v>7</v>
      </c>
      <c r="F72" s="43">
        <v>43.4</v>
      </c>
      <c r="G72" s="33">
        <v>43.5</v>
      </c>
      <c r="H72" s="43">
        <f ca="1"/>
        <v>50</v>
      </c>
      <c r="I72" s="33">
        <f ca="1"/>
        <v>82.199999999999989</v>
      </c>
      <c r="J72" s="54" t="s">
        <v>4</v>
      </c>
      <c r="K72" s="94"/>
      <c r="L72" s="89" t="s">
        <v>37</v>
      </c>
      <c r="M72" s="89">
        <v>17</v>
      </c>
      <c r="N72" s="89"/>
      <c r="O72" s="90" t="s">
        <v>148</v>
      </c>
      <c r="P72" s="244"/>
      <c r="Q72" s="91"/>
      <c r="R72" s="92"/>
      <c r="S72" s="93"/>
      <c r="T72" s="91"/>
      <c r="U72" s="92"/>
      <c r="V72" s="93"/>
      <c r="W72" s="91"/>
      <c r="X72" s="92"/>
      <c r="Y72" s="93"/>
      <c r="Z72" s="91"/>
      <c r="AA72" s="92"/>
      <c r="AB72" s="93"/>
      <c r="AC72" s="91"/>
      <c r="AD72" s="92"/>
      <c r="AE72" s="93"/>
      <c r="AF72" s="91"/>
      <c r="AG72" s="92"/>
      <c r="AH72" s="93"/>
      <c r="AI72" s="91"/>
      <c r="AJ72" s="92"/>
      <c r="AK72" s="93"/>
      <c r="AL72" s="91"/>
      <c r="AM72" s="92"/>
      <c r="AN72" s="93"/>
      <c r="AO72" s="243" t="str">
        <v/>
      </c>
    </row>
    <row r="73" spans="1:41" x14ac:dyDescent="0.25">
      <c r="A73" s="56">
        <v>5</v>
      </c>
      <c r="B73" s="57">
        <v>-25</v>
      </c>
      <c r="C73" s="58">
        <v>44</v>
      </c>
      <c r="D73" s="59" t="s">
        <v>24</v>
      </c>
      <c r="E73" s="271">
        <f ca="1"/>
        <v>9</v>
      </c>
      <c r="F73" s="43">
        <v>43.9</v>
      </c>
      <c r="G73" s="33">
        <v>44</v>
      </c>
      <c r="H73" s="43">
        <f ca="1"/>
        <v>50.9</v>
      </c>
      <c r="I73" s="33">
        <f ca="1"/>
        <v>1000</v>
      </c>
      <c r="J73" s="54" t="s">
        <v>4</v>
      </c>
      <c r="K73" s="94"/>
      <c r="L73" s="89" t="s">
        <v>37</v>
      </c>
      <c r="M73" s="89">
        <v>18</v>
      </c>
      <c r="N73" s="89"/>
      <c r="O73" s="90" t="s">
        <v>149</v>
      </c>
      <c r="P73" s="244"/>
      <c r="Q73" s="91"/>
      <c r="R73" s="92"/>
      <c r="S73" s="93"/>
      <c r="T73" s="91"/>
      <c r="U73" s="92"/>
      <c r="V73" s="93"/>
      <c r="W73" s="91"/>
      <c r="X73" s="92"/>
      <c r="Y73" s="93"/>
      <c r="Z73" s="91"/>
      <c r="AA73" s="92"/>
      <c r="AB73" s="93"/>
      <c r="AC73" s="91"/>
      <c r="AD73" s="92"/>
      <c r="AE73" s="93"/>
      <c r="AF73" s="91"/>
      <c r="AG73" s="92"/>
      <c r="AH73" s="93"/>
      <c r="AI73" s="91"/>
      <c r="AJ73" s="92"/>
      <c r="AK73" s="93"/>
      <c r="AL73" s="91"/>
      <c r="AM73" s="92"/>
      <c r="AN73" s="93"/>
      <c r="AO73" s="243" t="str">
        <v/>
      </c>
    </row>
    <row r="74" spans="1:41" x14ac:dyDescent="0.25">
      <c r="A74" s="56">
        <v>5</v>
      </c>
      <c r="B74" s="57">
        <v>-25</v>
      </c>
      <c r="C74" s="58">
        <v>44.5</v>
      </c>
      <c r="D74" s="59" t="s">
        <v>24</v>
      </c>
      <c r="E74" s="271">
        <f ca="1"/>
        <v>11</v>
      </c>
      <c r="F74" s="43">
        <v>44.4</v>
      </c>
      <c r="G74" s="33">
        <v>44.5</v>
      </c>
      <c r="H74" s="43">
        <f ca="1"/>
        <v>50.9</v>
      </c>
      <c r="I74" s="33">
        <f ca="1"/>
        <v>1000.1</v>
      </c>
      <c r="J74" s="54" t="s">
        <v>4</v>
      </c>
      <c r="K74" s="94"/>
      <c r="L74" s="89" t="s">
        <v>37</v>
      </c>
      <c r="M74" s="89">
        <v>19</v>
      </c>
      <c r="N74" s="89"/>
      <c r="O74" s="90" t="s">
        <v>150</v>
      </c>
      <c r="P74" s="244"/>
      <c r="Q74" s="91"/>
      <c r="R74" s="92"/>
      <c r="S74" s="93"/>
      <c r="T74" s="91"/>
      <c r="U74" s="92"/>
      <c r="V74" s="93"/>
      <c r="W74" s="91"/>
      <c r="X74" s="92"/>
      <c r="Y74" s="93"/>
      <c r="Z74" s="91"/>
      <c r="AA74" s="92"/>
      <c r="AB74" s="93"/>
      <c r="AC74" s="91"/>
      <c r="AD74" s="92"/>
      <c r="AE74" s="93"/>
      <c r="AF74" s="91"/>
      <c r="AG74" s="92"/>
      <c r="AH74" s="93"/>
      <c r="AI74" s="91"/>
      <c r="AJ74" s="92"/>
      <c r="AK74" s="93"/>
      <c r="AL74" s="91"/>
      <c r="AM74" s="92"/>
      <c r="AN74" s="93"/>
      <c r="AO74" s="243" t="str">
        <v/>
      </c>
    </row>
    <row r="75" spans="1:41" x14ac:dyDescent="0.25">
      <c r="A75" s="56">
        <v>5</v>
      </c>
      <c r="B75" s="57">
        <v>-25</v>
      </c>
      <c r="C75" s="58">
        <v>45</v>
      </c>
      <c r="D75" s="59" t="s">
        <v>24</v>
      </c>
      <c r="E75" s="271">
        <f ca="1"/>
        <v>13</v>
      </c>
      <c r="F75" s="43">
        <v>44.9</v>
      </c>
      <c r="G75" s="33">
        <v>45</v>
      </c>
      <c r="H75" s="43">
        <f ca="1"/>
        <v>51</v>
      </c>
      <c r="I75" s="33">
        <f ca="1"/>
        <v>3000</v>
      </c>
      <c r="J75" s="54" t="s">
        <v>4</v>
      </c>
      <c r="K75" s="94"/>
      <c r="L75" s="95" t="s">
        <v>37</v>
      </c>
      <c r="M75" s="95">
        <v>20</v>
      </c>
      <c r="N75" s="95"/>
      <c r="O75" s="96" t="s">
        <v>151</v>
      </c>
      <c r="P75" s="245"/>
      <c r="Q75" s="97"/>
      <c r="R75" s="98"/>
      <c r="S75" s="99"/>
      <c r="T75" s="97"/>
      <c r="U75" s="98"/>
      <c r="V75" s="99"/>
      <c r="W75" s="97"/>
      <c r="X75" s="98"/>
      <c r="Y75" s="99"/>
      <c r="Z75" s="97"/>
      <c r="AA75" s="98"/>
      <c r="AB75" s="99"/>
      <c r="AC75" s="97"/>
      <c r="AD75" s="98"/>
      <c r="AE75" s="99"/>
      <c r="AF75" s="97"/>
      <c r="AG75" s="98"/>
      <c r="AH75" s="99"/>
      <c r="AI75" s="97"/>
      <c r="AJ75" s="98"/>
      <c r="AK75" s="99"/>
      <c r="AL75" s="97"/>
      <c r="AM75" s="98"/>
      <c r="AN75" s="99"/>
      <c r="AO75" s="243" t="str">
        <v/>
      </c>
    </row>
    <row r="76" spans="1:41" x14ac:dyDescent="0.25">
      <c r="A76" s="56">
        <v>5</v>
      </c>
      <c r="B76" s="57">
        <v>-25</v>
      </c>
      <c r="C76" s="58">
        <v>45.5</v>
      </c>
      <c r="D76" s="59" t="s">
        <v>24</v>
      </c>
      <c r="E76" s="271">
        <f ca="1"/>
        <v>15</v>
      </c>
      <c r="F76" s="43">
        <v>45.4</v>
      </c>
      <c r="G76" s="33">
        <v>45.5</v>
      </c>
      <c r="H76" s="43">
        <f ca="1"/>
        <v>51</v>
      </c>
      <c r="I76" s="33" t="e">
        <f ca="1"/>
        <v>#N/A</v>
      </c>
      <c r="J76" s="54" t="s">
        <v>4</v>
      </c>
      <c r="K76" s="94"/>
    </row>
    <row r="77" spans="1:41" x14ac:dyDescent="0.25">
      <c r="A77" s="56">
        <v>6</v>
      </c>
      <c r="B77" s="57">
        <v>-25</v>
      </c>
      <c r="C77" s="58">
        <v>50</v>
      </c>
      <c r="D77" s="59" t="s">
        <v>24</v>
      </c>
      <c r="E77" s="271">
        <f ca="1"/>
        <v>17</v>
      </c>
      <c r="F77" s="43">
        <v>49.9</v>
      </c>
      <c r="G77" s="33">
        <v>50</v>
      </c>
      <c r="H77" s="43">
        <f ca="1"/>
        <v>51.9</v>
      </c>
      <c r="I77" s="33" t="str">
        <f ca="1"/>
        <v/>
      </c>
      <c r="J77" s="54" t="s">
        <v>4</v>
      </c>
      <c r="K77" s="94"/>
    </row>
    <row r="78" spans="1:41" x14ac:dyDescent="0.25">
      <c r="A78" s="86">
        <v>6</v>
      </c>
      <c r="B78" s="87">
        <v>-25</v>
      </c>
      <c r="C78" s="58">
        <v>51</v>
      </c>
      <c r="D78" s="59" t="s">
        <v>24</v>
      </c>
      <c r="E78" s="271">
        <f ca="1"/>
        <v>19</v>
      </c>
      <c r="F78" s="43">
        <v>50.9</v>
      </c>
      <c r="G78" s="33">
        <v>51</v>
      </c>
      <c r="H78" s="43">
        <f ca="1"/>
        <v>51.9</v>
      </c>
      <c r="I78" s="33" t="str">
        <f ca="1"/>
        <v/>
      </c>
      <c r="J78" s="54" t="s">
        <v>4</v>
      </c>
      <c r="K78" s="221"/>
      <c r="L78" s="222" t="s">
        <v>152</v>
      </c>
      <c r="M78" s="223"/>
      <c r="N78" s="223"/>
      <c r="O78" s="223"/>
      <c r="P78" s="224"/>
    </row>
    <row r="79" spans="1:41" x14ac:dyDescent="0.25">
      <c r="A79" s="56">
        <v>6</v>
      </c>
      <c r="B79" s="57">
        <v>-25</v>
      </c>
      <c r="C79" s="58">
        <v>52.5</v>
      </c>
      <c r="D79" s="59" t="s">
        <v>24</v>
      </c>
      <c r="E79" s="271">
        <f ca="1"/>
        <v>23</v>
      </c>
      <c r="F79" s="43">
        <v>52.4</v>
      </c>
      <c r="G79" s="33">
        <v>52.5</v>
      </c>
      <c r="H79" s="43">
        <f ca="1"/>
        <v>52</v>
      </c>
      <c r="I79" s="33" t="str">
        <f ca="1"/>
        <v/>
      </c>
      <c r="J79" s="54" t="s">
        <v>4</v>
      </c>
      <c r="K79" s="221"/>
      <c r="L79" s="225" t="s">
        <v>14</v>
      </c>
      <c r="M79" s="226" t="s">
        <v>38</v>
      </c>
      <c r="N79" s="227" t="s">
        <v>39</v>
      </c>
      <c r="O79" s="228" t="s">
        <v>17</v>
      </c>
      <c r="P79" s="224"/>
      <c r="Q79" s="229" t="s">
        <v>128</v>
      </c>
    </row>
    <row r="80" spans="1:41" x14ac:dyDescent="0.25">
      <c r="A80" s="56">
        <v>6</v>
      </c>
      <c r="B80" s="57">
        <v>-25</v>
      </c>
      <c r="C80" s="58">
        <v>54</v>
      </c>
      <c r="D80" s="59" t="s">
        <v>24</v>
      </c>
      <c r="E80" s="271">
        <f ca="1"/>
        <v>27</v>
      </c>
      <c r="F80" s="43">
        <v>53.9</v>
      </c>
      <c r="G80" s="33">
        <v>54</v>
      </c>
      <c r="H80" s="43">
        <f ca="1"/>
        <v>52</v>
      </c>
      <c r="I80" s="33" t="str">
        <f ca="1"/>
        <v/>
      </c>
      <c r="J80" s="54" t="s">
        <v>4</v>
      </c>
      <c r="K80" s="221"/>
      <c r="L80" s="211">
        <v>1</v>
      </c>
      <c r="M80" s="208">
        <v>-100</v>
      </c>
      <c r="N80" s="209">
        <v>1000</v>
      </c>
      <c r="O80" s="210" t="s">
        <v>23</v>
      </c>
      <c r="P80" s="224"/>
      <c r="Q80" s="229" t="s">
        <v>153</v>
      </c>
    </row>
    <row r="81" spans="1:17" x14ac:dyDescent="0.25">
      <c r="A81" s="56">
        <v>6</v>
      </c>
      <c r="B81" s="57">
        <v>-25</v>
      </c>
      <c r="C81" s="58">
        <v>55.5</v>
      </c>
      <c r="D81" s="59" t="s">
        <v>24</v>
      </c>
      <c r="E81" s="271">
        <f ca="1"/>
        <v>31</v>
      </c>
      <c r="F81" s="43">
        <v>55.4</v>
      </c>
      <c r="G81" s="33">
        <v>55.5</v>
      </c>
      <c r="H81" s="43">
        <f ca="1"/>
        <v>52.4</v>
      </c>
      <c r="I81" s="33" t="str">
        <f ca="1"/>
        <v/>
      </c>
      <c r="J81" s="54" t="s">
        <v>4</v>
      </c>
      <c r="K81" s="221"/>
      <c r="L81" s="206">
        <v>2</v>
      </c>
      <c r="M81" s="208">
        <v>-100</v>
      </c>
      <c r="N81" s="209">
        <v>1000</v>
      </c>
      <c r="O81" s="210" t="s">
        <v>23</v>
      </c>
      <c r="P81" s="224"/>
      <c r="Q81" s="229" t="s">
        <v>155</v>
      </c>
    </row>
    <row r="82" spans="1:17" x14ac:dyDescent="0.25">
      <c r="A82" s="56">
        <v>6</v>
      </c>
      <c r="B82" s="57">
        <v>-25</v>
      </c>
      <c r="C82" s="58">
        <v>60</v>
      </c>
      <c r="D82" s="59" t="s">
        <v>24</v>
      </c>
      <c r="E82" s="271">
        <f ca="1"/>
        <v>35</v>
      </c>
      <c r="F82" s="43">
        <v>59.9</v>
      </c>
      <c r="G82" s="33">
        <v>60</v>
      </c>
      <c r="H82" s="43">
        <f ca="1"/>
        <v>52.5</v>
      </c>
      <c r="I82" s="33" t="str">
        <f ca="1"/>
        <v/>
      </c>
      <c r="J82" s="54" t="s">
        <v>4</v>
      </c>
      <c r="K82" s="221"/>
      <c r="L82" s="206">
        <v>3</v>
      </c>
      <c r="M82" s="208">
        <v>-100</v>
      </c>
      <c r="N82" s="209">
        <v>1000</v>
      </c>
      <c r="O82" s="210" t="s">
        <v>23</v>
      </c>
      <c r="P82" s="224"/>
      <c r="Q82" s="229" t="s">
        <v>154</v>
      </c>
    </row>
    <row r="83" spans="1:17" x14ac:dyDescent="0.25">
      <c r="A83" s="56"/>
      <c r="B83" s="57"/>
      <c r="C83" s="58"/>
      <c r="D83" s="59"/>
      <c r="E83" s="271" t="str">
        <v/>
      </c>
      <c r="F83" s="43" t="str">
        <v/>
      </c>
      <c r="G83" s="33">
        <v>-100</v>
      </c>
      <c r="H83" s="43">
        <f ca="1"/>
        <v>52.9</v>
      </c>
      <c r="I83" s="33" t="str">
        <f ca="1"/>
        <v/>
      </c>
      <c r="J83" s="54" t="s">
        <v>4</v>
      </c>
      <c r="K83" s="221"/>
      <c r="L83" s="216">
        <v>4</v>
      </c>
      <c r="M83" s="217">
        <v>-100</v>
      </c>
      <c r="N83" s="218">
        <v>1000</v>
      </c>
      <c r="O83" s="219" t="s">
        <v>23</v>
      </c>
      <c r="P83" s="224"/>
    </row>
    <row r="84" spans="1:17" x14ac:dyDescent="0.25">
      <c r="A84" s="56"/>
      <c r="B84" s="57"/>
      <c r="C84" s="58"/>
      <c r="D84" s="59"/>
      <c r="E84" s="271" t="str">
        <v/>
      </c>
      <c r="F84" s="43" t="str">
        <v/>
      </c>
      <c r="G84" s="33">
        <v>-100</v>
      </c>
      <c r="H84" s="43">
        <f ca="1"/>
        <v>53</v>
      </c>
      <c r="I84" s="33" t="str">
        <f ca="1"/>
        <v/>
      </c>
      <c r="J84" s="54" t="s">
        <v>4</v>
      </c>
      <c r="K84" s="221"/>
      <c r="L84" s="212">
        <v>5</v>
      </c>
      <c r="M84" s="213">
        <v>-100</v>
      </c>
      <c r="N84" s="214">
        <v>1000</v>
      </c>
      <c r="O84" s="215" t="s">
        <v>23</v>
      </c>
      <c r="P84" s="224"/>
    </row>
    <row r="85" spans="1:17" x14ac:dyDescent="0.25">
      <c r="A85" s="56"/>
      <c r="B85" s="57"/>
      <c r="C85" s="58"/>
      <c r="D85" s="59"/>
      <c r="E85" s="271" t="str">
        <v/>
      </c>
      <c r="F85" s="43" t="str">
        <v/>
      </c>
      <c r="G85" s="33">
        <v>-100</v>
      </c>
      <c r="H85" s="43">
        <f ca="1"/>
        <v>53.9</v>
      </c>
      <c r="I85" s="33" t="str">
        <f ca="1"/>
        <v/>
      </c>
      <c r="J85" s="54" t="s">
        <v>4</v>
      </c>
      <c r="K85" s="221"/>
      <c r="L85" s="206">
        <v>6</v>
      </c>
      <c r="M85" s="208">
        <v>-100</v>
      </c>
      <c r="N85" s="209">
        <v>1000</v>
      </c>
      <c r="O85" s="210" t="s">
        <v>23</v>
      </c>
      <c r="P85" s="224"/>
    </row>
    <row r="86" spans="1:17" x14ac:dyDescent="0.25">
      <c r="A86" s="56"/>
      <c r="B86" s="57"/>
      <c r="C86" s="58"/>
      <c r="D86" s="59"/>
      <c r="E86" s="271" t="str">
        <v/>
      </c>
      <c r="F86" s="43" t="str">
        <v/>
      </c>
      <c r="G86" s="33">
        <v>-100</v>
      </c>
      <c r="H86" s="43">
        <f ca="1"/>
        <v>53.9</v>
      </c>
      <c r="I86" s="33" t="str">
        <f ca="1"/>
        <v/>
      </c>
      <c r="J86" s="54" t="s">
        <v>4</v>
      </c>
      <c r="K86" s="221"/>
      <c r="L86" s="206">
        <v>7</v>
      </c>
      <c r="M86" s="208">
        <v>-100</v>
      </c>
      <c r="N86" s="209">
        <v>1000</v>
      </c>
      <c r="O86" s="210" t="s">
        <v>23</v>
      </c>
      <c r="P86" s="224"/>
    </row>
    <row r="87" spans="1:17" x14ac:dyDescent="0.25">
      <c r="A87" s="56"/>
      <c r="B87" s="57"/>
      <c r="C87" s="58"/>
      <c r="D87" s="59"/>
      <c r="E87" s="271" t="str">
        <v/>
      </c>
      <c r="F87" s="43" t="str">
        <v/>
      </c>
      <c r="G87" s="33">
        <v>-100</v>
      </c>
      <c r="H87" s="43">
        <f ca="1"/>
        <v>54</v>
      </c>
      <c r="I87" s="33" t="str">
        <f ca="1"/>
        <v/>
      </c>
      <c r="J87" s="54" t="s">
        <v>4</v>
      </c>
      <c r="K87" s="221"/>
      <c r="L87" s="216">
        <v>8</v>
      </c>
      <c r="M87" s="217">
        <v>-100</v>
      </c>
      <c r="N87" s="218">
        <v>1000</v>
      </c>
      <c r="O87" s="219" t="s">
        <v>23</v>
      </c>
      <c r="P87" s="224"/>
    </row>
    <row r="88" spans="1:17" x14ac:dyDescent="0.25">
      <c r="A88" s="56"/>
      <c r="B88" s="57"/>
      <c r="C88" s="58"/>
      <c r="D88" s="59"/>
      <c r="E88" s="271" t="str">
        <v/>
      </c>
      <c r="F88" s="43" t="str">
        <v/>
      </c>
      <c r="G88" s="33">
        <v>-100</v>
      </c>
      <c r="H88" s="43">
        <f ca="1"/>
        <v>54</v>
      </c>
      <c r="I88" s="33" t="str">
        <f ca="1"/>
        <v/>
      </c>
      <c r="J88" s="54" t="s">
        <v>4</v>
      </c>
      <c r="K88" s="221"/>
      <c r="L88" s="211">
        <v>9</v>
      </c>
      <c r="M88" s="208">
        <v>-100</v>
      </c>
      <c r="N88" s="209">
        <v>1000</v>
      </c>
      <c r="O88" s="210" t="s">
        <v>23</v>
      </c>
      <c r="P88" s="224"/>
    </row>
    <row r="89" spans="1:17" x14ac:dyDescent="0.25">
      <c r="A89" s="56"/>
      <c r="B89" s="57"/>
      <c r="C89" s="58"/>
      <c r="D89" s="59"/>
      <c r="E89" s="271" t="str">
        <v/>
      </c>
      <c r="F89" s="43" t="str">
        <v/>
      </c>
      <c r="G89" s="33">
        <v>-100</v>
      </c>
      <c r="H89" s="43">
        <f ca="1"/>
        <v>54.9</v>
      </c>
      <c r="I89" s="33" t="str">
        <f ca="1"/>
        <v/>
      </c>
      <c r="J89" s="54" t="s">
        <v>4</v>
      </c>
      <c r="K89" s="221"/>
      <c r="L89" s="206">
        <v>10</v>
      </c>
      <c r="M89" s="208">
        <v>-100</v>
      </c>
      <c r="N89" s="209">
        <v>1000</v>
      </c>
      <c r="O89" s="210" t="s">
        <v>23</v>
      </c>
      <c r="P89" s="224"/>
    </row>
    <row r="90" spans="1:17" x14ac:dyDescent="0.25">
      <c r="A90" s="56"/>
      <c r="B90" s="57"/>
      <c r="C90" s="58"/>
      <c r="D90" s="59"/>
      <c r="E90" s="271" t="str">
        <v/>
      </c>
      <c r="F90" s="43" t="str">
        <v/>
      </c>
      <c r="G90" s="33">
        <v>-100</v>
      </c>
      <c r="H90" s="43">
        <f ca="1"/>
        <v>54.9</v>
      </c>
      <c r="I90" s="33" t="str">
        <f ca="1"/>
        <v/>
      </c>
      <c r="J90" s="54" t="s">
        <v>4</v>
      </c>
      <c r="K90" s="221"/>
      <c r="L90" s="206">
        <v>11</v>
      </c>
      <c r="M90" s="208">
        <v>-100</v>
      </c>
      <c r="N90" s="209">
        <v>1000</v>
      </c>
      <c r="O90" s="210" t="s">
        <v>23</v>
      </c>
      <c r="P90" s="224"/>
    </row>
    <row r="91" spans="1:17" x14ac:dyDescent="0.25">
      <c r="A91" s="56"/>
      <c r="B91" s="57"/>
      <c r="C91" s="58"/>
      <c r="D91" s="59"/>
      <c r="E91" s="271" t="str">
        <v/>
      </c>
      <c r="F91" s="43" t="str">
        <v/>
      </c>
      <c r="G91" s="33">
        <v>-100</v>
      </c>
      <c r="H91" s="43">
        <f ca="1"/>
        <v>55</v>
      </c>
      <c r="I91" s="33" t="str">
        <f ca="1"/>
        <v/>
      </c>
      <c r="J91" s="54" t="s">
        <v>4</v>
      </c>
      <c r="K91" s="221"/>
      <c r="L91" s="220">
        <v>12</v>
      </c>
      <c r="M91" s="208">
        <v>-100</v>
      </c>
      <c r="N91" s="209">
        <v>1000</v>
      </c>
      <c r="O91" s="210" t="s">
        <v>23</v>
      </c>
      <c r="P91" s="224"/>
    </row>
    <row r="92" spans="1:17" x14ac:dyDescent="0.25">
      <c r="A92" s="56"/>
      <c r="B92" s="57"/>
      <c r="C92" s="58"/>
      <c r="D92" s="59"/>
      <c r="E92" s="271" t="str">
        <v/>
      </c>
      <c r="F92" s="43" t="str">
        <v/>
      </c>
      <c r="G92" s="33">
        <v>-100</v>
      </c>
      <c r="H92" s="43">
        <f ca="1"/>
        <v>55</v>
      </c>
      <c r="I92" s="33" t="str">
        <f ca="1"/>
        <v/>
      </c>
      <c r="J92" s="54" t="s">
        <v>4</v>
      </c>
      <c r="K92" s="221"/>
      <c r="L92" s="212">
        <v>13</v>
      </c>
      <c r="M92" s="213">
        <v>-100</v>
      </c>
      <c r="N92" s="214">
        <v>1000</v>
      </c>
      <c r="O92" s="215" t="s">
        <v>23</v>
      </c>
      <c r="P92" s="224"/>
    </row>
    <row r="93" spans="1:17" x14ac:dyDescent="0.25">
      <c r="A93" s="56"/>
      <c r="B93" s="57"/>
      <c r="C93" s="58"/>
      <c r="D93" s="59"/>
      <c r="E93" s="271" t="str">
        <v/>
      </c>
      <c r="F93" s="43" t="str">
        <v/>
      </c>
      <c r="G93" s="33">
        <v>-100</v>
      </c>
      <c r="H93" s="43">
        <f ca="1"/>
        <v>55.4</v>
      </c>
      <c r="I93" s="33" t="str">
        <f ca="1"/>
        <v/>
      </c>
      <c r="J93" s="54" t="s">
        <v>4</v>
      </c>
      <c r="K93" s="221"/>
      <c r="L93" s="206">
        <v>14</v>
      </c>
      <c r="M93" s="208">
        <v>-100</v>
      </c>
      <c r="N93" s="209">
        <v>1000</v>
      </c>
      <c r="O93" s="210" t="s">
        <v>23</v>
      </c>
      <c r="P93" s="224"/>
    </row>
    <row r="94" spans="1:17" x14ac:dyDescent="0.25">
      <c r="A94" s="56"/>
      <c r="B94" s="57"/>
      <c r="C94" s="58"/>
      <c r="D94" s="59"/>
      <c r="E94" s="271" t="str">
        <v/>
      </c>
      <c r="F94" s="43" t="str">
        <v/>
      </c>
      <c r="G94" s="33">
        <v>-100</v>
      </c>
      <c r="H94" s="43">
        <f ca="1"/>
        <v>55.5</v>
      </c>
      <c r="I94" s="33" t="str">
        <f ca="1"/>
        <v/>
      </c>
      <c r="J94" s="54" t="s">
        <v>4</v>
      </c>
      <c r="K94" s="221"/>
      <c r="L94" s="206">
        <v>15</v>
      </c>
      <c r="M94" s="208">
        <v>-100</v>
      </c>
      <c r="N94" s="209">
        <v>1000</v>
      </c>
      <c r="O94" s="210" t="s">
        <v>23</v>
      </c>
      <c r="P94" s="224"/>
    </row>
    <row r="95" spans="1:17" x14ac:dyDescent="0.25">
      <c r="A95" s="56"/>
      <c r="B95" s="57"/>
      <c r="C95" s="58"/>
      <c r="D95" s="59"/>
      <c r="E95" s="271" t="str">
        <v/>
      </c>
      <c r="F95" s="43" t="str">
        <v/>
      </c>
      <c r="G95" s="33">
        <v>-100</v>
      </c>
      <c r="H95" s="43">
        <f ca="1"/>
        <v>57.9</v>
      </c>
      <c r="I95" s="33" t="str">
        <f ca="1"/>
        <v/>
      </c>
      <c r="J95" s="54" t="s">
        <v>4</v>
      </c>
      <c r="K95" s="221"/>
      <c r="L95" s="216">
        <v>16</v>
      </c>
      <c r="M95" s="217">
        <v>-100</v>
      </c>
      <c r="N95" s="218">
        <v>1000</v>
      </c>
      <c r="O95" s="219" t="s">
        <v>23</v>
      </c>
      <c r="P95" s="224"/>
    </row>
    <row r="96" spans="1:17" x14ac:dyDescent="0.25">
      <c r="A96" s="56"/>
      <c r="B96" s="57"/>
      <c r="C96" s="58"/>
      <c r="D96" s="59"/>
      <c r="E96" s="271" t="str">
        <v/>
      </c>
      <c r="F96" s="43" t="str">
        <v/>
      </c>
      <c r="G96" s="33">
        <v>-100</v>
      </c>
      <c r="H96" s="43">
        <f ca="1"/>
        <v>58</v>
      </c>
      <c r="I96" s="33" t="str">
        <f ca="1"/>
        <v/>
      </c>
      <c r="J96" s="54" t="s">
        <v>4</v>
      </c>
      <c r="K96" s="221"/>
      <c r="L96" s="211">
        <v>17</v>
      </c>
      <c r="M96" s="208">
        <v>-100</v>
      </c>
      <c r="N96" s="209">
        <v>1000</v>
      </c>
      <c r="O96" s="210" t="s">
        <v>23</v>
      </c>
      <c r="P96" s="224"/>
    </row>
    <row r="97" spans="1:16" x14ac:dyDescent="0.25">
      <c r="A97" s="56"/>
      <c r="B97" s="57"/>
      <c r="C97" s="58"/>
      <c r="D97" s="59"/>
      <c r="E97" s="271" t="str">
        <v/>
      </c>
      <c r="F97" s="43" t="str">
        <v/>
      </c>
      <c r="G97" s="33">
        <v>-100</v>
      </c>
      <c r="H97" s="43">
        <f ca="1"/>
        <v>59.9</v>
      </c>
      <c r="I97" s="33" t="str">
        <f ca="1"/>
        <v/>
      </c>
      <c r="J97" s="54" t="s">
        <v>4</v>
      </c>
      <c r="K97" s="221"/>
      <c r="L97" s="206">
        <v>18</v>
      </c>
      <c r="M97" s="208">
        <v>-100</v>
      </c>
      <c r="N97" s="209">
        <v>1000</v>
      </c>
      <c r="O97" s="210" t="s">
        <v>23</v>
      </c>
      <c r="P97" s="224"/>
    </row>
    <row r="98" spans="1:16" x14ac:dyDescent="0.25">
      <c r="A98" s="56"/>
      <c r="B98" s="57"/>
      <c r="C98" s="58"/>
      <c r="D98" s="59"/>
      <c r="E98" s="271" t="str">
        <v/>
      </c>
      <c r="F98" s="43" t="str">
        <v/>
      </c>
      <c r="G98" s="33">
        <v>-100</v>
      </c>
      <c r="H98" s="43">
        <f ca="1"/>
        <v>59.9</v>
      </c>
      <c r="I98" s="33" t="str">
        <f ca="1"/>
        <v/>
      </c>
      <c r="J98" s="54" t="s">
        <v>4</v>
      </c>
      <c r="K98" s="221"/>
      <c r="L98" s="206">
        <v>19</v>
      </c>
      <c r="M98" s="208">
        <v>-100</v>
      </c>
      <c r="N98" s="209">
        <v>1000</v>
      </c>
      <c r="O98" s="210" t="s">
        <v>23</v>
      </c>
      <c r="P98" s="224"/>
    </row>
    <row r="99" spans="1:16" x14ac:dyDescent="0.25">
      <c r="A99" s="56"/>
      <c r="B99" s="57"/>
      <c r="C99" s="58"/>
      <c r="D99" s="59"/>
      <c r="E99" s="271" t="str">
        <v/>
      </c>
      <c r="F99" s="43" t="str">
        <v/>
      </c>
      <c r="G99" s="33">
        <v>-100</v>
      </c>
      <c r="H99" s="43">
        <f ca="1"/>
        <v>60</v>
      </c>
      <c r="I99" s="33" t="str">
        <f ca="1"/>
        <v/>
      </c>
      <c r="J99" s="54" t="s">
        <v>4</v>
      </c>
      <c r="K99" s="221"/>
      <c r="L99" s="220">
        <v>20</v>
      </c>
      <c r="M99" s="208">
        <v>-100</v>
      </c>
      <c r="N99" s="209">
        <v>1000</v>
      </c>
      <c r="O99" s="210" t="s">
        <v>23</v>
      </c>
      <c r="P99" s="224"/>
    </row>
    <row r="100" spans="1:16" x14ac:dyDescent="0.25">
      <c r="A100" s="56"/>
      <c r="B100" s="57"/>
      <c r="C100" s="58"/>
      <c r="D100" s="59"/>
      <c r="E100" s="271" t="str">
        <v/>
      </c>
      <c r="F100" s="43" t="str">
        <v/>
      </c>
      <c r="G100" s="33">
        <v>-100</v>
      </c>
      <c r="H100" s="43">
        <f ca="1"/>
        <v>60</v>
      </c>
      <c r="I100" s="33" t="str">
        <f ca="1"/>
        <v/>
      </c>
      <c r="J100" s="54" t="s">
        <v>4</v>
      </c>
      <c r="K100" s="221"/>
      <c r="L100" s="212">
        <v>21</v>
      </c>
      <c r="M100" s="213">
        <v>-100</v>
      </c>
      <c r="N100" s="214">
        <v>1000</v>
      </c>
      <c r="O100" s="215" t="s">
        <v>23</v>
      </c>
      <c r="P100" s="224"/>
    </row>
    <row r="101" spans="1:16" x14ac:dyDescent="0.25">
      <c r="A101" s="56"/>
      <c r="B101" s="57"/>
      <c r="C101" s="58"/>
      <c r="D101" s="59"/>
      <c r="E101" s="271" t="str">
        <v/>
      </c>
      <c r="F101" s="43" t="str">
        <v/>
      </c>
      <c r="G101" s="33">
        <v>-100</v>
      </c>
      <c r="H101" s="43">
        <f ca="1"/>
        <v>60.9</v>
      </c>
      <c r="I101" s="33" t="str">
        <f ca="1"/>
        <v/>
      </c>
      <c r="J101" s="54" t="s">
        <v>4</v>
      </c>
      <c r="K101" s="221"/>
      <c r="L101" s="206">
        <v>22</v>
      </c>
      <c r="M101" s="208">
        <v>-100</v>
      </c>
      <c r="N101" s="209">
        <v>1000</v>
      </c>
      <c r="O101" s="210" t="s">
        <v>23</v>
      </c>
      <c r="P101" s="224"/>
    </row>
    <row r="102" spans="1:16" x14ac:dyDescent="0.25">
      <c r="A102" s="86"/>
      <c r="B102" s="87"/>
      <c r="C102" s="58"/>
      <c r="D102" s="59"/>
      <c r="E102" s="271" t="str">
        <v/>
      </c>
      <c r="F102" s="43" t="str">
        <v/>
      </c>
      <c r="G102" s="33">
        <v>-100</v>
      </c>
      <c r="H102" s="43">
        <f ca="1"/>
        <v>61</v>
      </c>
      <c r="I102" s="33" t="str">
        <f ca="1"/>
        <v/>
      </c>
      <c r="J102" s="54" t="s">
        <v>4</v>
      </c>
      <c r="K102" s="221"/>
      <c r="L102" s="206">
        <v>23</v>
      </c>
      <c r="M102" s="208">
        <v>-100</v>
      </c>
      <c r="N102" s="209">
        <v>1000</v>
      </c>
      <c r="O102" s="210" t="s">
        <v>23</v>
      </c>
      <c r="P102" s="224"/>
    </row>
    <row r="103" spans="1:16" x14ac:dyDescent="0.25">
      <c r="A103" s="56"/>
      <c r="B103" s="57"/>
      <c r="C103" s="58"/>
      <c r="D103" s="59"/>
      <c r="E103" s="271" t="str">
        <v/>
      </c>
      <c r="F103" s="43" t="str">
        <v/>
      </c>
      <c r="G103" s="33">
        <v>-100</v>
      </c>
      <c r="H103" s="43">
        <f ca="1"/>
        <v>61.9</v>
      </c>
      <c r="I103" s="33" t="str">
        <f ca="1"/>
        <v/>
      </c>
      <c r="J103" s="54" t="s">
        <v>4</v>
      </c>
      <c r="K103" s="221"/>
      <c r="L103" s="216">
        <v>24</v>
      </c>
      <c r="M103" s="217">
        <v>-100</v>
      </c>
      <c r="N103" s="218">
        <v>1000</v>
      </c>
      <c r="O103" s="219" t="s">
        <v>23</v>
      </c>
      <c r="P103" s="224"/>
    </row>
    <row r="104" spans="1:16" x14ac:dyDescent="0.25">
      <c r="A104" s="56"/>
      <c r="B104" s="57"/>
      <c r="C104" s="58"/>
      <c r="D104" s="59"/>
      <c r="E104" s="271" t="str">
        <v/>
      </c>
      <c r="F104" s="43" t="str">
        <v/>
      </c>
      <c r="G104" s="33">
        <v>-100</v>
      </c>
      <c r="H104" s="43">
        <f ca="1"/>
        <v>62</v>
      </c>
      <c r="I104" s="33" t="str">
        <f ca="1"/>
        <v/>
      </c>
      <c r="J104" s="54" t="s">
        <v>4</v>
      </c>
      <c r="K104" s="221"/>
      <c r="P104" s="224"/>
    </row>
    <row r="105" spans="1:16" x14ac:dyDescent="0.25">
      <c r="A105" s="56"/>
      <c r="B105" s="57"/>
      <c r="C105" s="58"/>
      <c r="D105" s="59"/>
      <c r="E105" s="271" t="str">
        <v/>
      </c>
      <c r="F105" s="43" t="str">
        <v/>
      </c>
      <c r="G105" s="33">
        <v>-100</v>
      </c>
      <c r="H105" s="43">
        <f ca="1"/>
        <v>66.5</v>
      </c>
      <c r="I105" s="33" t="str">
        <f ca="1"/>
        <v/>
      </c>
      <c r="J105" s="54" t="s">
        <v>4</v>
      </c>
      <c r="K105" s="94"/>
    </row>
    <row r="106" spans="1:16" x14ac:dyDescent="0.25">
      <c r="A106" s="56"/>
      <c r="B106" s="57"/>
      <c r="C106" s="58"/>
      <c r="D106" s="59"/>
      <c r="E106" s="271" t="str">
        <v/>
      </c>
      <c r="F106" s="43" t="str">
        <v/>
      </c>
      <c r="G106" s="33">
        <v>-100</v>
      </c>
      <c r="H106" s="43">
        <f ca="1"/>
        <v>66.599999999999994</v>
      </c>
      <c r="I106" s="33" t="str">
        <f ca="1"/>
        <v/>
      </c>
      <c r="J106" s="54" t="s">
        <v>4</v>
      </c>
      <c r="K106" s="94"/>
      <c r="L106" s="100" t="s">
        <v>40</v>
      </c>
      <c r="M106" s="101">
        <f t="array" ref="M106:N106">MyLists!D2:E2</f>
        <v>-500</v>
      </c>
      <c r="N106" s="207">
        <v>3000</v>
      </c>
      <c r="O106" s="102" t="s">
        <v>23</v>
      </c>
    </row>
    <row r="107" spans="1:16" x14ac:dyDescent="0.25">
      <c r="A107" s="56"/>
      <c r="B107" s="57"/>
      <c r="C107" s="58"/>
      <c r="D107" s="59"/>
      <c r="E107" s="271" t="str">
        <v/>
      </c>
      <c r="F107" s="43" t="str">
        <v/>
      </c>
      <c r="G107" s="33">
        <v>66.599999999999994</v>
      </c>
      <c r="H107" s="43">
        <f ca="1"/>
        <v>67</v>
      </c>
      <c r="I107" s="33" t="str">
        <f ca="1"/>
        <v/>
      </c>
      <c r="J107" s="54" t="s">
        <v>4</v>
      </c>
      <c r="K107" s="94"/>
      <c r="M107" s="103">
        <f>COUNTIF(M$80:M$103,M$106)</f>
        <v>0</v>
      </c>
      <c r="N107" s="103">
        <f>COUNTIF(N$80:N$103,N$106)</f>
        <v>0</v>
      </c>
    </row>
    <row r="108" spans="1:16" x14ac:dyDescent="0.25">
      <c r="A108" s="56"/>
      <c r="B108" s="57"/>
      <c r="C108" s="58"/>
      <c r="D108" s="59"/>
      <c r="E108" s="271" t="str">
        <v/>
      </c>
      <c r="F108" s="43" t="str">
        <v/>
      </c>
      <c r="G108" s="33">
        <v>67.099999999999994</v>
      </c>
      <c r="H108" s="43">
        <f ca="1"/>
        <v>67</v>
      </c>
      <c r="I108" s="33" t="str">
        <f ca="1"/>
        <v/>
      </c>
      <c r="J108" s="54" t="s">
        <v>4</v>
      </c>
      <c r="K108" s="94"/>
      <c r="M108" s="103">
        <f>COUNTIF(SchedulingBids,"&lt;0")</f>
        <v>0</v>
      </c>
      <c r="N108" s="103">
        <f>COUNTIF(SchedulingBids,"&gt;0")</f>
        <v>24</v>
      </c>
    </row>
    <row r="109" spans="1:16" x14ac:dyDescent="0.25">
      <c r="A109" s="56"/>
      <c r="B109" s="57"/>
      <c r="C109" s="58"/>
      <c r="D109" s="59"/>
      <c r="E109" s="271" t="str">
        <v/>
      </c>
      <c r="F109" s="43" t="str">
        <v/>
      </c>
      <c r="G109" s="33">
        <v>67.599999999999994</v>
      </c>
      <c r="H109" s="43">
        <f ca="1"/>
        <v>67.099999999999994</v>
      </c>
      <c r="I109" s="33" t="str">
        <f ca="1"/>
        <v/>
      </c>
      <c r="J109" s="54" t="s">
        <v>4</v>
      </c>
      <c r="K109" s="94"/>
    </row>
    <row r="110" spans="1:16" x14ac:dyDescent="0.25">
      <c r="A110" s="56"/>
      <c r="B110" s="57"/>
      <c r="C110" s="58"/>
      <c r="D110" s="59"/>
      <c r="E110" s="271" t="str">
        <v/>
      </c>
      <c r="F110" s="43" t="str">
        <v/>
      </c>
      <c r="G110" s="33">
        <v>68.099999999999994</v>
      </c>
      <c r="H110" s="43">
        <f ca="1"/>
        <v>67.099999999999994</v>
      </c>
      <c r="I110" s="33" t="str">
        <f ca="1"/>
        <v/>
      </c>
      <c r="J110" s="54" t="s">
        <v>4</v>
      </c>
      <c r="K110" s="94"/>
      <c r="N110" s="104"/>
    </row>
    <row r="111" spans="1:16" x14ac:dyDescent="0.25">
      <c r="A111" s="56"/>
      <c r="B111" s="57"/>
      <c r="C111" s="58"/>
      <c r="D111" s="59"/>
      <c r="E111" s="271" t="str">
        <v/>
      </c>
      <c r="F111" s="43" t="str">
        <v/>
      </c>
      <c r="G111" s="33">
        <v>77.099999999999994</v>
      </c>
      <c r="H111" s="43">
        <f ca="1"/>
        <v>67.5</v>
      </c>
      <c r="I111" s="33" t="str">
        <f ca="1"/>
        <v/>
      </c>
      <c r="J111" s="54" t="s">
        <v>4</v>
      </c>
      <c r="K111" s="94"/>
    </row>
    <row r="112" spans="1:16" x14ac:dyDescent="0.25">
      <c r="A112" s="56"/>
      <c r="B112" s="57"/>
      <c r="C112" s="58"/>
      <c r="D112" s="59"/>
      <c r="E112" s="271" t="str">
        <v/>
      </c>
      <c r="F112" s="43" t="str">
        <v/>
      </c>
      <c r="G112" s="33">
        <v>78.599999999999994</v>
      </c>
      <c r="H112" s="43">
        <f ca="1"/>
        <v>67.599999999999994</v>
      </c>
      <c r="I112" s="33" t="str">
        <f ca="1"/>
        <v/>
      </c>
      <c r="J112" s="54" t="s">
        <v>4</v>
      </c>
      <c r="K112" s="94"/>
    </row>
    <row r="113" spans="1:14" x14ac:dyDescent="0.25">
      <c r="A113" s="56"/>
      <c r="B113" s="57"/>
      <c r="C113" s="58"/>
      <c r="D113" s="59"/>
      <c r="E113" s="271" t="str">
        <v/>
      </c>
      <c r="F113" s="43" t="str">
        <v/>
      </c>
      <c r="G113" s="33">
        <v>80.099999999999994</v>
      </c>
      <c r="H113" s="43">
        <f ca="1"/>
        <v>68</v>
      </c>
      <c r="I113" s="33" t="str">
        <f ca="1"/>
        <v/>
      </c>
      <c r="J113" s="54" t="s">
        <v>4</v>
      </c>
      <c r="K113" s="94"/>
    </row>
    <row r="114" spans="1:14" x14ac:dyDescent="0.25">
      <c r="A114" s="56"/>
      <c r="B114" s="57"/>
      <c r="C114" s="58"/>
      <c r="D114" s="59"/>
      <c r="E114" s="271" t="str">
        <v/>
      </c>
      <c r="F114" s="43" t="str">
        <v/>
      </c>
      <c r="G114" s="33">
        <v>82.1</v>
      </c>
      <c r="H114" s="43">
        <f ca="1"/>
        <v>68</v>
      </c>
      <c r="I114" s="33" t="str">
        <f ca="1"/>
        <v/>
      </c>
      <c r="J114" s="54" t="s">
        <v>4</v>
      </c>
      <c r="K114" s="94"/>
      <c r="N114" s="105"/>
    </row>
    <row r="115" spans="1:14" x14ac:dyDescent="0.25">
      <c r="A115" s="56"/>
      <c r="B115" s="57"/>
      <c r="C115" s="58"/>
      <c r="D115" s="59"/>
      <c r="E115" s="271" t="str">
        <v/>
      </c>
      <c r="F115" s="43" t="str">
        <v/>
      </c>
      <c r="G115" s="33">
        <v>69.099999999999994</v>
      </c>
      <c r="H115" s="43">
        <f ca="1"/>
        <v>68.099999999999994</v>
      </c>
      <c r="I115" s="33" t="str">
        <f ca="1"/>
        <v/>
      </c>
      <c r="J115" s="54" t="s">
        <v>4</v>
      </c>
      <c r="K115" s="94"/>
    </row>
    <row r="116" spans="1:14" x14ac:dyDescent="0.25">
      <c r="A116" s="56"/>
      <c r="B116" s="57"/>
      <c r="C116" s="58"/>
      <c r="D116" s="59"/>
      <c r="E116" s="271" t="str">
        <v/>
      </c>
      <c r="F116" s="43" t="str">
        <v/>
      </c>
      <c r="G116" s="33">
        <v>70.099999999999994</v>
      </c>
      <c r="H116" s="43">
        <f ca="1"/>
        <v>68.099999999999994</v>
      </c>
      <c r="I116" s="33" t="str">
        <f ca="1"/>
        <v/>
      </c>
      <c r="J116" s="54" t="s">
        <v>4</v>
      </c>
      <c r="K116" s="94"/>
    </row>
    <row r="117" spans="1:14" x14ac:dyDescent="0.25">
      <c r="A117" s="56"/>
      <c r="B117" s="57"/>
      <c r="C117" s="58"/>
      <c r="D117" s="59"/>
      <c r="E117" s="271" t="str">
        <v/>
      </c>
      <c r="F117" s="43" t="str">
        <v/>
      </c>
      <c r="G117" s="33">
        <v>71.099999999999994</v>
      </c>
      <c r="H117" s="43">
        <f ca="1"/>
        <v>68.5</v>
      </c>
      <c r="I117" s="33" t="str">
        <f ca="1"/>
        <v/>
      </c>
      <c r="J117" s="54" t="s">
        <v>4</v>
      </c>
      <c r="K117" s="94"/>
    </row>
    <row r="118" spans="1:14" x14ac:dyDescent="0.25">
      <c r="A118" s="56"/>
      <c r="B118" s="57"/>
      <c r="C118" s="58"/>
      <c r="D118" s="59"/>
      <c r="E118" s="271" t="str">
        <v/>
      </c>
      <c r="F118" s="43" t="str">
        <v/>
      </c>
      <c r="G118" s="33">
        <v>68.599999999999994</v>
      </c>
      <c r="H118" s="43">
        <f ca="1"/>
        <v>68.599999999999994</v>
      </c>
      <c r="I118" s="33" t="str">
        <f ca="1"/>
        <v/>
      </c>
      <c r="J118" s="54" t="s">
        <v>4</v>
      </c>
      <c r="K118" s="94"/>
    </row>
    <row r="119" spans="1:14" x14ac:dyDescent="0.25">
      <c r="A119" s="56"/>
      <c r="B119" s="57"/>
      <c r="C119" s="58"/>
      <c r="D119" s="59"/>
      <c r="E119" s="271" t="str">
        <v/>
      </c>
      <c r="F119" s="43" t="str">
        <v/>
      </c>
      <c r="G119" s="33">
        <v>69.099999999999994</v>
      </c>
      <c r="H119" s="43">
        <f ca="1"/>
        <v>69</v>
      </c>
      <c r="I119" s="33" t="str">
        <f ca="1"/>
        <v/>
      </c>
      <c r="J119" s="54" t="s">
        <v>4</v>
      </c>
      <c r="K119" s="94"/>
    </row>
    <row r="120" spans="1:14" x14ac:dyDescent="0.25">
      <c r="A120" s="56"/>
      <c r="B120" s="57"/>
      <c r="C120" s="58"/>
      <c r="D120" s="59"/>
      <c r="E120" s="271" t="str">
        <v/>
      </c>
      <c r="F120" s="43" t="str">
        <v/>
      </c>
      <c r="G120" s="33">
        <v>69.599999999999994</v>
      </c>
      <c r="H120" s="43">
        <f ca="1"/>
        <v>69</v>
      </c>
      <c r="I120" s="33" t="str">
        <f ca="1"/>
        <v/>
      </c>
      <c r="J120" s="54" t="s">
        <v>4</v>
      </c>
      <c r="K120" s="94"/>
    </row>
    <row r="121" spans="1:14" x14ac:dyDescent="0.25">
      <c r="A121" s="56"/>
      <c r="B121" s="57"/>
      <c r="C121" s="58"/>
      <c r="D121" s="59"/>
      <c r="E121" s="271" t="str">
        <v/>
      </c>
      <c r="F121" s="43" t="str">
        <v/>
      </c>
      <c r="G121" s="33">
        <v>70.099999999999994</v>
      </c>
      <c r="H121" s="43">
        <f ca="1"/>
        <v>69.099999999999994</v>
      </c>
      <c r="I121" s="33" t="str">
        <f ca="1"/>
        <v/>
      </c>
      <c r="J121" s="54" t="s">
        <v>4</v>
      </c>
      <c r="K121" s="94"/>
    </row>
    <row r="122" spans="1:14" x14ac:dyDescent="0.25">
      <c r="A122" s="56"/>
      <c r="B122" s="57"/>
      <c r="C122" s="58"/>
      <c r="D122" s="59"/>
      <c r="E122" s="271" t="str">
        <v/>
      </c>
      <c r="F122" s="43" t="str">
        <v/>
      </c>
      <c r="G122" s="33">
        <v>67.099999999999994</v>
      </c>
      <c r="H122" s="43">
        <f ca="1"/>
        <v>69.099999999999994</v>
      </c>
      <c r="I122" s="33" t="str">
        <f ca="1"/>
        <v/>
      </c>
      <c r="J122" s="54" t="s">
        <v>4</v>
      </c>
      <c r="K122" s="94"/>
    </row>
    <row r="123" spans="1:14" x14ac:dyDescent="0.25">
      <c r="A123" s="56"/>
      <c r="B123" s="57"/>
      <c r="C123" s="58"/>
      <c r="D123" s="59"/>
      <c r="E123" s="271" t="str">
        <v/>
      </c>
      <c r="F123" s="43" t="str">
        <v/>
      </c>
      <c r="G123" s="33">
        <v>68.099999999999994</v>
      </c>
      <c r="H123" s="43">
        <f ca="1"/>
        <v>69.5</v>
      </c>
      <c r="I123" s="33" t="str">
        <f ca="1"/>
        <v/>
      </c>
      <c r="J123" s="54" t="s">
        <v>4</v>
      </c>
      <c r="K123" s="94"/>
    </row>
    <row r="124" spans="1:14" x14ac:dyDescent="0.25">
      <c r="A124" s="56"/>
      <c r="B124" s="57"/>
      <c r="C124" s="58"/>
      <c r="D124" s="59"/>
      <c r="E124" s="271" t="str">
        <v/>
      </c>
      <c r="F124" s="43" t="str">
        <v/>
      </c>
      <c r="G124" s="33">
        <v>51.9</v>
      </c>
      <c r="H124" s="43">
        <f ca="1"/>
        <v>69.599999999999994</v>
      </c>
      <c r="I124" s="33" t="str">
        <f ca="1"/>
        <v/>
      </c>
      <c r="J124" s="54" t="s">
        <v>4</v>
      </c>
      <c r="K124" s="94"/>
    </row>
    <row r="125" spans="1:14" x14ac:dyDescent="0.25">
      <c r="A125" s="56"/>
      <c r="B125" s="57"/>
      <c r="C125" s="58"/>
      <c r="D125" s="59"/>
      <c r="E125" s="271" t="str">
        <v/>
      </c>
      <c r="F125" s="43" t="str">
        <v/>
      </c>
      <c r="G125" s="33">
        <v>54.9</v>
      </c>
      <c r="H125" s="43">
        <f ca="1"/>
        <v>70</v>
      </c>
      <c r="I125" s="33" t="str">
        <f ca="1"/>
        <v/>
      </c>
      <c r="J125" s="54" t="s">
        <v>4</v>
      </c>
      <c r="K125" s="94"/>
    </row>
    <row r="126" spans="1:14" x14ac:dyDescent="0.25">
      <c r="A126" s="86"/>
      <c r="B126" s="87"/>
      <c r="C126" s="58"/>
      <c r="D126" s="59"/>
      <c r="E126" s="271" t="str">
        <v/>
      </c>
      <c r="F126" s="43" t="str">
        <v/>
      </c>
      <c r="G126" s="33">
        <v>57.9</v>
      </c>
      <c r="H126" s="43">
        <f ca="1"/>
        <v>70</v>
      </c>
      <c r="I126" s="33" t="str">
        <f ca="1"/>
        <v/>
      </c>
      <c r="J126" s="54" t="s">
        <v>4</v>
      </c>
      <c r="K126" s="94"/>
    </row>
    <row r="127" spans="1:14" x14ac:dyDescent="0.25">
      <c r="A127" s="56"/>
      <c r="B127" s="57"/>
      <c r="C127" s="58"/>
      <c r="D127" s="59"/>
      <c r="E127" s="271" t="str">
        <v/>
      </c>
      <c r="F127" s="43" t="str">
        <v/>
      </c>
      <c r="G127" s="33">
        <v>59.9</v>
      </c>
      <c r="H127" s="43">
        <f ca="1"/>
        <v>70.099999999999994</v>
      </c>
      <c r="I127" s="33" t="str">
        <f ca="1"/>
        <v/>
      </c>
      <c r="J127" s="54" t="s">
        <v>4</v>
      </c>
      <c r="K127" s="94"/>
    </row>
    <row r="128" spans="1:14" x14ac:dyDescent="0.25">
      <c r="A128" s="56"/>
      <c r="B128" s="57"/>
      <c r="C128" s="58"/>
      <c r="D128" s="59"/>
      <c r="E128" s="271" t="str">
        <v/>
      </c>
      <c r="F128" s="43" t="str">
        <v/>
      </c>
      <c r="G128" s="33">
        <v>60.9</v>
      </c>
      <c r="H128" s="43">
        <f ca="1"/>
        <v>70.099999999999994</v>
      </c>
      <c r="I128" s="33" t="str">
        <f ca="1"/>
        <v/>
      </c>
      <c r="J128" s="54" t="s">
        <v>4</v>
      </c>
      <c r="K128" s="94"/>
    </row>
    <row r="129" spans="1:11" x14ac:dyDescent="0.25">
      <c r="A129" s="56"/>
      <c r="B129" s="57"/>
      <c r="C129" s="58"/>
      <c r="D129" s="59"/>
      <c r="E129" s="271" t="str">
        <v/>
      </c>
      <c r="F129" s="43" t="str">
        <v/>
      </c>
      <c r="G129" s="33">
        <v>61.9</v>
      </c>
      <c r="H129" s="43">
        <f ca="1"/>
        <v>71</v>
      </c>
      <c r="I129" s="33" t="str">
        <f ca="1"/>
        <v/>
      </c>
      <c r="J129" s="54" t="s">
        <v>4</v>
      </c>
      <c r="K129" s="94"/>
    </row>
    <row r="130" spans="1:11" x14ac:dyDescent="0.25">
      <c r="A130" s="56"/>
      <c r="B130" s="57"/>
      <c r="C130" s="58"/>
      <c r="D130" s="59"/>
      <c r="E130" s="271" t="str">
        <v/>
      </c>
      <c r="F130" s="43" t="str">
        <v/>
      </c>
      <c r="G130" s="33">
        <v>49.9</v>
      </c>
      <c r="H130" s="43">
        <f ca="1"/>
        <v>71.099999999999994</v>
      </c>
      <c r="I130" s="33" t="str">
        <f ca="1"/>
        <v/>
      </c>
      <c r="J130" s="54" t="s">
        <v>4</v>
      </c>
      <c r="K130" s="94"/>
    </row>
    <row r="131" spans="1:11" x14ac:dyDescent="0.25">
      <c r="A131" s="56"/>
      <c r="B131" s="57"/>
      <c r="C131" s="58"/>
      <c r="D131" s="59"/>
      <c r="E131" s="271" t="str">
        <v/>
      </c>
      <c r="F131" s="43" t="str">
        <v/>
      </c>
      <c r="G131" s="33">
        <v>50.9</v>
      </c>
      <c r="H131" s="43">
        <f ca="1"/>
        <v>77</v>
      </c>
      <c r="I131" s="33" t="str">
        <f ca="1"/>
        <v/>
      </c>
      <c r="J131" s="54" t="s">
        <v>4</v>
      </c>
      <c r="K131" s="94"/>
    </row>
    <row r="132" spans="1:11" x14ac:dyDescent="0.25">
      <c r="A132" s="56"/>
      <c r="B132" s="57"/>
      <c r="C132" s="58"/>
      <c r="D132" s="59"/>
      <c r="E132" s="271" t="str">
        <v/>
      </c>
      <c r="F132" s="43" t="str">
        <v/>
      </c>
      <c r="G132" s="33">
        <v>51.9</v>
      </c>
      <c r="H132" s="43">
        <f ca="1"/>
        <v>77.099999999999994</v>
      </c>
      <c r="I132" s="33" t="str">
        <f ca="1"/>
        <v/>
      </c>
      <c r="J132" s="54" t="s">
        <v>4</v>
      </c>
      <c r="K132" s="94"/>
    </row>
    <row r="133" spans="1:11" x14ac:dyDescent="0.25">
      <c r="A133" s="56"/>
      <c r="B133" s="57"/>
      <c r="C133" s="58"/>
      <c r="D133" s="59"/>
      <c r="E133" s="271" t="str">
        <v/>
      </c>
      <c r="F133" s="43" t="str">
        <v/>
      </c>
      <c r="G133" s="33">
        <v>52.9</v>
      </c>
      <c r="H133" s="43">
        <f ca="1"/>
        <v>78.5</v>
      </c>
      <c r="I133" s="33" t="str">
        <f ca="1"/>
        <v/>
      </c>
      <c r="J133" s="54" t="s">
        <v>4</v>
      </c>
      <c r="K133" s="94"/>
    </row>
    <row r="134" spans="1:11" x14ac:dyDescent="0.25">
      <c r="A134" s="56"/>
      <c r="B134" s="57"/>
      <c r="C134" s="58"/>
      <c r="D134" s="59"/>
      <c r="E134" s="271" t="str">
        <v/>
      </c>
      <c r="F134" s="43" t="str">
        <v/>
      </c>
      <c r="G134" s="33">
        <v>53.9</v>
      </c>
      <c r="H134" s="43">
        <f ca="1"/>
        <v>78.599999999999994</v>
      </c>
      <c r="I134" s="33" t="str">
        <f ca="1"/>
        <v/>
      </c>
      <c r="J134" s="54" t="s">
        <v>4</v>
      </c>
      <c r="K134" s="94"/>
    </row>
    <row r="135" spans="1:11" x14ac:dyDescent="0.25">
      <c r="A135" s="56"/>
      <c r="B135" s="57"/>
      <c r="C135" s="58"/>
      <c r="D135" s="59"/>
      <c r="E135" s="271" t="str">
        <v/>
      </c>
      <c r="F135" s="43" t="str">
        <v/>
      </c>
      <c r="G135" s="33">
        <v>54.9</v>
      </c>
      <c r="H135" s="43">
        <f ca="1"/>
        <v>80</v>
      </c>
      <c r="I135" s="33" t="str">
        <f ca="1"/>
        <v/>
      </c>
      <c r="J135" s="54" t="s">
        <v>4</v>
      </c>
      <c r="K135" s="94"/>
    </row>
    <row r="136" spans="1:11" x14ac:dyDescent="0.25">
      <c r="A136" s="56"/>
      <c r="B136" s="57"/>
      <c r="C136" s="58"/>
      <c r="D136" s="59"/>
      <c r="E136" s="271" t="str">
        <v/>
      </c>
      <c r="F136" s="43" t="str">
        <v/>
      </c>
      <c r="G136" s="33">
        <v>42.9</v>
      </c>
      <c r="H136" s="43">
        <f ca="1"/>
        <v>80.099999999999994</v>
      </c>
      <c r="I136" s="33" t="str">
        <f ca="1"/>
        <v/>
      </c>
      <c r="J136" s="54" t="s">
        <v>4</v>
      </c>
      <c r="K136" s="94"/>
    </row>
    <row r="137" spans="1:11" x14ac:dyDescent="0.25">
      <c r="A137" s="56"/>
      <c r="B137" s="57"/>
      <c r="C137" s="58"/>
      <c r="D137" s="59"/>
      <c r="E137" s="271" t="str">
        <v/>
      </c>
      <c r="F137" s="43" t="str">
        <v/>
      </c>
      <c r="G137" s="33">
        <v>43.4</v>
      </c>
      <c r="H137" s="43">
        <f ca="1"/>
        <v>82</v>
      </c>
      <c r="I137" s="33" t="str">
        <f ca="1"/>
        <v/>
      </c>
      <c r="J137" s="54" t="s">
        <v>4</v>
      </c>
      <c r="K137" s="94"/>
    </row>
    <row r="138" spans="1:11" x14ac:dyDescent="0.25">
      <c r="A138" s="56"/>
      <c r="B138" s="57"/>
      <c r="C138" s="58"/>
      <c r="D138" s="59"/>
      <c r="E138" s="271" t="str">
        <v/>
      </c>
      <c r="F138" s="43" t="str">
        <v/>
      </c>
      <c r="G138" s="33">
        <v>43.9</v>
      </c>
      <c r="H138" s="43">
        <f ca="1"/>
        <v>82.1</v>
      </c>
      <c r="I138" s="33" t="str">
        <f ca="1"/>
        <v/>
      </c>
      <c r="J138" s="54" t="s">
        <v>4</v>
      </c>
      <c r="K138" s="94"/>
    </row>
    <row r="139" spans="1:11" x14ac:dyDescent="0.25">
      <c r="A139" s="56"/>
      <c r="B139" s="57"/>
      <c r="C139" s="58"/>
      <c r="D139" s="59"/>
      <c r="E139" s="271" t="str">
        <v/>
      </c>
      <c r="F139" s="43" t="str">
        <v/>
      </c>
      <c r="G139" s="33">
        <v>44.4</v>
      </c>
      <c r="H139" s="43">
        <f ca="1"/>
        <v>82.199999999999989</v>
      </c>
      <c r="I139" s="33" t="str">
        <f ca="1"/>
        <v/>
      </c>
      <c r="J139" s="54" t="s">
        <v>4</v>
      </c>
      <c r="K139" s="94"/>
    </row>
    <row r="140" spans="1:11" x14ac:dyDescent="0.25">
      <c r="A140" s="56"/>
      <c r="B140" s="57"/>
      <c r="C140" s="58"/>
      <c r="D140" s="59"/>
      <c r="E140" s="271" t="str">
        <v/>
      </c>
      <c r="F140" s="43" t="str">
        <v/>
      </c>
      <c r="G140" s="33">
        <v>44.9</v>
      </c>
      <c r="H140" s="43">
        <f ca="1"/>
        <v>1000</v>
      </c>
      <c r="I140" s="33" t="str">
        <f ca="1"/>
        <v/>
      </c>
      <c r="J140" s="54" t="s">
        <v>4</v>
      </c>
      <c r="K140" s="94"/>
    </row>
    <row r="141" spans="1:11" x14ac:dyDescent="0.25">
      <c r="A141" s="56"/>
      <c r="B141" s="57"/>
      <c r="C141" s="58"/>
      <c r="D141" s="59"/>
      <c r="E141" s="271" t="str">
        <v/>
      </c>
      <c r="F141" s="43" t="str">
        <v/>
      </c>
      <c r="G141" s="33">
        <v>45.4</v>
      </c>
      <c r="H141" s="43">
        <f ca="1"/>
        <v>1000</v>
      </c>
      <c r="I141" s="33" t="str">
        <f ca="1"/>
        <v/>
      </c>
      <c r="J141" s="54" t="s">
        <v>4</v>
      </c>
      <c r="K141" s="94"/>
    </row>
    <row r="142" spans="1:11" x14ac:dyDescent="0.25">
      <c r="A142" s="56"/>
      <c r="B142" s="57"/>
      <c r="C142" s="58"/>
      <c r="D142" s="59"/>
      <c r="E142" s="271" t="str">
        <v/>
      </c>
      <c r="F142" s="43" t="str">
        <v/>
      </c>
      <c r="G142" s="33">
        <v>42.9</v>
      </c>
      <c r="H142" s="43">
        <f ca="1"/>
        <v>1000</v>
      </c>
      <c r="I142" s="33" t="str">
        <f ca="1"/>
        <v/>
      </c>
      <c r="J142" s="54" t="s">
        <v>4</v>
      </c>
      <c r="K142" s="94"/>
    </row>
    <row r="143" spans="1:11" x14ac:dyDescent="0.25">
      <c r="A143" s="56"/>
      <c r="B143" s="57"/>
      <c r="C143" s="58"/>
      <c r="D143" s="59"/>
      <c r="E143" s="271" t="str">
        <v/>
      </c>
      <c r="F143" s="43" t="str">
        <v/>
      </c>
      <c r="G143" s="33">
        <v>43.4</v>
      </c>
      <c r="H143" s="43">
        <f ca="1"/>
        <v>1000</v>
      </c>
      <c r="I143" s="33" t="str">
        <f ca="1"/>
        <v/>
      </c>
      <c r="J143" s="54" t="s">
        <v>4</v>
      </c>
      <c r="K143" s="94"/>
    </row>
    <row r="144" spans="1:11" x14ac:dyDescent="0.25">
      <c r="A144" s="56"/>
      <c r="B144" s="57"/>
      <c r="C144" s="58"/>
      <c r="D144" s="59"/>
      <c r="E144" s="271" t="str">
        <v/>
      </c>
      <c r="F144" s="43" t="str">
        <v/>
      </c>
      <c r="G144" s="33">
        <v>43.9</v>
      </c>
      <c r="H144" s="43">
        <f ca="1"/>
        <v>1000</v>
      </c>
      <c r="I144" s="33" t="str">
        <f ca="1"/>
        <v/>
      </c>
      <c r="J144" s="54" t="s">
        <v>4</v>
      </c>
      <c r="K144" s="94"/>
    </row>
    <row r="145" spans="1:11" x14ac:dyDescent="0.25">
      <c r="A145" s="56"/>
      <c r="B145" s="57"/>
      <c r="C145" s="58"/>
      <c r="D145" s="59"/>
      <c r="E145" s="271" t="str">
        <v/>
      </c>
      <c r="F145" s="43" t="str">
        <v/>
      </c>
      <c r="G145" s="33">
        <v>44.4</v>
      </c>
      <c r="H145" s="43">
        <f ca="1"/>
        <v>1000</v>
      </c>
      <c r="I145" s="33" t="str">
        <f ca="1"/>
        <v/>
      </c>
      <c r="J145" s="54" t="s">
        <v>4</v>
      </c>
      <c r="K145" s="94"/>
    </row>
    <row r="146" spans="1:11" x14ac:dyDescent="0.25">
      <c r="A146" s="56"/>
      <c r="B146" s="57"/>
      <c r="C146" s="58"/>
      <c r="D146" s="59"/>
      <c r="E146" s="271" t="str">
        <v/>
      </c>
      <c r="F146" s="43" t="str">
        <v/>
      </c>
      <c r="G146" s="33">
        <v>44.9</v>
      </c>
      <c r="H146" s="43">
        <f ca="1"/>
        <v>1000</v>
      </c>
      <c r="I146" s="33" t="str">
        <f ca="1"/>
        <v/>
      </c>
      <c r="J146" s="54" t="s">
        <v>4</v>
      </c>
      <c r="K146" s="94"/>
    </row>
    <row r="147" spans="1:11" x14ac:dyDescent="0.25">
      <c r="A147" s="56"/>
      <c r="B147" s="57"/>
      <c r="C147" s="58"/>
      <c r="D147" s="59"/>
      <c r="E147" s="271" t="str">
        <v/>
      </c>
      <c r="F147" s="43" t="str">
        <v/>
      </c>
      <c r="G147" s="33">
        <v>45.4</v>
      </c>
      <c r="H147" s="43">
        <f ca="1"/>
        <v>1000</v>
      </c>
      <c r="I147" s="33" t="str">
        <f ca="1"/>
        <v/>
      </c>
      <c r="J147" s="54" t="s">
        <v>4</v>
      </c>
      <c r="K147" s="94"/>
    </row>
    <row r="148" spans="1:11" x14ac:dyDescent="0.25">
      <c r="A148" s="56"/>
      <c r="B148" s="57"/>
      <c r="C148" s="58"/>
      <c r="D148" s="59"/>
      <c r="E148" s="271" t="str">
        <v/>
      </c>
      <c r="F148" s="43" t="str">
        <v/>
      </c>
      <c r="G148" s="33">
        <v>42.9</v>
      </c>
      <c r="H148" s="43">
        <f ca="1"/>
        <v>1000</v>
      </c>
      <c r="I148" s="33" t="str">
        <f ca="1"/>
        <v/>
      </c>
      <c r="J148" s="54" t="s">
        <v>4</v>
      </c>
      <c r="K148" s="94"/>
    </row>
    <row r="149" spans="1:11" x14ac:dyDescent="0.25">
      <c r="A149" s="56"/>
      <c r="B149" s="57"/>
      <c r="C149" s="58"/>
      <c r="D149" s="59"/>
      <c r="E149" s="271" t="str">
        <v/>
      </c>
      <c r="F149" s="43" t="str">
        <v/>
      </c>
      <c r="G149" s="33">
        <v>43.4</v>
      </c>
      <c r="H149" s="43">
        <f ca="1"/>
        <v>1000</v>
      </c>
      <c r="I149" s="33" t="str">
        <f ca="1"/>
        <v/>
      </c>
      <c r="J149" s="54" t="s">
        <v>4</v>
      </c>
      <c r="K149" s="94"/>
    </row>
    <row r="150" spans="1:11" x14ac:dyDescent="0.25">
      <c r="A150" s="86"/>
      <c r="B150" s="87"/>
      <c r="C150" s="58"/>
      <c r="D150" s="59"/>
      <c r="E150" s="271" t="str">
        <v/>
      </c>
      <c r="F150" s="43" t="str">
        <v/>
      </c>
      <c r="G150" s="33">
        <v>43.9</v>
      </c>
      <c r="H150" s="43">
        <f ca="1"/>
        <v>1000</v>
      </c>
      <c r="I150" s="33" t="str">
        <f ca="1"/>
        <v/>
      </c>
      <c r="J150" s="54" t="s">
        <v>4</v>
      </c>
      <c r="K150" s="94"/>
    </row>
    <row r="151" spans="1:11" x14ac:dyDescent="0.25">
      <c r="A151" s="106"/>
      <c r="B151" s="107"/>
      <c r="C151" s="108"/>
      <c r="D151" s="109"/>
      <c r="E151" s="271" t="str">
        <v/>
      </c>
      <c r="F151" s="43" t="str">
        <v/>
      </c>
      <c r="G151" s="33">
        <v>44.4</v>
      </c>
      <c r="H151" s="43">
        <f ca="1"/>
        <v>1000</v>
      </c>
      <c r="I151" s="33" t="str">
        <f ca="1"/>
        <v/>
      </c>
      <c r="J151" s="54" t="s">
        <v>4</v>
      </c>
      <c r="K151" s="94"/>
    </row>
    <row r="152" spans="1:11" x14ac:dyDescent="0.25">
      <c r="A152" s="106"/>
      <c r="B152" s="107"/>
      <c r="C152" s="58"/>
      <c r="D152" s="110"/>
      <c r="E152" s="271" t="str">
        <v/>
      </c>
      <c r="F152" s="43" t="str">
        <v/>
      </c>
      <c r="G152" s="33">
        <v>44.9</v>
      </c>
      <c r="H152" s="43">
        <f ca="1"/>
        <v>1000</v>
      </c>
      <c r="I152" s="33" t="str">
        <f ca="1"/>
        <v/>
      </c>
      <c r="J152" s="54" t="s">
        <v>4</v>
      </c>
    </row>
    <row r="153" spans="1:11" x14ac:dyDescent="0.25">
      <c r="A153" s="106"/>
      <c r="B153" s="107"/>
      <c r="C153" s="108"/>
      <c r="D153" s="59"/>
      <c r="E153" s="271" t="str">
        <v/>
      </c>
      <c r="F153" s="43" t="str">
        <v/>
      </c>
      <c r="G153" s="33">
        <v>45.4</v>
      </c>
      <c r="H153" s="43">
        <f ca="1"/>
        <v>1000</v>
      </c>
      <c r="I153" s="33" t="str">
        <f ca="1"/>
        <v/>
      </c>
      <c r="J153" s="54" t="s">
        <v>4</v>
      </c>
    </row>
    <row r="154" spans="1:11" x14ac:dyDescent="0.25">
      <c r="A154" s="106"/>
      <c r="B154" s="107"/>
      <c r="C154" s="58"/>
      <c r="D154" s="59"/>
      <c r="E154" s="271" t="str">
        <v/>
      </c>
      <c r="F154" s="43" t="str">
        <v/>
      </c>
      <c r="G154" s="33">
        <v>49.9</v>
      </c>
      <c r="H154" s="43">
        <f ca="1"/>
        <v>1000</v>
      </c>
      <c r="I154" s="33" t="str">
        <f ca="1"/>
        <v/>
      </c>
      <c r="J154" s="54" t="s">
        <v>4</v>
      </c>
    </row>
    <row r="155" spans="1:11" x14ac:dyDescent="0.25">
      <c r="A155" s="106"/>
      <c r="B155" s="107"/>
      <c r="C155" s="108"/>
      <c r="D155" s="59"/>
      <c r="E155" s="271" t="str">
        <v/>
      </c>
      <c r="F155" s="43" t="str">
        <v/>
      </c>
      <c r="G155" s="33">
        <v>50.9</v>
      </c>
      <c r="H155" s="43">
        <f ca="1"/>
        <v>1000</v>
      </c>
      <c r="I155" s="33" t="str">
        <f ca="1"/>
        <v/>
      </c>
      <c r="J155" s="54" t="s">
        <v>4</v>
      </c>
    </row>
    <row r="156" spans="1:11" x14ac:dyDescent="0.25">
      <c r="A156" s="56"/>
      <c r="B156" s="57"/>
      <c r="C156" s="58"/>
      <c r="D156" s="59"/>
      <c r="E156" s="271" t="str">
        <v/>
      </c>
      <c r="F156" s="43" t="str">
        <v/>
      </c>
      <c r="G156" s="33">
        <v>52.4</v>
      </c>
      <c r="H156" s="43">
        <f ca="1"/>
        <v>1000</v>
      </c>
      <c r="I156" s="33" t="str">
        <f ca="1"/>
        <v/>
      </c>
      <c r="J156" s="54" t="s">
        <v>4</v>
      </c>
    </row>
    <row r="157" spans="1:11" x14ac:dyDescent="0.25">
      <c r="A157" s="56"/>
      <c r="B157" s="57"/>
      <c r="C157" s="58"/>
      <c r="D157" s="59"/>
      <c r="E157" s="271" t="str">
        <v/>
      </c>
      <c r="F157" s="43" t="str">
        <v/>
      </c>
      <c r="G157" s="33">
        <v>53.9</v>
      </c>
      <c r="H157" s="43">
        <f ca="1"/>
        <v>1000</v>
      </c>
      <c r="I157" s="33" t="str">
        <f ca="1"/>
        <v/>
      </c>
      <c r="J157" s="54" t="s">
        <v>4</v>
      </c>
    </row>
    <row r="158" spans="1:11" x14ac:dyDescent="0.25">
      <c r="A158" s="56"/>
      <c r="B158" s="57"/>
      <c r="C158" s="58"/>
      <c r="D158" s="59"/>
      <c r="E158" s="271" t="str">
        <v/>
      </c>
      <c r="F158" s="43" t="str">
        <v/>
      </c>
      <c r="G158" s="33">
        <v>55.4</v>
      </c>
      <c r="H158" s="43">
        <f ca="1"/>
        <v>1000</v>
      </c>
      <c r="I158" s="33" t="str">
        <f ca="1"/>
        <v/>
      </c>
      <c r="J158" s="54" t="s">
        <v>4</v>
      </c>
    </row>
    <row r="159" spans="1:11" x14ac:dyDescent="0.25">
      <c r="A159" s="56"/>
      <c r="B159" s="57"/>
      <c r="C159" s="58"/>
      <c r="D159" s="59"/>
      <c r="E159" s="271" t="str">
        <v/>
      </c>
      <c r="F159" s="43" t="str">
        <v/>
      </c>
      <c r="G159" s="33">
        <v>59.9</v>
      </c>
      <c r="H159" s="43">
        <f ca="1"/>
        <v>1000</v>
      </c>
      <c r="I159" s="33" t="str">
        <f ca="1"/>
        <v/>
      </c>
      <c r="J159" s="54" t="s">
        <v>4</v>
      </c>
    </row>
    <row r="160" spans="1:11" x14ac:dyDescent="0.25">
      <c r="A160" s="56"/>
      <c r="B160" s="57"/>
      <c r="C160" s="58"/>
      <c r="D160" s="59"/>
      <c r="E160" s="271" t="str">
        <v/>
      </c>
      <c r="F160" s="43" t="str">
        <v/>
      </c>
      <c r="G160" s="33">
        <v>-500</v>
      </c>
      <c r="H160" s="43">
        <f ca="1"/>
        <v>1000</v>
      </c>
      <c r="I160" s="33" t="str">
        <f ca="1"/>
        <v/>
      </c>
      <c r="J160" s="54" t="s">
        <v>4</v>
      </c>
    </row>
    <row r="161" spans="1:10" x14ac:dyDescent="0.25">
      <c r="A161" s="56"/>
      <c r="B161" s="57"/>
      <c r="C161" s="58"/>
      <c r="D161" s="59"/>
      <c r="E161" s="271" t="str">
        <v/>
      </c>
      <c r="F161" s="43" t="str">
        <v/>
      </c>
      <c r="G161" s="33">
        <v>3000</v>
      </c>
      <c r="H161" s="43">
        <f ca="1"/>
        <v>1000</v>
      </c>
      <c r="I161" s="33" t="str">
        <f ca="1"/>
        <v/>
      </c>
      <c r="J161" s="54" t="s">
        <v>4</v>
      </c>
    </row>
    <row r="162" spans="1:10" x14ac:dyDescent="0.25">
      <c r="A162" s="56"/>
      <c r="B162" s="57"/>
      <c r="C162" s="58"/>
      <c r="D162" s="59"/>
      <c r="E162" s="271" t="str">
        <v/>
      </c>
      <c r="F162" s="43" t="str">
        <v/>
      </c>
      <c r="G162" s="33">
        <v>82.199999999999989</v>
      </c>
      <c r="H162" s="43">
        <f ca="1"/>
        <v>1000</v>
      </c>
      <c r="I162" s="33" t="str">
        <f ca="1"/>
        <v/>
      </c>
      <c r="J162" s="54" t="s">
        <v>4</v>
      </c>
    </row>
    <row r="163" spans="1:10" x14ac:dyDescent="0.25">
      <c r="A163" s="56"/>
      <c r="B163" s="57"/>
      <c r="C163" s="58"/>
      <c r="D163" s="59"/>
      <c r="E163" s="271" t="str">
        <v/>
      </c>
      <c r="F163" s="43" t="str">
        <v/>
      </c>
      <c r="G163" s="33">
        <v>42.699999999999996</v>
      </c>
      <c r="H163" s="43">
        <f ca="1"/>
        <v>1000</v>
      </c>
      <c r="I163" s="33" t="str">
        <f ca="1"/>
        <v/>
      </c>
      <c r="J163" s="54" t="s">
        <v>4</v>
      </c>
    </row>
    <row r="164" spans="1:10" x14ac:dyDescent="0.25">
      <c r="A164" s="56"/>
      <c r="B164" s="57"/>
      <c r="C164" s="58"/>
      <c r="D164" s="59"/>
      <c r="E164" s="271" t="str">
        <v/>
      </c>
      <c r="F164" s="43" t="str">
        <v/>
      </c>
      <c r="G164" s="33">
        <v>1000.1</v>
      </c>
      <c r="H164" s="43">
        <f ca="1"/>
        <v>1000.1</v>
      </c>
      <c r="I164" s="33" t="str">
        <f ca="1"/>
        <v/>
      </c>
      <c r="J164" s="54" t="s">
        <v>4</v>
      </c>
    </row>
    <row r="165" spans="1:10" x14ac:dyDescent="0.25">
      <c r="A165" s="56"/>
      <c r="B165" s="57"/>
      <c r="C165" s="58"/>
      <c r="D165" s="59"/>
      <c r="E165" s="271" t="str">
        <v/>
      </c>
      <c r="F165" s="43" t="str">
        <v/>
      </c>
      <c r="G165" s="33">
        <v>-100.1</v>
      </c>
      <c r="H165" s="43">
        <f ca="1"/>
        <v>3000</v>
      </c>
      <c r="I165" s="33" t="str">
        <f ca="1"/>
        <v/>
      </c>
      <c r="J165" s="54" t="s">
        <v>4</v>
      </c>
    </row>
    <row r="166" spans="1:10" x14ac:dyDescent="0.25">
      <c r="A166" s="56"/>
      <c r="B166" s="57"/>
      <c r="C166" s="58"/>
      <c r="D166" s="59"/>
      <c r="E166" s="271" t="str">
        <v/>
      </c>
      <c r="F166" s="43" t="str">
        <v/>
      </c>
      <c r="G166" s="33" t="str">
        <v/>
      </c>
      <c r="H166" s="43" t="e">
        <f ca="1"/>
        <v>#N/A</v>
      </c>
      <c r="I166" s="33" t="str">
        <f ca="1"/>
        <v/>
      </c>
      <c r="J166" s="54" t="s">
        <v>4</v>
      </c>
    </row>
    <row r="167" spans="1:10" x14ac:dyDescent="0.25">
      <c r="A167" s="56"/>
      <c r="B167" s="57"/>
      <c r="C167" s="58"/>
      <c r="D167" s="59"/>
      <c r="E167" s="271" t="str">
        <v/>
      </c>
      <c r="F167" s="43" t="str">
        <v/>
      </c>
      <c r="G167" s="33" t="str">
        <v/>
      </c>
      <c r="H167" s="43" t="e">
        <f ca="1"/>
        <v>#N/A</v>
      </c>
      <c r="I167" s="33" t="str">
        <f ca="1"/>
        <v/>
      </c>
      <c r="J167" s="54" t="s">
        <v>4</v>
      </c>
    </row>
    <row r="168" spans="1:10" x14ac:dyDescent="0.25">
      <c r="A168" s="56"/>
      <c r="B168" s="57"/>
      <c r="C168" s="58"/>
      <c r="D168" s="59"/>
      <c r="E168" s="271" t="str">
        <v/>
      </c>
      <c r="F168" s="43" t="str">
        <v/>
      </c>
      <c r="G168" s="33" t="str">
        <v/>
      </c>
      <c r="H168" s="43" t="e">
        <f ca="1"/>
        <v>#N/A</v>
      </c>
      <c r="I168" s="33" t="str">
        <f ca="1"/>
        <v/>
      </c>
      <c r="J168" s="54" t="s">
        <v>4</v>
      </c>
    </row>
    <row r="169" spans="1:10" x14ac:dyDescent="0.25">
      <c r="A169" s="56"/>
      <c r="B169" s="57"/>
      <c r="C169" s="58"/>
      <c r="D169" s="59"/>
      <c r="E169" s="271" t="str">
        <v/>
      </c>
      <c r="F169" s="43" t="str">
        <v/>
      </c>
      <c r="G169" s="33" t="str">
        <v/>
      </c>
      <c r="H169" s="43" t="e">
        <f ca="1"/>
        <v>#N/A</v>
      </c>
      <c r="I169" s="33" t="str">
        <f ca="1"/>
        <v/>
      </c>
      <c r="J169" s="54" t="s">
        <v>4</v>
      </c>
    </row>
    <row r="170" spans="1:10" x14ac:dyDescent="0.25">
      <c r="A170" s="56"/>
      <c r="B170" s="57"/>
      <c r="C170" s="58"/>
      <c r="D170" s="59"/>
      <c r="E170" s="271" t="str">
        <v/>
      </c>
      <c r="F170" s="43" t="str">
        <v/>
      </c>
      <c r="G170" s="33" t="str">
        <v/>
      </c>
      <c r="H170" s="43" t="e">
        <f ca="1"/>
        <v>#N/A</v>
      </c>
      <c r="I170" s="33" t="str">
        <f ca="1"/>
        <v/>
      </c>
      <c r="J170" s="54" t="s">
        <v>4</v>
      </c>
    </row>
    <row r="171" spans="1:10" x14ac:dyDescent="0.25">
      <c r="A171" s="56"/>
      <c r="B171" s="57"/>
      <c r="C171" s="58"/>
      <c r="D171" s="59"/>
      <c r="E171" s="271" t="str">
        <v/>
      </c>
      <c r="F171" s="43" t="str">
        <v/>
      </c>
      <c r="G171" s="33" t="str">
        <v/>
      </c>
      <c r="H171" s="43" t="e">
        <f ca="1"/>
        <v>#N/A</v>
      </c>
      <c r="I171" s="33" t="str">
        <f ca="1"/>
        <v/>
      </c>
      <c r="J171" s="54" t="s">
        <v>4</v>
      </c>
    </row>
    <row r="172" spans="1:10" x14ac:dyDescent="0.25">
      <c r="A172" s="56"/>
      <c r="B172" s="57"/>
      <c r="C172" s="58"/>
      <c r="D172" s="59"/>
      <c r="E172" s="271" t="str">
        <v/>
      </c>
      <c r="F172" s="43" t="str">
        <v/>
      </c>
      <c r="G172" s="33" t="str">
        <v/>
      </c>
      <c r="H172" s="43" t="e">
        <f ca="1"/>
        <v>#N/A</v>
      </c>
      <c r="I172" s="33" t="str">
        <f ca="1"/>
        <v/>
      </c>
      <c r="J172" s="54" t="s">
        <v>4</v>
      </c>
    </row>
    <row r="173" spans="1:10" x14ac:dyDescent="0.25">
      <c r="A173" s="56"/>
      <c r="B173" s="57"/>
      <c r="C173" s="58"/>
      <c r="D173" s="59"/>
      <c r="E173" s="271" t="str">
        <v/>
      </c>
      <c r="F173" s="43" t="str">
        <v/>
      </c>
      <c r="G173" s="33" t="str">
        <v/>
      </c>
      <c r="H173" s="43" t="e">
        <f ca="1"/>
        <v>#N/A</v>
      </c>
      <c r="I173" s="33" t="str">
        <f ca="1"/>
        <v/>
      </c>
      <c r="J173" s="54" t="s">
        <v>4</v>
      </c>
    </row>
    <row r="174" spans="1:10" x14ac:dyDescent="0.25">
      <c r="A174" s="56"/>
      <c r="B174" s="57"/>
      <c r="C174" s="58"/>
      <c r="D174" s="59"/>
      <c r="E174" s="271" t="str">
        <v/>
      </c>
      <c r="F174" s="43" t="str">
        <v/>
      </c>
      <c r="G174" s="33" t="str">
        <v/>
      </c>
      <c r="H174" s="43" t="e">
        <f ca="1"/>
        <v>#N/A</v>
      </c>
      <c r="I174" s="33" t="str">
        <f ca="1"/>
        <v/>
      </c>
      <c r="J174" s="54" t="s">
        <v>4</v>
      </c>
    </row>
    <row r="175" spans="1:10" x14ac:dyDescent="0.25">
      <c r="A175" s="56"/>
      <c r="B175" s="57"/>
      <c r="C175" s="58"/>
      <c r="D175" s="59"/>
      <c r="E175" s="271" t="str">
        <v/>
      </c>
      <c r="F175" s="43" t="str">
        <v/>
      </c>
      <c r="G175" s="33" t="str">
        <v/>
      </c>
      <c r="H175" s="43" t="e">
        <f ca="1"/>
        <v>#N/A</v>
      </c>
      <c r="I175" s="33" t="str">
        <f ca="1"/>
        <v/>
      </c>
      <c r="J175" s="54" t="s">
        <v>4</v>
      </c>
    </row>
    <row r="176" spans="1:10" x14ac:dyDescent="0.25">
      <c r="A176" s="56"/>
      <c r="B176" s="57"/>
      <c r="C176" s="58"/>
      <c r="D176" s="59"/>
      <c r="E176" s="271" t="str">
        <v/>
      </c>
      <c r="F176" s="43" t="str">
        <v/>
      </c>
      <c r="G176" s="33" t="str">
        <v/>
      </c>
      <c r="H176" s="43" t="e">
        <f ca="1"/>
        <v>#N/A</v>
      </c>
      <c r="I176" s="33" t="str">
        <f ca="1"/>
        <v/>
      </c>
      <c r="J176" s="54" t="s">
        <v>4</v>
      </c>
    </row>
    <row r="177" spans="1:10" x14ac:dyDescent="0.25">
      <c r="A177" s="56"/>
      <c r="B177" s="57"/>
      <c r="C177" s="58"/>
      <c r="D177" s="59"/>
      <c r="E177" s="271" t="str">
        <v/>
      </c>
      <c r="F177" s="43" t="str">
        <v/>
      </c>
      <c r="G177" s="33" t="str">
        <v/>
      </c>
      <c r="H177" s="43" t="e">
        <f ca="1"/>
        <v>#N/A</v>
      </c>
      <c r="I177" s="33" t="str">
        <f ca="1"/>
        <v/>
      </c>
      <c r="J177" s="54" t="s">
        <v>4</v>
      </c>
    </row>
    <row r="178" spans="1:10" x14ac:dyDescent="0.25">
      <c r="A178" s="56"/>
      <c r="B178" s="57"/>
      <c r="C178" s="58"/>
      <c r="D178" s="59"/>
      <c r="E178" s="271" t="str">
        <v/>
      </c>
      <c r="F178" s="43" t="str">
        <v/>
      </c>
      <c r="G178" s="33" t="str">
        <v/>
      </c>
      <c r="H178" s="43" t="e">
        <f ca="1"/>
        <v>#N/A</v>
      </c>
      <c r="I178" s="33" t="str">
        <f ca="1"/>
        <v/>
      </c>
      <c r="J178" s="54" t="s">
        <v>4</v>
      </c>
    </row>
    <row r="179" spans="1:10" x14ac:dyDescent="0.25">
      <c r="A179" s="56"/>
      <c r="B179" s="57"/>
      <c r="C179" s="58"/>
      <c r="D179" s="59"/>
      <c r="E179" s="271" t="str">
        <v/>
      </c>
      <c r="F179" s="43" t="str">
        <v/>
      </c>
      <c r="G179" s="33" t="str">
        <v/>
      </c>
      <c r="H179" s="43" t="e">
        <f ca="1"/>
        <v>#N/A</v>
      </c>
      <c r="I179" s="33" t="str">
        <f ca="1"/>
        <v/>
      </c>
      <c r="J179" s="54" t="s">
        <v>4</v>
      </c>
    </row>
    <row r="180" spans="1:10" x14ac:dyDescent="0.25">
      <c r="A180" s="56"/>
      <c r="B180" s="57"/>
      <c r="C180" s="58"/>
      <c r="D180" s="59"/>
      <c r="E180" s="271" t="str">
        <v/>
      </c>
      <c r="F180" s="43" t="str">
        <v/>
      </c>
      <c r="G180" s="33" t="str">
        <v/>
      </c>
      <c r="H180" s="43" t="e">
        <f ca="1"/>
        <v>#N/A</v>
      </c>
      <c r="I180" s="33" t="str">
        <f ca="1"/>
        <v/>
      </c>
      <c r="J180" s="54" t="s">
        <v>4</v>
      </c>
    </row>
    <row r="181" spans="1:10" x14ac:dyDescent="0.25">
      <c r="A181" s="56"/>
      <c r="B181" s="57"/>
      <c r="C181" s="58"/>
      <c r="D181" s="59"/>
      <c r="E181" s="271" t="str">
        <v/>
      </c>
      <c r="F181" s="43" t="str">
        <v/>
      </c>
      <c r="G181" s="33" t="str">
        <v/>
      </c>
      <c r="H181" s="43" t="e">
        <f ca="1"/>
        <v>#N/A</v>
      </c>
      <c r="I181" s="33" t="str">
        <f ca="1"/>
        <v/>
      </c>
      <c r="J181" s="54" t="s">
        <v>4</v>
      </c>
    </row>
    <row r="182" spans="1:10" x14ac:dyDescent="0.25">
      <c r="A182" s="56"/>
      <c r="B182" s="57"/>
      <c r="C182" s="58"/>
      <c r="D182" s="59"/>
      <c r="E182" s="271" t="str">
        <v/>
      </c>
      <c r="F182" s="43" t="str">
        <v/>
      </c>
      <c r="G182" s="33" t="str">
        <v/>
      </c>
      <c r="H182" s="43" t="e">
        <f ca="1"/>
        <v>#N/A</v>
      </c>
      <c r="I182" s="33" t="str">
        <f ca="1"/>
        <v/>
      </c>
      <c r="J182" s="54" t="s">
        <v>4</v>
      </c>
    </row>
    <row r="183" spans="1:10" x14ac:dyDescent="0.25">
      <c r="A183" s="56"/>
      <c r="B183" s="57"/>
      <c r="C183" s="58"/>
      <c r="D183" s="59"/>
      <c r="E183" s="271" t="str">
        <v/>
      </c>
      <c r="F183" s="43" t="str">
        <v/>
      </c>
      <c r="G183" s="33" t="str">
        <v/>
      </c>
      <c r="H183" s="43" t="e">
        <f ca="1"/>
        <v>#N/A</v>
      </c>
      <c r="I183" s="33" t="str">
        <f ca="1"/>
        <v/>
      </c>
      <c r="J183" s="54" t="s">
        <v>4</v>
      </c>
    </row>
    <row r="184" spans="1:10" x14ac:dyDescent="0.25">
      <c r="A184" s="56"/>
      <c r="B184" s="57"/>
      <c r="C184" s="111"/>
      <c r="D184" s="59"/>
      <c r="E184" s="271" t="str">
        <v/>
      </c>
      <c r="F184" s="43" t="str">
        <v/>
      </c>
      <c r="G184" s="33" t="str">
        <v/>
      </c>
      <c r="H184" s="43" t="e">
        <f ca="1"/>
        <v>#N/A</v>
      </c>
      <c r="I184" s="33" t="str">
        <f ca="1"/>
        <v/>
      </c>
      <c r="J184" s="54" t="s">
        <v>4</v>
      </c>
    </row>
    <row r="185" spans="1:10" x14ac:dyDescent="0.25">
      <c r="A185" s="56"/>
      <c r="B185" s="57"/>
      <c r="C185" s="111"/>
      <c r="D185" s="59"/>
      <c r="E185" s="271" t="str">
        <v/>
      </c>
      <c r="F185" s="43" t="str">
        <v/>
      </c>
      <c r="G185" s="33" t="str">
        <v/>
      </c>
      <c r="H185" s="43" t="e">
        <f ca="1"/>
        <v>#N/A</v>
      </c>
      <c r="I185" s="33" t="str">
        <f ca="1"/>
        <v/>
      </c>
      <c r="J185" s="54" t="s">
        <v>4</v>
      </c>
    </row>
    <row r="186" spans="1:10" x14ac:dyDescent="0.25">
      <c r="A186" s="56"/>
      <c r="B186" s="57"/>
      <c r="C186" s="111"/>
      <c r="D186" s="59"/>
      <c r="E186" s="271" t="str">
        <v/>
      </c>
      <c r="F186" s="43" t="str">
        <v/>
      </c>
      <c r="G186" s="33" t="str">
        <v/>
      </c>
      <c r="H186" s="43" t="e">
        <f ca="1"/>
        <v>#N/A</v>
      </c>
      <c r="I186" s="33" t="str">
        <f ca="1"/>
        <v/>
      </c>
      <c r="J186" s="54" t="s">
        <v>4</v>
      </c>
    </row>
    <row r="187" spans="1:10" x14ac:dyDescent="0.25">
      <c r="A187" s="56"/>
      <c r="B187" s="57"/>
      <c r="C187" s="111"/>
      <c r="D187" s="59"/>
      <c r="E187" s="271" t="str">
        <v/>
      </c>
      <c r="F187" s="43" t="str">
        <v/>
      </c>
      <c r="G187" s="33" t="str">
        <v/>
      </c>
      <c r="H187" s="43" t="e">
        <f ca="1"/>
        <v>#N/A</v>
      </c>
      <c r="I187" s="33" t="str">
        <f ca="1"/>
        <v/>
      </c>
      <c r="J187" s="54" t="s">
        <v>4</v>
      </c>
    </row>
    <row r="188" spans="1:10" x14ac:dyDescent="0.25">
      <c r="A188" s="56"/>
      <c r="B188" s="57"/>
      <c r="C188" s="111"/>
      <c r="D188" s="59"/>
      <c r="E188" s="271" t="str">
        <v/>
      </c>
      <c r="F188" s="43" t="str">
        <v/>
      </c>
      <c r="G188" s="33" t="str">
        <v/>
      </c>
      <c r="H188" s="43" t="e">
        <f ca="1"/>
        <v>#N/A</v>
      </c>
      <c r="I188" s="33" t="str">
        <f ca="1"/>
        <v/>
      </c>
      <c r="J188" s="54" t="s">
        <v>4</v>
      </c>
    </row>
    <row r="189" spans="1:10" x14ac:dyDescent="0.25">
      <c r="A189" s="56"/>
      <c r="B189" s="57"/>
      <c r="C189" s="111"/>
      <c r="D189" s="59"/>
      <c r="E189" s="271" t="str">
        <v/>
      </c>
      <c r="F189" s="43" t="str">
        <v/>
      </c>
      <c r="G189" s="33" t="str">
        <v/>
      </c>
      <c r="H189" s="43" t="e">
        <f ca="1"/>
        <v>#N/A</v>
      </c>
      <c r="I189" s="33" t="str">
        <f ca="1"/>
        <v/>
      </c>
      <c r="J189" s="54" t="s">
        <v>4</v>
      </c>
    </row>
    <row r="190" spans="1:10" x14ac:dyDescent="0.25">
      <c r="A190" s="56"/>
      <c r="B190" s="57"/>
      <c r="C190" s="111"/>
      <c r="D190" s="59"/>
      <c r="E190" s="271" t="str">
        <v/>
      </c>
      <c r="F190" s="43" t="str">
        <v/>
      </c>
      <c r="G190" s="33" t="str">
        <v/>
      </c>
      <c r="H190" s="43" t="e">
        <f ca="1"/>
        <v>#N/A</v>
      </c>
      <c r="I190" s="33" t="str">
        <f ca="1"/>
        <v/>
      </c>
      <c r="J190" s="54" t="s">
        <v>4</v>
      </c>
    </row>
    <row r="191" spans="1:10" x14ac:dyDescent="0.25">
      <c r="A191" s="56"/>
      <c r="B191" s="57"/>
      <c r="C191" s="111"/>
      <c r="D191" s="59"/>
      <c r="E191" s="271" t="str">
        <v/>
      </c>
      <c r="F191" s="43" t="str">
        <v/>
      </c>
      <c r="G191" s="33" t="str">
        <v/>
      </c>
      <c r="H191" s="43" t="e">
        <f ca="1"/>
        <v>#N/A</v>
      </c>
      <c r="I191" s="33" t="str">
        <f ca="1"/>
        <v/>
      </c>
      <c r="J191" s="54" t="s">
        <v>4</v>
      </c>
    </row>
    <row r="192" spans="1:10" x14ac:dyDescent="0.25">
      <c r="A192" s="56"/>
      <c r="B192" s="57"/>
      <c r="C192" s="111"/>
      <c r="D192" s="59"/>
      <c r="E192" s="271" t="str">
        <v/>
      </c>
      <c r="F192" s="43" t="str">
        <v/>
      </c>
      <c r="G192" s="33" t="str">
        <v/>
      </c>
      <c r="H192" s="43" t="e">
        <f ca="1"/>
        <v>#N/A</v>
      </c>
      <c r="I192" s="33" t="str">
        <f ca="1"/>
        <v/>
      </c>
      <c r="J192" s="54" t="s">
        <v>4</v>
      </c>
    </row>
    <row r="193" spans="1:10" x14ac:dyDescent="0.25">
      <c r="A193" s="56"/>
      <c r="B193" s="57"/>
      <c r="C193" s="111"/>
      <c r="D193" s="59"/>
      <c r="E193" s="271" t="str">
        <v/>
      </c>
      <c r="F193" s="43" t="str">
        <v/>
      </c>
      <c r="G193" s="33" t="str">
        <v/>
      </c>
      <c r="H193" s="43" t="e">
        <f ca="1"/>
        <v>#N/A</v>
      </c>
      <c r="I193" s="33" t="str">
        <f ca="1"/>
        <v/>
      </c>
      <c r="J193" s="54" t="s">
        <v>4</v>
      </c>
    </row>
    <row r="194" spans="1:10" x14ac:dyDescent="0.25">
      <c r="A194" s="56"/>
      <c r="B194" s="57"/>
      <c r="C194" s="111"/>
      <c r="D194" s="59"/>
      <c r="E194" s="271" t="str">
        <v/>
      </c>
      <c r="F194" s="43" t="str">
        <v/>
      </c>
      <c r="G194" s="33" t="str">
        <v/>
      </c>
      <c r="H194" s="43" t="e">
        <f ca="1"/>
        <v>#N/A</v>
      </c>
      <c r="I194" s="33" t="str">
        <f ca="1"/>
        <v/>
      </c>
      <c r="J194" s="54" t="s">
        <v>4</v>
      </c>
    </row>
    <row r="195" spans="1:10" x14ac:dyDescent="0.25">
      <c r="A195" s="56"/>
      <c r="B195" s="57"/>
      <c r="C195" s="111"/>
      <c r="D195" s="59"/>
      <c r="E195" s="271" t="str">
        <v/>
      </c>
      <c r="F195" s="43" t="str">
        <v/>
      </c>
      <c r="G195" s="33" t="str">
        <v/>
      </c>
      <c r="H195" s="43" t="e">
        <f ca="1"/>
        <v>#N/A</v>
      </c>
      <c r="I195" s="33" t="str">
        <f ca="1"/>
        <v/>
      </c>
      <c r="J195" s="54" t="s">
        <v>4</v>
      </c>
    </row>
    <row r="196" spans="1:10" x14ac:dyDescent="0.25">
      <c r="A196" s="56"/>
      <c r="B196" s="57"/>
      <c r="C196" s="111"/>
      <c r="D196" s="59"/>
      <c r="E196" s="271" t="str">
        <v/>
      </c>
      <c r="F196" s="43" t="str">
        <v/>
      </c>
      <c r="G196" s="33" t="str">
        <v/>
      </c>
      <c r="H196" s="43" t="e">
        <f ca="1"/>
        <v>#N/A</v>
      </c>
      <c r="I196" s="33" t="str">
        <f ca="1"/>
        <v/>
      </c>
      <c r="J196" s="54" t="s">
        <v>4</v>
      </c>
    </row>
    <row r="197" spans="1:10" x14ac:dyDescent="0.25">
      <c r="A197" s="56"/>
      <c r="B197" s="57"/>
      <c r="C197" s="111"/>
      <c r="D197" s="59"/>
      <c r="E197" s="271" t="str">
        <v/>
      </c>
      <c r="F197" s="43" t="str">
        <v/>
      </c>
      <c r="G197" s="33" t="str">
        <v/>
      </c>
      <c r="H197" s="43" t="e">
        <f ca="1"/>
        <v>#N/A</v>
      </c>
      <c r="I197" s="33" t="str">
        <f ca="1"/>
        <v/>
      </c>
      <c r="J197" s="54" t="s">
        <v>4</v>
      </c>
    </row>
    <row r="198" spans="1:10" x14ac:dyDescent="0.25">
      <c r="A198" s="56"/>
      <c r="B198" s="57"/>
      <c r="C198" s="111"/>
      <c r="D198" s="59"/>
      <c r="E198" s="271" t="str">
        <v/>
      </c>
      <c r="F198" s="43" t="str">
        <v/>
      </c>
      <c r="G198" s="33" t="str">
        <v/>
      </c>
      <c r="H198" s="43" t="e">
        <f ca="1"/>
        <v>#N/A</v>
      </c>
      <c r="I198" s="33" t="str">
        <f ca="1"/>
        <v/>
      </c>
      <c r="J198" s="54" t="s">
        <v>4</v>
      </c>
    </row>
    <row r="199" spans="1:10" x14ac:dyDescent="0.25">
      <c r="A199" s="56"/>
      <c r="B199" s="57"/>
      <c r="C199" s="111"/>
      <c r="D199" s="59"/>
      <c r="E199" s="271" t="str">
        <v/>
      </c>
      <c r="F199" s="43" t="str">
        <v/>
      </c>
      <c r="G199" s="33" t="str">
        <v/>
      </c>
      <c r="H199" s="43" t="e">
        <f ca="1"/>
        <v>#N/A</v>
      </c>
      <c r="I199" s="33" t="str">
        <f ca="1"/>
        <v/>
      </c>
      <c r="J199" s="54" t="s">
        <v>4</v>
      </c>
    </row>
    <row r="200" spans="1:10" x14ac:dyDescent="0.25">
      <c r="A200" s="56"/>
      <c r="B200" s="57"/>
      <c r="C200" s="111"/>
      <c r="D200" s="59"/>
      <c r="E200" s="271" t="str">
        <v/>
      </c>
      <c r="F200" s="43" t="str">
        <v/>
      </c>
      <c r="G200" s="33" t="str">
        <v/>
      </c>
      <c r="H200" s="43" t="e">
        <f ca="1"/>
        <v>#N/A</v>
      </c>
      <c r="I200" s="33" t="str">
        <f ca="1"/>
        <v/>
      </c>
      <c r="J200" s="54" t="s">
        <v>4</v>
      </c>
    </row>
    <row r="201" spans="1:10" x14ac:dyDescent="0.25">
      <c r="A201" s="56"/>
      <c r="B201" s="57"/>
      <c r="C201" s="111"/>
      <c r="D201" s="59"/>
      <c r="E201" s="271" t="str">
        <v/>
      </c>
      <c r="F201" s="43" t="str">
        <v/>
      </c>
      <c r="G201" s="33" t="str">
        <v/>
      </c>
      <c r="H201" s="43" t="e">
        <f ca="1"/>
        <v>#N/A</v>
      </c>
      <c r="I201" s="33" t="str">
        <f ca="1"/>
        <v/>
      </c>
      <c r="J201" s="54" t="s">
        <v>4</v>
      </c>
    </row>
    <row r="202" spans="1:10" x14ac:dyDescent="0.25">
      <c r="A202" s="56"/>
      <c r="B202" s="57"/>
      <c r="C202" s="111"/>
      <c r="D202" s="59"/>
      <c r="E202" s="271" t="str">
        <v/>
      </c>
      <c r="F202" s="43" t="str">
        <v/>
      </c>
      <c r="G202" s="33" t="str">
        <v/>
      </c>
      <c r="H202" s="43" t="e">
        <f ca="1"/>
        <v>#N/A</v>
      </c>
      <c r="I202" s="33" t="str">
        <f ca="1"/>
        <v/>
      </c>
      <c r="J202" s="54" t="s">
        <v>4</v>
      </c>
    </row>
    <row r="203" spans="1:10" x14ac:dyDescent="0.25">
      <c r="A203" s="56"/>
      <c r="B203" s="57"/>
      <c r="C203" s="111"/>
      <c r="D203" s="59"/>
      <c r="E203" s="271" t="str">
        <v/>
      </c>
      <c r="F203" s="43" t="str">
        <v/>
      </c>
      <c r="G203" s="33" t="str">
        <v/>
      </c>
      <c r="H203" s="43" t="e">
        <f ca="1"/>
        <v>#N/A</v>
      </c>
      <c r="I203" s="33" t="str">
        <f ca="1"/>
        <v/>
      </c>
      <c r="J203" s="54" t="s">
        <v>4</v>
      </c>
    </row>
    <row r="204" spans="1:10" x14ac:dyDescent="0.25">
      <c r="A204" s="56"/>
      <c r="B204" s="57"/>
      <c r="C204" s="111"/>
      <c r="D204" s="59"/>
      <c r="E204" s="271" t="str">
        <v/>
      </c>
      <c r="F204" s="43" t="str">
        <v/>
      </c>
      <c r="G204" s="33" t="str">
        <v/>
      </c>
      <c r="H204" s="43" t="e">
        <f ca="1"/>
        <v>#N/A</v>
      </c>
      <c r="I204" s="33" t="str">
        <f ca="1"/>
        <v/>
      </c>
      <c r="J204" s="54" t="s">
        <v>4</v>
      </c>
    </row>
    <row r="205" spans="1:10" x14ac:dyDescent="0.25">
      <c r="A205" s="56"/>
      <c r="B205" s="57"/>
      <c r="C205" s="111"/>
      <c r="D205" s="59"/>
      <c r="E205" s="271" t="str">
        <v/>
      </c>
      <c r="F205" s="43" t="str">
        <v/>
      </c>
      <c r="G205" s="33" t="str">
        <v/>
      </c>
      <c r="H205" s="43" t="e">
        <f ca="1"/>
        <v>#N/A</v>
      </c>
      <c r="I205" s="33" t="str">
        <f ca="1"/>
        <v/>
      </c>
      <c r="J205" s="54" t="s">
        <v>4</v>
      </c>
    </row>
    <row r="206" spans="1:10" x14ac:dyDescent="0.25">
      <c r="A206" s="56"/>
      <c r="B206" s="57"/>
      <c r="C206" s="111"/>
      <c r="D206" s="59"/>
      <c r="E206" s="271" t="str">
        <v/>
      </c>
      <c r="F206" s="43" t="str">
        <v/>
      </c>
      <c r="G206" s="33" t="str">
        <v/>
      </c>
      <c r="H206" s="43" t="e">
        <f ca="1"/>
        <v>#N/A</v>
      </c>
      <c r="I206" s="33" t="str">
        <f ca="1"/>
        <v/>
      </c>
      <c r="J206" s="54" t="s">
        <v>4</v>
      </c>
    </row>
    <row r="207" spans="1:10" x14ac:dyDescent="0.25">
      <c r="A207" s="56"/>
      <c r="B207" s="57"/>
      <c r="C207" s="111"/>
      <c r="D207" s="59"/>
      <c r="E207" s="271" t="str">
        <v/>
      </c>
      <c r="F207" s="43" t="str">
        <v/>
      </c>
      <c r="G207" s="33" t="str">
        <v/>
      </c>
      <c r="H207" s="43" t="e">
        <f ca="1"/>
        <v>#N/A</v>
      </c>
      <c r="I207" s="33" t="str">
        <f ca="1"/>
        <v/>
      </c>
      <c r="J207" s="54" t="s">
        <v>4</v>
      </c>
    </row>
    <row r="208" spans="1:10" x14ac:dyDescent="0.25">
      <c r="A208" s="56"/>
      <c r="B208" s="57"/>
      <c r="C208" s="111"/>
      <c r="D208" s="59"/>
      <c r="E208" s="271" t="str">
        <v/>
      </c>
      <c r="F208" s="43" t="str">
        <v/>
      </c>
      <c r="G208" s="33" t="str">
        <v/>
      </c>
      <c r="H208" s="43" t="e">
        <f ca="1"/>
        <v>#N/A</v>
      </c>
      <c r="I208" s="33" t="str">
        <f ca="1"/>
        <v/>
      </c>
      <c r="J208" s="54" t="s">
        <v>4</v>
      </c>
    </row>
    <row r="209" spans="1:10" x14ac:dyDescent="0.25">
      <c r="A209" s="56"/>
      <c r="B209" s="57"/>
      <c r="C209" s="111"/>
      <c r="D209" s="59"/>
      <c r="E209" s="271" t="str">
        <v/>
      </c>
      <c r="F209" s="43" t="str">
        <v/>
      </c>
      <c r="G209" s="33" t="str">
        <v/>
      </c>
      <c r="H209" s="43" t="e">
        <f ca="1"/>
        <v>#N/A</v>
      </c>
      <c r="I209" s="33" t="str">
        <f ca="1"/>
        <v/>
      </c>
      <c r="J209" s="54" t="s">
        <v>4</v>
      </c>
    </row>
    <row r="210" spans="1:10" x14ac:dyDescent="0.25">
      <c r="A210" s="56"/>
      <c r="B210" s="57"/>
      <c r="C210" s="111"/>
      <c r="D210" s="59"/>
      <c r="E210" s="271" t="str">
        <v/>
      </c>
      <c r="F210" s="43" t="str">
        <v/>
      </c>
      <c r="G210" s="33" t="str">
        <v/>
      </c>
      <c r="H210" s="43" t="e">
        <f ca="1"/>
        <v>#N/A</v>
      </c>
      <c r="I210" s="33" t="str">
        <f ca="1"/>
        <v/>
      </c>
      <c r="J210" s="54" t="s">
        <v>4</v>
      </c>
    </row>
    <row r="211" spans="1:10" x14ac:dyDescent="0.25">
      <c r="A211" s="56"/>
      <c r="B211" s="57"/>
      <c r="C211" s="111"/>
      <c r="D211" s="59"/>
      <c r="E211" s="271" t="str">
        <v/>
      </c>
      <c r="F211" s="43" t="str">
        <v/>
      </c>
      <c r="G211" s="33" t="str">
        <v/>
      </c>
      <c r="H211" s="43" t="e">
        <f ca="1"/>
        <v>#N/A</v>
      </c>
      <c r="I211" s="33" t="str">
        <f ca="1"/>
        <v/>
      </c>
      <c r="J211" s="54" t="s">
        <v>4</v>
      </c>
    </row>
    <row r="212" spans="1:10" x14ac:dyDescent="0.25">
      <c r="A212" s="56"/>
      <c r="B212" s="57"/>
      <c r="C212" s="111"/>
      <c r="D212" s="59"/>
      <c r="E212" s="271" t="str">
        <v/>
      </c>
      <c r="F212" s="43" t="str">
        <v/>
      </c>
      <c r="G212" s="33" t="str">
        <v/>
      </c>
      <c r="H212" s="43" t="e">
        <f ca="1"/>
        <v>#N/A</v>
      </c>
      <c r="I212" s="33" t="str">
        <f ca="1"/>
        <v/>
      </c>
      <c r="J212" s="54" t="s">
        <v>4</v>
      </c>
    </row>
    <row r="213" spans="1:10" x14ac:dyDescent="0.25">
      <c r="A213" s="56"/>
      <c r="B213" s="57"/>
      <c r="C213" s="111"/>
      <c r="D213" s="59"/>
      <c r="E213" s="271" t="str">
        <v/>
      </c>
      <c r="F213" s="43" t="str">
        <v/>
      </c>
      <c r="G213" s="33" t="str">
        <v/>
      </c>
      <c r="H213" s="43" t="e">
        <f ca="1"/>
        <v>#N/A</v>
      </c>
      <c r="I213" s="33" t="str">
        <f ca="1"/>
        <v/>
      </c>
      <c r="J213" s="54" t="s">
        <v>4</v>
      </c>
    </row>
    <row r="214" spans="1:10" x14ac:dyDescent="0.25">
      <c r="A214" s="56"/>
      <c r="B214" s="57"/>
      <c r="C214" s="111"/>
      <c r="D214" s="59"/>
      <c r="E214" s="271" t="str">
        <v/>
      </c>
      <c r="F214" s="43" t="str">
        <v/>
      </c>
      <c r="G214" s="33" t="str">
        <v/>
      </c>
      <c r="H214" s="43" t="e">
        <f ca="1"/>
        <v>#N/A</v>
      </c>
      <c r="I214" s="33" t="str">
        <f ca="1"/>
        <v/>
      </c>
      <c r="J214" s="54" t="s">
        <v>4</v>
      </c>
    </row>
    <row r="215" spans="1:10" x14ac:dyDescent="0.25">
      <c r="A215" s="56"/>
      <c r="B215" s="57"/>
      <c r="C215" s="111"/>
      <c r="D215" s="59"/>
      <c r="E215" s="271" t="str">
        <v/>
      </c>
      <c r="F215" s="43" t="str">
        <v/>
      </c>
      <c r="G215" s="33" t="str">
        <v/>
      </c>
      <c r="H215" s="43" t="e">
        <f ca="1"/>
        <v>#N/A</v>
      </c>
      <c r="I215" s="33" t="str">
        <f ca="1"/>
        <v/>
      </c>
      <c r="J215" s="54" t="s">
        <v>4</v>
      </c>
    </row>
    <row r="216" spans="1:10" x14ac:dyDescent="0.25">
      <c r="A216" s="56"/>
      <c r="B216" s="57"/>
      <c r="C216" s="111"/>
      <c r="D216" s="59"/>
      <c r="E216" s="271" t="str">
        <v/>
      </c>
      <c r="F216" s="43" t="str">
        <v/>
      </c>
      <c r="G216" s="33" t="str">
        <v/>
      </c>
      <c r="H216" s="43" t="e">
        <f ca="1"/>
        <v>#N/A</v>
      </c>
      <c r="I216" s="33" t="str">
        <f ca="1"/>
        <v/>
      </c>
      <c r="J216" s="54" t="s">
        <v>4</v>
      </c>
    </row>
    <row r="217" spans="1:10" x14ac:dyDescent="0.25">
      <c r="A217" s="56"/>
      <c r="B217" s="57"/>
      <c r="C217" s="111"/>
      <c r="D217" s="59"/>
      <c r="E217" s="271" t="str">
        <v/>
      </c>
      <c r="F217" s="43" t="str">
        <v/>
      </c>
      <c r="G217" s="33" t="str">
        <v/>
      </c>
      <c r="H217" s="43" t="e">
        <f ca="1"/>
        <v>#N/A</v>
      </c>
      <c r="I217" s="33" t="str">
        <f ca="1"/>
        <v/>
      </c>
      <c r="J217" s="54" t="s">
        <v>4</v>
      </c>
    </row>
    <row r="218" spans="1:10" x14ac:dyDescent="0.25">
      <c r="A218" s="56"/>
      <c r="B218" s="57"/>
      <c r="C218" s="111"/>
      <c r="D218" s="59"/>
      <c r="E218" s="271" t="str">
        <v/>
      </c>
      <c r="F218" s="43" t="str">
        <v/>
      </c>
      <c r="G218" s="33" t="str">
        <v/>
      </c>
      <c r="H218" s="43" t="e">
        <f ca="1"/>
        <v>#N/A</v>
      </c>
      <c r="I218" s="33" t="str">
        <f ca="1"/>
        <v/>
      </c>
      <c r="J218" s="54" t="s">
        <v>4</v>
      </c>
    </row>
    <row r="219" spans="1:10" x14ac:dyDescent="0.25">
      <c r="A219" s="56"/>
      <c r="B219" s="57"/>
      <c r="C219" s="111"/>
      <c r="D219" s="59"/>
      <c r="E219" s="271" t="str">
        <v/>
      </c>
      <c r="F219" s="43" t="str">
        <v/>
      </c>
      <c r="G219" s="33" t="str">
        <v/>
      </c>
      <c r="H219" s="43" t="e">
        <f ca="1"/>
        <v>#N/A</v>
      </c>
      <c r="I219" s="33" t="str">
        <f ca="1"/>
        <v/>
      </c>
      <c r="J219" s="54" t="s">
        <v>4</v>
      </c>
    </row>
    <row r="220" spans="1:10" x14ac:dyDescent="0.25">
      <c r="A220" s="56"/>
      <c r="B220" s="57"/>
      <c r="C220" s="111"/>
      <c r="D220" s="59"/>
      <c r="E220" s="271" t="str">
        <v/>
      </c>
      <c r="F220" s="43" t="str">
        <v/>
      </c>
      <c r="G220" s="33" t="str">
        <v/>
      </c>
      <c r="H220" s="43" t="e">
        <f ca="1"/>
        <v>#N/A</v>
      </c>
      <c r="I220" s="33" t="str">
        <f ca="1"/>
        <v/>
      </c>
      <c r="J220" s="54" t="s">
        <v>4</v>
      </c>
    </row>
    <row r="221" spans="1:10" x14ac:dyDescent="0.25">
      <c r="A221" s="56"/>
      <c r="B221" s="57"/>
      <c r="C221" s="111"/>
      <c r="D221" s="59"/>
      <c r="E221" s="271" t="str">
        <v/>
      </c>
      <c r="F221" s="43" t="str">
        <v/>
      </c>
      <c r="G221" s="33" t="str">
        <v/>
      </c>
      <c r="H221" s="43" t="e">
        <f ca="1"/>
        <v>#N/A</v>
      </c>
      <c r="I221" s="33" t="str">
        <f ca="1"/>
        <v/>
      </c>
      <c r="J221" s="54" t="s">
        <v>4</v>
      </c>
    </row>
    <row r="222" spans="1:10" x14ac:dyDescent="0.25">
      <c r="A222" s="56"/>
      <c r="B222" s="57"/>
      <c r="C222" s="111"/>
      <c r="D222" s="59"/>
      <c r="E222" s="271" t="str">
        <v/>
      </c>
      <c r="F222" s="43" t="str">
        <v/>
      </c>
      <c r="G222" s="33" t="str">
        <v/>
      </c>
      <c r="H222" s="43" t="e">
        <f ca="1"/>
        <v>#N/A</v>
      </c>
      <c r="I222" s="33" t="str">
        <f ca="1"/>
        <v/>
      </c>
      <c r="J222" s="54" t="s">
        <v>4</v>
      </c>
    </row>
    <row r="223" spans="1:10" x14ac:dyDescent="0.25">
      <c r="A223" s="56"/>
      <c r="B223" s="57"/>
      <c r="C223" s="111"/>
      <c r="D223" s="59"/>
      <c r="E223" s="271" t="str">
        <v/>
      </c>
      <c r="F223" s="43" t="str">
        <v/>
      </c>
      <c r="G223" s="33" t="str">
        <v/>
      </c>
      <c r="H223" s="43" t="e">
        <f ca="1"/>
        <v>#N/A</v>
      </c>
      <c r="I223" s="33" t="str">
        <f ca="1"/>
        <v/>
      </c>
      <c r="J223" s="54" t="s">
        <v>4</v>
      </c>
    </row>
    <row r="224" spans="1:10" x14ac:dyDescent="0.25">
      <c r="A224" s="56"/>
      <c r="B224" s="57"/>
      <c r="C224" s="111"/>
      <c r="D224" s="59"/>
      <c r="E224" s="271" t="str">
        <v/>
      </c>
      <c r="F224" s="43" t="str">
        <v/>
      </c>
      <c r="G224" s="33" t="str">
        <v/>
      </c>
      <c r="H224" s="43" t="e">
        <f ca="1"/>
        <v>#N/A</v>
      </c>
      <c r="I224" s="33" t="str">
        <f ca="1"/>
        <v/>
      </c>
      <c r="J224" s="54" t="s">
        <v>4</v>
      </c>
    </row>
    <row r="225" spans="1:10" x14ac:dyDescent="0.25">
      <c r="A225" s="56"/>
      <c r="B225" s="57"/>
      <c r="C225" s="111"/>
      <c r="D225" s="59"/>
      <c r="E225" s="271" t="str">
        <v/>
      </c>
      <c r="F225" s="43" t="str">
        <v/>
      </c>
      <c r="G225" s="33" t="str">
        <v/>
      </c>
      <c r="H225" s="43" t="e">
        <f ca="1"/>
        <v>#N/A</v>
      </c>
      <c r="I225" s="33" t="str">
        <f ca="1"/>
        <v/>
      </c>
      <c r="J225" s="54" t="s">
        <v>4</v>
      </c>
    </row>
    <row r="226" spans="1:10" x14ac:dyDescent="0.25">
      <c r="A226" s="56"/>
      <c r="B226" s="57"/>
      <c r="C226" s="111"/>
      <c r="D226" s="59"/>
      <c r="E226" s="271" t="str">
        <v/>
      </c>
      <c r="F226" s="43" t="str">
        <v/>
      </c>
      <c r="G226" s="33" t="str">
        <v/>
      </c>
      <c r="H226" s="43" t="e">
        <f ca="1"/>
        <v>#N/A</v>
      </c>
      <c r="I226" s="33" t="str">
        <f ca="1"/>
        <v/>
      </c>
      <c r="J226" s="54" t="s">
        <v>4</v>
      </c>
    </row>
    <row r="227" spans="1:10" x14ac:dyDescent="0.25">
      <c r="A227" s="56"/>
      <c r="B227" s="57"/>
      <c r="C227" s="111"/>
      <c r="D227" s="59"/>
      <c r="E227" s="271" t="str">
        <v/>
      </c>
      <c r="F227" s="43" t="str">
        <v/>
      </c>
      <c r="G227" s="33" t="str">
        <v/>
      </c>
      <c r="H227" s="43" t="e">
        <f ca="1"/>
        <v>#N/A</v>
      </c>
      <c r="I227" s="33" t="str">
        <f ca="1"/>
        <v/>
      </c>
      <c r="J227" s="54" t="s">
        <v>4</v>
      </c>
    </row>
    <row r="228" spans="1:10" x14ac:dyDescent="0.25">
      <c r="A228" s="56"/>
      <c r="B228" s="57"/>
      <c r="C228" s="111"/>
      <c r="D228" s="59"/>
      <c r="E228" s="271" t="str">
        <v/>
      </c>
      <c r="F228" s="43" t="str">
        <v/>
      </c>
      <c r="G228" s="33" t="str">
        <v/>
      </c>
      <c r="H228" s="43" t="e">
        <f ca="1"/>
        <v>#N/A</v>
      </c>
      <c r="I228" s="33" t="str">
        <f ca="1"/>
        <v/>
      </c>
      <c r="J228" s="54" t="s">
        <v>4</v>
      </c>
    </row>
    <row r="229" spans="1:10" x14ac:dyDescent="0.25">
      <c r="A229" s="56"/>
      <c r="B229" s="57"/>
      <c r="C229" s="111"/>
      <c r="D229" s="59"/>
      <c r="E229" s="271" t="str">
        <v/>
      </c>
      <c r="F229" s="43" t="str">
        <v/>
      </c>
      <c r="G229" s="33" t="str">
        <v/>
      </c>
      <c r="H229" s="43" t="e">
        <f ca="1"/>
        <v>#N/A</v>
      </c>
      <c r="I229" s="33" t="str">
        <f ca="1"/>
        <v/>
      </c>
      <c r="J229" s="54" t="s">
        <v>4</v>
      </c>
    </row>
    <row r="230" spans="1:10" x14ac:dyDescent="0.25">
      <c r="A230" s="56"/>
      <c r="B230" s="57"/>
      <c r="C230" s="111"/>
      <c r="D230" s="59"/>
      <c r="E230" s="271" t="str">
        <v/>
      </c>
      <c r="F230" s="43" t="str">
        <v/>
      </c>
      <c r="G230" s="33" t="str">
        <v/>
      </c>
      <c r="H230" s="43" t="e">
        <f ca="1"/>
        <v>#N/A</v>
      </c>
      <c r="I230" s="33" t="str">
        <f ca="1"/>
        <v/>
      </c>
      <c r="J230" s="54" t="s">
        <v>4</v>
      </c>
    </row>
    <row r="231" spans="1:10" x14ac:dyDescent="0.25">
      <c r="A231" s="56"/>
      <c r="B231" s="57"/>
      <c r="C231" s="111"/>
      <c r="D231" s="59"/>
      <c r="E231" s="271" t="str">
        <v/>
      </c>
      <c r="F231" s="43" t="str">
        <v/>
      </c>
      <c r="G231" s="33" t="str">
        <v/>
      </c>
      <c r="H231" s="43" t="e">
        <f ca="1"/>
        <v>#N/A</v>
      </c>
      <c r="I231" s="33" t="str">
        <f ca="1"/>
        <v/>
      </c>
      <c r="J231" s="54" t="s">
        <v>4</v>
      </c>
    </row>
    <row r="232" spans="1:10" x14ac:dyDescent="0.25">
      <c r="A232" s="56"/>
      <c r="B232" s="57"/>
      <c r="C232" s="111"/>
      <c r="D232" s="59"/>
      <c r="E232" s="271" t="str">
        <v/>
      </c>
      <c r="F232" s="43" t="str">
        <v/>
      </c>
      <c r="G232" s="33" t="str">
        <v/>
      </c>
      <c r="H232" s="43" t="e">
        <f ca="1"/>
        <v>#N/A</v>
      </c>
      <c r="I232" s="33" t="str">
        <f ca="1"/>
        <v/>
      </c>
      <c r="J232" s="54" t="s">
        <v>4</v>
      </c>
    </row>
    <row r="233" spans="1:10" x14ac:dyDescent="0.25">
      <c r="A233" s="56"/>
      <c r="B233" s="57"/>
      <c r="C233" s="111"/>
      <c r="D233" s="59"/>
      <c r="E233" s="271" t="str">
        <v/>
      </c>
      <c r="F233" s="43" t="str">
        <v/>
      </c>
      <c r="G233" s="33" t="str">
        <v/>
      </c>
      <c r="H233" s="43" t="e">
        <f ca="1"/>
        <v>#N/A</v>
      </c>
      <c r="I233" s="33" t="str">
        <f ca="1"/>
        <v/>
      </c>
      <c r="J233" s="54" t="s">
        <v>4</v>
      </c>
    </row>
    <row r="234" spans="1:10" x14ac:dyDescent="0.25">
      <c r="A234" s="56"/>
      <c r="B234" s="57"/>
      <c r="C234" s="111"/>
      <c r="D234" s="59"/>
      <c r="E234" s="271" t="str">
        <v/>
      </c>
      <c r="F234" s="43" t="str">
        <v/>
      </c>
      <c r="G234" s="33" t="str">
        <v/>
      </c>
      <c r="H234" s="43" t="e">
        <f ca="1"/>
        <v>#N/A</v>
      </c>
      <c r="I234" s="33" t="str">
        <f ca="1"/>
        <v/>
      </c>
      <c r="J234" s="54" t="s">
        <v>4</v>
      </c>
    </row>
    <row r="235" spans="1:10" x14ac:dyDescent="0.25">
      <c r="A235" s="56"/>
      <c r="B235" s="57"/>
      <c r="C235" s="111"/>
      <c r="D235" s="59"/>
      <c r="E235" s="271" t="str">
        <v/>
      </c>
      <c r="F235" s="43" t="str">
        <v/>
      </c>
      <c r="G235" s="33" t="str">
        <v/>
      </c>
      <c r="H235" s="43" t="e">
        <f ca="1"/>
        <v>#N/A</v>
      </c>
      <c r="I235" s="33" t="str">
        <f ca="1"/>
        <v/>
      </c>
      <c r="J235" s="54" t="s">
        <v>4</v>
      </c>
    </row>
    <row r="236" spans="1:10" x14ac:dyDescent="0.25">
      <c r="A236" s="56"/>
      <c r="B236" s="57"/>
      <c r="C236" s="111"/>
      <c r="D236" s="59"/>
      <c r="E236" s="271" t="str">
        <v/>
      </c>
      <c r="F236" s="43" t="str">
        <v/>
      </c>
      <c r="G236" s="33" t="str">
        <v/>
      </c>
      <c r="H236" s="43" t="e">
        <f ca="1"/>
        <v>#N/A</v>
      </c>
      <c r="I236" s="33" t="str">
        <f ca="1"/>
        <v/>
      </c>
      <c r="J236" s="54" t="s">
        <v>4</v>
      </c>
    </row>
    <row r="237" spans="1:10" x14ac:dyDescent="0.25">
      <c r="A237" s="56"/>
      <c r="B237" s="57"/>
      <c r="C237" s="111"/>
      <c r="D237" s="59"/>
      <c r="E237" s="271" t="str">
        <v/>
      </c>
      <c r="F237" s="43" t="str">
        <v/>
      </c>
      <c r="G237" s="33" t="str">
        <v/>
      </c>
      <c r="H237" s="43" t="e">
        <f ca="1"/>
        <v>#N/A</v>
      </c>
      <c r="I237" s="33" t="str">
        <f ca="1"/>
        <v/>
      </c>
      <c r="J237" s="54" t="s">
        <v>4</v>
      </c>
    </row>
    <row r="238" spans="1:10" x14ac:dyDescent="0.25">
      <c r="A238" s="56"/>
      <c r="B238" s="57"/>
      <c r="C238" s="111"/>
      <c r="D238" s="59"/>
      <c r="E238" s="271" t="str">
        <v/>
      </c>
      <c r="F238" s="43" t="str">
        <v/>
      </c>
      <c r="G238" s="33" t="str">
        <v/>
      </c>
      <c r="H238" s="43" t="e">
        <f ca="1"/>
        <v>#N/A</v>
      </c>
      <c r="I238" s="33" t="str">
        <f ca="1"/>
        <v/>
      </c>
      <c r="J238" s="54" t="s">
        <v>4</v>
      </c>
    </row>
    <row r="239" spans="1:10" x14ac:dyDescent="0.25">
      <c r="A239" s="56"/>
      <c r="B239" s="57"/>
      <c r="C239" s="111"/>
      <c r="D239" s="59"/>
      <c r="E239" s="271" t="str">
        <v/>
      </c>
      <c r="F239" s="43" t="str">
        <v/>
      </c>
      <c r="G239" s="33" t="str">
        <v/>
      </c>
      <c r="H239" s="43" t="e">
        <f ca="1"/>
        <v>#N/A</v>
      </c>
      <c r="I239" s="33" t="str">
        <f ca="1"/>
        <v/>
      </c>
      <c r="J239" s="54" t="s">
        <v>4</v>
      </c>
    </row>
    <row r="240" spans="1:10" x14ac:dyDescent="0.25">
      <c r="A240" s="56"/>
      <c r="B240" s="57"/>
      <c r="C240" s="111"/>
      <c r="D240" s="59"/>
      <c r="E240" s="271" t="str">
        <v/>
      </c>
      <c r="F240" s="43" t="str">
        <v/>
      </c>
      <c r="G240" s="33" t="str">
        <v/>
      </c>
      <c r="H240" s="43" t="e">
        <f ca="1"/>
        <v>#N/A</v>
      </c>
      <c r="I240" s="33" t="str">
        <f ca="1"/>
        <v/>
      </c>
      <c r="J240" s="54" t="s">
        <v>4</v>
      </c>
    </row>
    <row r="241" spans="1:10" x14ac:dyDescent="0.25">
      <c r="A241" s="56"/>
      <c r="B241" s="57"/>
      <c r="C241" s="111"/>
      <c r="D241" s="59"/>
      <c r="E241" s="271" t="str">
        <v/>
      </c>
      <c r="F241" s="43" t="str">
        <v/>
      </c>
      <c r="G241" s="33" t="str">
        <v/>
      </c>
      <c r="H241" s="43" t="e">
        <f ca="1"/>
        <v>#N/A</v>
      </c>
      <c r="I241" s="33" t="str">
        <f ca="1"/>
        <v/>
      </c>
      <c r="J241" s="54" t="s">
        <v>4</v>
      </c>
    </row>
    <row r="242" spans="1:10" x14ac:dyDescent="0.25">
      <c r="A242" s="56"/>
      <c r="B242" s="57"/>
      <c r="C242" s="111"/>
      <c r="D242" s="59"/>
      <c r="E242" s="271" t="str">
        <v/>
      </c>
      <c r="F242" s="43" t="str">
        <v/>
      </c>
      <c r="G242" s="33" t="str">
        <v/>
      </c>
      <c r="H242" s="43" t="e">
        <f ca="1"/>
        <v>#N/A</v>
      </c>
      <c r="I242" s="33" t="str">
        <f ca="1"/>
        <v/>
      </c>
      <c r="J242" s="54" t="s">
        <v>4</v>
      </c>
    </row>
    <row r="243" spans="1:10" x14ac:dyDescent="0.25">
      <c r="A243" s="56"/>
      <c r="B243" s="57"/>
      <c r="C243" s="111"/>
      <c r="D243" s="59"/>
      <c r="E243" s="271" t="str">
        <v/>
      </c>
      <c r="F243" s="43" t="str">
        <v/>
      </c>
      <c r="G243" s="33" t="str">
        <v/>
      </c>
      <c r="H243" s="43" t="e">
        <f ca="1"/>
        <v>#N/A</v>
      </c>
      <c r="I243" s="33" t="str">
        <f ca="1"/>
        <v/>
      </c>
      <c r="J243" s="54" t="s">
        <v>4</v>
      </c>
    </row>
    <row r="244" spans="1:10" x14ac:dyDescent="0.25">
      <c r="A244" s="56"/>
      <c r="B244" s="57"/>
      <c r="C244" s="111"/>
      <c r="D244" s="59"/>
      <c r="E244" s="271" t="str">
        <v/>
      </c>
      <c r="F244" s="43" t="str">
        <v/>
      </c>
      <c r="G244" s="33" t="str">
        <v/>
      </c>
      <c r="H244" s="43" t="e">
        <f ca="1"/>
        <v>#N/A</v>
      </c>
      <c r="I244" s="33" t="str">
        <f ca="1"/>
        <v/>
      </c>
      <c r="J244" s="54" t="s">
        <v>4</v>
      </c>
    </row>
    <row r="245" spans="1:10" x14ac:dyDescent="0.25">
      <c r="A245" s="56"/>
      <c r="B245" s="57"/>
      <c r="C245" s="111"/>
      <c r="D245" s="59"/>
      <c r="E245" s="271" t="str">
        <v/>
      </c>
      <c r="F245" s="43" t="str">
        <v/>
      </c>
      <c r="G245" s="33" t="str">
        <v/>
      </c>
      <c r="H245" s="43" t="e">
        <f ca="1"/>
        <v>#N/A</v>
      </c>
      <c r="I245" s="33" t="str">
        <f ca="1"/>
        <v/>
      </c>
      <c r="J245" s="54" t="s">
        <v>4</v>
      </c>
    </row>
    <row r="246" spans="1:10" x14ac:dyDescent="0.25">
      <c r="A246" s="56"/>
      <c r="B246" s="57"/>
      <c r="C246" s="111"/>
      <c r="D246" s="59"/>
      <c r="E246" s="271" t="str">
        <v/>
      </c>
      <c r="F246" s="43" t="str">
        <v/>
      </c>
      <c r="G246" s="33" t="str">
        <v/>
      </c>
      <c r="H246" s="43" t="e">
        <f ca="1"/>
        <v>#N/A</v>
      </c>
      <c r="I246" s="33" t="str">
        <f ca="1"/>
        <v/>
      </c>
      <c r="J246" s="54" t="s">
        <v>4</v>
      </c>
    </row>
    <row r="247" spans="1:10" x14ac:dyDescent="0.25">
      <c r="A247" s="56"/>
      <c r="B247" s="57"/>
      <c r="C247" s="111"/>
      <c r="D247" s="59"/>
      <c r="E247" s="271" t="str">
        <v/>
      </c>
      <c r="F247" s="43" t="str">
        <v/>
      </c>
      <c r="G247" s="33" t="str">
        <v/>
      </c>
      <c r="H247" s="43" t="e">
        <f ca="1"/>
        <v>#N/A</v>
      </c>
      <c r="I247" s="33" t="str">
        <f ca="1"/>
        <v/>
      </c>
      <c r="J247" s="54" t="s">
        <v>4</v>
      </c>
    </row>
    <row r="248" spans="1:10" x14ac:dyDescent="0.25">
      <c r="A248" s="56"/>
      <c r="B248" s="57"/>
      <c r="C248" s="111"/>
      <c r="D248" s="59"/>
      <c r="E248" s="271" t="str">
        <v/>
      </c>
      <c r="F248" s="43" t="str">
        <v/>
      </c>
      <c r="G248" s="33" t="str">
        <v/>
      </c>
      <c r="H248" s="43" t="e">
        <f ca="1"/>
        <v>#N/A</v>
      </c>
      <c r="I248" s="33" t="str">
        <f ca="1"/>
        <v/>
      </c>
      <c r="J248" s="54" t="s">
        <v>4</v>
      </c>
    </row>
    <row r="249" spans="1:10" x14ac:dyDescent="0.25">
      <c r="A249" s="56"/>
      <c r="B249" s="57"/>
      <c r="C249" s="111"/>
      <c r="D249" s="59"/>
      <c r="E249" s="271" t="str">
        <v/>
      </c>
      <c r="F249" s="43" t="str">
        <v/>
      </c>
      <c r="G249" s="33" t="str">
        <v/>
      </c>
      <c r="H249" s="43" t="e">
        <f ca="1"/>
        <v>#N/A</v>
      </c>
      <c r="I249" s="33" t="str">
        <f ca="1"/>
        <v/>
      </c>
      <c r="J249" s="54" t="s">
        <v>4</v>
      </c>
    </row>
    <row r="250" spans="1:10" x14ac:dyDescent="0.25">
      <c r="A250" s="56"/>
      <c r="B250" s="57"/>
      <c r="C250" s="111"/>
      <c r="D250" s="59"/>
      <c r="E250" s="271" t="str">
        <v/>
      </c>
      <c r="F250" s="43" t="str">
        <v/>
      </c>
      <c r="G250" s="33" t="str">
        <v/>
      </c>
      <c r="H250" s="43" t="e">
        <f ca="1"/>
        <v>#N/A</v>
      </c>
      <c r="I250" s="33" t="str">
        <f ca="1"/>
        <v/>
      </c>
      <c r="J250" s="54" t="s">
        <v>4</v>
      </c>
    </row>
    <row r="251" spans="1:10" x14ac:dyDescent="0.25">
      <c r="A251" s="56"/>
      <c r="B251" s="57"/>
      <c r="C251" s="111"/>
      <c r="D251" s="59"/>
      <c r="E251" s="271" t="str">
        <v/>
      </c>
      <c r="F251" s="43" t="str">
        <v/>
      </c>
      <c r="G251" s="33" t="str">
        <v/>
      </c>
      <c r="H251" s="43" t="e">
        <f ca="1"/>
        <v>#N/A</v>
      </c>
      <c r="I251" s="205" t="str">
        <f ca="1"/>
        <v/>
      </c>
      <c r="J251" s="54" t="s">
        <v>4</v>
      </c>
    </row>
    <row r="252" spans="1:10" x14ac:dyDescent="0.25">
      <c r="A252" s="56"/>
      <c r="B252" s="57"/>
      <c r="C252" s="111"/>
      <c r="D252" s="59"/>
      <c r="E252" s="271" t="str">
        <v/>
      </c>
      <c r="F252" s="43" t="str">
        <v/>
      </c>
      <c r="G252" s="33" t="str">
        <v/>
      </c>
      <c r="H252" s="43" t="e">
        <f ca="1"/>
        <v>#N/A</v>
      </c>
      <c r="I252" s="42" t="str">
        <f ca="1"/>
        <v/>
      </c>
      <c r="J252" s="54" t="s">
        <v>4</v>
      </c>
    </row>
    <row r="253" spans="1:10" x14ac:dyDescent="0.25">
      <c r="A253" s="56"/>
      <c r="B253" s="57"/>
      <c r="C253" s="111"/>
      <c r="D253" s="59"/>
      <c r="E253" s="271" t="str">
        <v/>
      </c>
      <c r="F253" s="43" t="str">
        <v/>
      </c>
      <c r="G253" s="33" t="str">
        <v/>
      </c>
      <c r="H253" s="43" t="e">
        <f ca="1"/>
        <v>#N/A</v>
      </c>
      <c r="I253" s="42" t="str">
        <f ca="1"/>
        <v/>
      </c>
      <c r="J253" s="54" t="s">
        <v>4</v>
      </c>
    </row>
    <row r="254" spans="1:10" x14ac:dyDescent="0.25">
      <c r="A254" s="56"/>
      <c r="B254" s="57"/>
      <c r="C254" s="111"/>
      <c r="D254" s="59"/>
      <c r="E254" s="271" t="str">
        <v/>
      </c>
      <c r="F254" s="43" t="str">
        <v/>
      </c>
      <c r="G254" s="33" t="str">
        <v/>
      </c>
      <c r="H254" s="43" t="e">
        <f ca="1"/>
        <v>#N/A</v>
      </c>
      <c r="I254" s="42" t="str">
        <f ca="1"/>
        <v/>
      </c>
      <c r="J254" s="54" t="s">
        <v>4</v>
      </c>
    </row>
    <row r="255" spans="1:10" x14ac:dyDescent="0.25">
      <c r="A255" s="56"/>
      <c r="B255" s="57"/>
      <c r="C255" s="111"/>
      <c r="D255" s="59"/>
      <c r="E255" s="271" t="str">
        <v/>
      </c>
      <c r="F255" s="43" t="str">
        <v/>
      </c>
      <c r="G255" s="33" t="str">
        <v/>
      </c>
      <c r="H255" s="43" t="e">
        <f ca="1"/>
        <v>#N/A</v>
      </c>
      <c r="I255" s="42" t="str">
        <f ca="1"/>
        <v/>
      </c>
      <c r="J255" s="54" t="s">
        <v>4</v>
      </c>
    </row>
    <row r="256" spans="1:10" x14ac:dyDescent="0.25">
      <c r="A256" s="56"/>
      <c r="B256" s="57"/>
      <c r="C256" s="111"/>
      <c r="D256" s="59"/>
      <c r="E256" s="271" t="str">
        <v/>
      </c>
      <c r="F256" s="43" t="str">
        <v/>
      </c>
      <c r="G256" s="33" t="str">
        <v/>
      </c>
      <c r="H256" s="43" t="e">
        <f ca="1"/>
        <v>#N/A</v>
      </c>
      <c r="I256" s="42" t="str">
        <f ca="1"/>
        <v/>
      </c>
      <c r="J256" s="54" t="s">
        <v>4</v>
      </c>
    </row>
    <row r="257" spans="1:10" x14ac:dyDescent="0.25">
      <c r="A257" s="56"/>
      <c r="B257" s="57"/>
      <c r="C257" s="111"/>
      <c r="D257" s="59"/>
      <c r="E257" s="271" t="str">
        <v/>
      </c>
      <c r="F257" s="43" t="str">
        <v/>
      </c>
      <c r="G257" s="33" t="str">
        <v/>
      </c>
      <c r="H257" s="43" t="e">
        <f ca="1"/>
        <v>#N/A</v>
      </c>
      <c r="I257" s="42" t="str">
        <f ca="1"/>
        <v/>
      </c>
      <c r="J257" s="54" t="s">
        <v>4</v>
      </c>
    </row>
    <row r="258" spans="1:10" x14ac:dyDescent="0.25">
      <c r="A258" s="56"/>
      <c r="B258" s="57"/>
      <c r="C258" s="111"/>
      <c r="D258" s="59"/>
      <c r="E258" s="271" t="str">
        <v/>
      </c>
      <c r="F258" s="43" t="str">
        <v/>
      </c>
      <c r="G258" s="33" t="str">
        <v/>
      </c>
      <c r="H258" s="43" t="e">
        <f ca="1"/>
        <v>#N/A</v>
      </c>
      <c r="I258" s="42" t="str">
        <f ca="1"/>
        <v/>
      </c>
      <c r="J258" s="54" t="s">
        <v>4</v>
      </c>
    </row>
    <row r="259" spans="1:10" x14ac:dyDescent="0.25">
      <c r="A259" s="56"/>
      <c r="B259" s="57"/>
      <c r="C259" s="111"/>
      <c r="D259" s="59"/>
      <c r="E259" s="271" t="str">
        <v/>
      </c>
      <c r="F259" s="43" t="str">
        <v/>
      </c>
      <c r="G259" s="33" t="str">
        <v/>
      </c>
      <c r="H259" s="43" t="e">
        <f ca="1"/>
        <v>#N/A</v>
      </c>
      <c r="I259" s="42" t="str">
        <f ca="1"/>
        <v/>
      </c>
      <c r="J259" s="54" t="s">
        <v>4</v>
      </c>
    </row>
    <row r="260" spans="1:10" x14ac:dyDescent="0.25">
      <c r="A260" s="56"/>
      <c r="B260" s="57"/>
      <c r="C260" s="111"/>
      <c r="D260" s="59"/>
      <c r="E260" s="271" t="str">
        <v/>
      </c>
      <c r="F260" s="43" t="str">
        <v/>
      </c>
      <c r="G260" s="33" t="str">
        <v/>
      </c>
      <c r="H260" s="43" t="e">
        <f ca="1"/>
        <v>#N/A</v>
      </c>
      <c r="I260" s="42" t="str">
        <f ca="1"/>
        <v/>
      </c>
      <c r="J260" s="54" t="s">
        <v>4</v>
      </c>
    </row>
    <row r="261" spans="1:10" x14ac:dyDescent="0.25">
      <c r="A261" s="56"/>
      <c r="B261" s="57"/>
      <c r="C261" s="111"/>
      <c r="D261" s="59"/>
      <c r="E261" s="271" t="str">
        <v/>
      </c>
      <c r="F261" s="43" t="str">
        <v/>
      </c>
      <c r="G261" s="33" t="str">
        <v/>
      </c>
      <c r="H261" s="43" t="e">
        <f ca="1"/>
        <v>#N/A</v>
      </c>
      <c r="I261" s="42" t="str">
        <f ca="1"/>
        <v/>
      </c>
      <c r="J261" s="54" t="s">
        <v>4</v>
      </c>
    </row>
    <row r="262" spans="1:10" x14ac:dyDescent="0.25">
      <c r="A262" s="56"/>
      <c r="B262" s="57"/>
      <c r="C262" s="111"/>
      <c r="D262" s="59"/>
      <c r="E262" s="271" t="str">
        <v/>
      </c>
      <c r="F262" s="43" t="str">
        <v/>
      </c>
      <c r="G262" s="33" t="str">
        <v/>
      </c>
      <c r="H262" s="43" t="e">
        <f ca="1"/>
        <v>#N/A</v>
      </c>
      <c r="I262" s="42" t="str">
        <f ca="1"/>
        <v/>
      </c>
      <c r="J262" s="54" t="s">
        <v>4</v>
      </c>
    </row>
    <row r="263" spans="1:10" x14ac:dyDescent="0.25">
      <c r="A263" s="56"/>
      <c r="B263" s="57"/>
      <c r="C263" s="111"/>
      <c r="D263" s="59"/>
      <c r="E263" s="271" t="str">
        <v/>
      </c>
      <c r="F263" s="43" t="str">
        <v/>
      </c>
      <c r="G263" s="33" t="str">
        <v/>
      </c>
      <c r="H263" s="43" t="e">
        <f ca="1"/>
        <v>#N/A</v>
      </c>
      <c r="I263" s="42" t="str">
        <f ca="1"/>
        <v/>
      </c>
      <c r="J263" s="54" t="s">
        <v>4</v>
      </c>
    </row>
    <row r="264" spans="1:10" x14ac:dyDescent="0.25">
      <c r="A264" s="56"/>
      <c r="B264" s="57"/>
      <c r="C264" s="111"/>
      <c r="D264" s="59"/>
      <c r="E264" s="271" t="str">
        <v/>
      </c>
      <c r="F264" s="43" t="str">
        <v/>
      </c>
      <c r="G264" s="33" t="str">
        <v/>
      </c>
      <c r="H264" s="43" t="e">
        <f ca="1"/>
        <v>#N/A</v>
      </c>
      <c r="I264" s="42" t="str">
        <f ca="1"/>
        <v/>
      </c>
      <c r="J264" s="54" t="s">
        <v>4</v>
      </c>
    </row>
    <row r="265" spans="1:10" x14ac:dyDescent="0.25">
      <c r="A265" s="56"/>
      <c r="B265" s="57"/>
      <c r="C265" s="111"/>
      <c r="D265" s="59"/>
      <c r="E265" s="271" t="str">
        <v/>
      </c>
      <c r="F265" s="43" t="str">
        <v/>
      </c>
      <c r="G265" s="33" t="str">
        <v/>
      </c>
      <c r="H265" s="43" t="e">
        <f ca="1"/>
        <v>#N/A</v>
      </c>
      <c r="I265" s="42" t="str">
        <f ca="1"/>
        <v/>
      </c>
      <c r="J265" s="54" t="s">
        <v>4</v>
      </c>
    </row>
    <row r="266" spans="1:10" x14ac:dyDescent="0.25">
      <c r="A266" s="56"/>
      <c r="B266" s="57"/>
      <c r="C266" s="111"/>
      <c r="D266" s="59"/>
      <c r="E266" s="271" t="str">
        <v/>
      </c>
      <c r="F266" s="43" t="str">
        <v/>
      </c>
      <c r="G266" s="33" t="str">
        <v/>
      </c>
      <c r="H266" s="43" t="e">
        <f ca="1"/>
        <v>#N/A</v>
      </c>
      <c r="I266" s="42" t="str">
        <f ca="1"/>
        <v/>
      </c>
      <c r="J266" s="54" t="s">
        <v>4</v>
      </c>
    </row>
    <row r="267" spans="1:10" x14ac:dyDescent="0.25">
      <c r="A267" s="56"/>
      <c r="B267" s="57"/>
      <c r="C267" s="111"/>
      <c r="D267" s="59"/>
      <c r="E267" s="271" t="str">
        <v/>
      </c>
      <c r="F267" s="43" t="str">
        <v/>
      </c>
      <c r="G267" s="33" t="str">
        <v/>
      </c>
      <c r="H267" s="43" t="e">
        <f ca="1"/>
        <v>#N/A</v>
      </c>
      <c r="I267" s="42" t="str">
        <f ca="1"/>
        <v/>
      </c>
      <c r="J267" s="54" t="s">
        <v>4</v>
      </c>
    </row>
    <row r="268" spans="1:10" x14ac:dyDescent="0.25">
      <c r="A268" s="56"/>
      <c r="B268" s="57"/>
      <c r="C268" s="111"/>
      <c r="D268" s="59"/>
      <c r="E268" s="271" t="str">
        <v/>
      </c>
      <c r="F268" s="43" t="str">
        <v/>
      </c>
      <c r="G268" s="33" t="str">
        <v/>
      </c>
      <c r="H268" s="43" t="e">
        <f ca="1"/>
        <v>#N/A</v>
      </c>
      <c r="I268" s="42" t="str">
        <f ca="1"/>
        <v/>
      </c>
      <c r="J268" s="54" t="s">
        <v>4</v>
      </c>
    </row>
    <row r="269" spans="1:10" x14ac:dyDescent="0.25">
      <c r="A269" s="56"/>
      <c r="B269" s="57"/>
      <c r="C269" s="111"/>
      <c r="D269" s="59"/>
      <c r="E269" s="271" t="str">
        <v/>
      </c>
      <c r="F269" s="43" t="str">
        <v/>
      </c>
      <c r="G269" s="33" t="str">
        <v/>
      </c>
      <c r="H269" s="43" t="e">
        <f ca="1"/>
        <v>#N/A</v>
      </c>
      <c r="I269" s="42" t="str">
        <f ca="1"/>
        <v/>
      </c>
      <c r="J269" s="54" t="s">
        <v>4</v>
      </c>
    </row>
    <row r="270" spans="1:10" x14ac:dyDescent="0.25">
      <c r="A270" s="56"/>
      <c r="B270" s="57"/>
      <c r="C270" s="111"/>
      <c r="D270" s="59"/>
      <c r="E270" s="271" t="str">
        <v/>
      </c>
      <c r="F270" s="43" t="str">
        <v/>
      </c>
      <c r="G270" s="33" t="str">
        <v/>
      </c>
      <c r="H270" s="43" t="e">
        <f ca="1"/>
        <v>#N/A</v>
      </c>
      <c r="I270" s="42" t="str">
        <f ca="1"/>
        <v/>
      </c>
      <c r="J270" s="54" t="s">
        <v>4</v>
      </c>
    </row>
    <row r="271" spans="1:10" x14ac:dyDescent="0.25">
      <c r="A271" s="56"/>
      <c r="B271" s="57"/>
      <c r="C271" s="111"/>
      <c r="D271" s="59"/>
      <c r="E271" s="271" t="str">
        <v/>
      </c>
      <c r="F271" s="43" t="str">
        <v/>
      </c>
      <c r="G271" s="33" t="str">
        <v/>
      </c>
      <c r="H271" s="43" t="e">
        <f ca="1"/>
        <v>#N/A</v>
      </c>
      <c r="I271" s="42" t="str">
        <f ca="1"/>
        <v/>
      </c>
      <c r="J271" s="54" t="s">
        <v>4</v>
      </c>
    </row>
    <row r="272" spans="1:10" x14ac:dyDescent="0.25">
      <c r="A272" s="56"/>
      <c r="B272" s="57"/>
      <c r="C272" s="111"/>
      <c r="D272" s="59"/>
      <c r="E272" s="271" t="str">
        <v/>
      </c>
      <c r="F272" s="43" t="str">
        <v/>
      </c>
      <c r="G272" s="33" t="str">
        <v/>
      </c>
      <c r="H272" s="43" t="e">
        <f ca="1"/>
        <v>#N/A</v>
      </c>
      <c r="I272" s="42" t="str">
        <f ca="1"/>
        <v/>
      </c>
      <c r="J272" s="54" t="s">
        <v>4</v>
      </c>
    </row>
    <row r="273" spans="1:10" x14ac:dyDescent="0.25">
      <c r="A273" s="56"/>
      <c r="B273" s="57"/>
      <c r="C273" s="111"/>
      <c r="D273" s="59"/>
      <c r="E273" s="271" t="str">
        <v/>
      </c>
      <c r="F273" s="43" t="str">
        <v/>
      </c>
      <c r="G273" s="33" t="str">
        <v/>
      </c>
      <c r="H273" s="43" t="e">
        <f ca="1"/>
        <v>#N/A</v>
      </c>
      <c r="I273" s="42" t="str">
        <f ca="1"/>
        <v/>
      </c>
      <c r="J273" s="54" t="s">
        <v>4</v>
      </c>
    </row>
    <row r="274" spans="1:10" x14ac:dyDescent="0.25">
      <c r="A274" s="56"/>
      <c r="B274" s="57"/>
      <c r="C274" s="111"/>
      <c r="D274" s="59"/>
      <c r="E274" s="271" t="str">
        <v/>
      </c>
      <c r="F274" s="43" t="str">
        <v/>
      </c>
      <c r="G274" s="33" t="str">
        <v/>
      </c>
      <c r="H274" s="43" t="e">
        <f ca="1"/>
        <v>#N/A</v>
      </c>
      <c r="I274" s="42" t="str">
        <f ca="1"/>
        <v/>
      </c>
      <c r="J274" s="54" t="s">
        <v>4</v>
      </c>
    </row>
    <row r="275" spans="1:10" x14ac:dyDescent="0.25">
      <c r="A275" s="56"/>
      <c r="B275" s="57"/>
      <c r="C275" s="111"/>
      <c r="D275" s="59"/>
      <c r="E275" s="271" t="str">
        <v/>
      </c>
      <c r="F275" s="43" t="str">
        <v/>
      </c>
      <c r="G275" s="33" t="str">
        <v/>
      </c>
      <c r="H275" s="43" t="e">
        <f ca="1"/>
        <v>#N/A</v>
      </c>
      <c r="I275" s="42" t="str">
        <f ca="1"/>
        <v/>
      </c>
      <c r="J275" s="54" t="s">
        <v>4</v>
      </c>
    </row>
    <row r="276" spans="1:10" x14ac:dyDescent="0.25">
      <c r="A276" s="56"/>
      <c r="B276" s="57"/>
      <c r="C276" s="111"/>
      <c r="D276" s="59"/>
      <c r="E276" s="271" t="str">
        <v/>
      </c>
      <c r="F276" s="43" t="str">
        <v/>
      </c>
      <c r="G276" s="33" t="str">
        <v/>
      </c>
      <c r="H276" s="43" t="e">
        <f ca="1"/>
        <v>#N/A</v>
      </c>
      <c r="I276" s="42" t="str">
        <f ca="1"/>
        <v/>
      </c>
      <c r="J276" s="54" t="s">
        <v>4</v>
      </c>
    </row>
    <row r="277" spans="1:10" x14ac:dyDescent="0.25">
      <c r="A277" s="56"/>
      <c r="B277" s="57"/>
      <c r="C277" s="111"/>
      <c r="D277" s="59"/>
      <c r="E277" s="271" t="str">
        <v/>
      </c>
      <c r="F277" s="43" t="str">
        <v/>
      </c>
      <c r="G277" s="33" t="str">
        <v/>
      </c>
      <c r="H277" s="43" t="e">
        <f ca="1"/>
        <v>#N/A</v>
      </c>
      <c r="I277" s="42" t="str">
        <f ca="1"/>
        <v/>
      </c>
      <c r="J277" s="54" t="s">
        <v>4</v>
      </c>
    </row>
    <row r="278" spans="1:10" x14ac:dyDescent="0.25">
      <c r="A278" s="56"/>
      <c r="B278" s="57"/>
      <c r="C278" s="111"/>
      <c r="D278" s="59"/>
      <c r="E278" s="271" t="str">
        <v/>
      </c>
      <c r="F278" s="43" t="str">
        <v/>
      </c>
      <c r="G278" s="33" t="str">
        <v/>
      </c>
      <c r="H278" s="43" t="e">
        <f ca="1"/>
        <v>#N/A</v>
      </c>
      <c r="I278" s="42" t="str">
        <f ca="1"/>
        <v/>
      </c>
      <c r="J278" s="54" t="s">
        <v>4</v>
      </c>
    </row>
    <row r="279" spans="1:10" x14ac:dyDescent="0.25">
      <c r="A279" s="56"/>
      <c r="B279" s="57"/>
      <c r="C279" s="111"/>
      <c r="D279" s="59"/>
      <c r="E279" s="271" t="str">
        <v/>
      </c>
      <c r="F279" s="43" t="str">
        <v/>
      </c>
      <c r="G279" s="33" t="str">
        <v/>
      </c>
      <c r="H279" s="43" t="e">
        <f ca="1"/>
        <v>#N/A</v>
      </c>
      <c r="I279" s="42" t="str">
        <f ca="1"/>
        <v/>
      </c>
      <c r="J279" s="54" t="s">
        <v>4</v>
      </c>
    </row>
    <row r="280" spans="1:10" x14ac:dyDescent="0.25">
      <c r="A280" s="56"/>
      <c r="B280" s="57"/>
      <c r="C280" s="111"/>
      <c r="D280" s="59"/>
      <c r="E280" s="271" t="str">
        <v/>
      </c>
      <c r="F280" s="43" t="str">
        <v/>
      </c>
      <c r="G280" s="33" t="str">
        <v/>
      </c>
      <c r="H280" s="43" t="e">
        <f ca="1"/>
        <v>#N/A</v>
      </c>
      <c r="I280" s="42" t="str">
        <f ca="1"/>
        <v/>
      </c>
      <c r="J280" s="54" t="s">
        <v>4</v>
      </c>
    </row>
    <row r="281" spans="1:10" x14ac:dyDescent="0.25">
      <c r="A281" s="56"/>
      <c r="B281" s="57"/>
      <c r="C281" s="111"/>
      <c r="D281" s="59"/>
      <c r="E281" s="271" t="str">
        <v/>
      </c>
      <c r="F281" s="43" t="str">
        <v/>
      </c>
      <c r="G281" s="33" t="str">
        <v/>
      </c>
      <c r="H281" s="43" t="e">
        <f ca="1"/>
        <v>#N/A</v>
      </c>
      <c r="I281" s="42" t="str">
        <f ca="1"/>
        <v/>
      </c>
      <c r="J281" s="54" t="s">
        <v>4</v>
      </c>
    </row>
    <row r="282" spans="1:10" x14ac:dyDescent="0.25">
      <c r="A282" s="56"/>
      <c r="B282" s="57"/>
      <c r="C282" s="111"/>
      <c r="D282" s="59"/>
      <c r="E282" s="271" t="str">
        <v/>
      </c>
      <c r="F282" s="43" t="str">
        <v/>
      </c>
      <c r="G282" s="33" t="str">
        <v/>
      </c>
      <c r="H282" s="43" t="e">
        <f ca="1"/>
        <v>#N/A</v>
      </c>
      <c r="I282" s="42" t="str">
        <f ca="1"/>
        <v/>
      </c>
      <c r="J282" s="54" t="s">
        <v>4</v>
      </c>
    </row>
    <row r="283" spans="1:10" x14ac:dyDescent="0.25">
      <c r="A283" s="56"/>
      <c r="B283" s="57"/>
      <c r="C283" s="111"/>
      <c r="D283" s="59"/>
      <c r="E283" s="271" t="str">
        <v/>
      </c>
      <c r="F283" s="43" t="str">
        <v/>
      </c>
      <c r="G283" s="33" t="str">
        <v/>
      </c>
      <c r="H283" s="43" t="e">
        <f ca="1"/>
        <v>#N/A</v>
      </c>
      <c r="I283" s="42" t="str">
        <f ca="1"/>
        <v/>
      </c>
      <c r="J283" s="54" t="s">
        <v>4</v>
      </c>
    </row>
    <row r="284" spans="1:10" x14ac:dyDescent="0.25">
      <c r="A284" s="56"/>
      <c r="B284" s="57"/>
      <c r="C284" s="111"/>
      <c r="D284" s="59"/>
      <c r="E284" s="271" t="str">
        <v/>
      </c>
      <c r="F284" s="43" t="str">
        <v/>
      </c>
      <c r="G284" s="33" t="str">
        <v/>
      </c>
      <c r="H284" s="43" t="e">
        <f ca="1"/>
        <v>#N/A</v>
      </c>
      <c r="I284" s="42" t="str">
        <f ca="1"/>
        <v/>
      </c>
      <c r="J284" s="54" t="s">
        <v>4</v>
      </c>
    </row>
    <row r="285" spans="1:10" x14ac:dyDescent="0.25">
      <c r="A285" s="56"/>
      <c r="B285" s="57"/>
      <c r="C285" s="111"/>
      <c r="D285" s="59"/>
      <c r="E285" s="271" t="str">
        <v/>
      </c>
      <c r="F285" s="43" t="str">
        <v/>
      </c>
      <c r="G285" s="33" t="str">
        <v/>
      </c>
      <c r="H285" s="43" t="e">
        <f ca="1"/>
        <v>#N/A</v>
      </c>
      <c r="I285" s="42" t="str">
        <f ca="1"/>
        <v/>
      </c>
      <c r="J285" s="54" t="s">
        <v>4</v>
      </c>
    </row>
    <row r="286" spans="1:10" x14ac:dyDescent="0.25">
      <c r="A286" s="56"/>
      <c r="B286" s="57"/>
      <c r="C286" s="111"/>
      <c r="D286" s="59"/>
      <c r="E286" s="271" t="str">
        <v/>
      </c>
      <c r="F286" s="43" t="str">
        <v/>
      </c>
      <c r="G286" s="33" t="str">
        <v/>
      </c>
      <c r="H286" s="43" t="e">
        <f ca="1"/>
        <v>#N/A</v>
      </c>
      <c r="I286" s="42" t="str">
        <f ca="1"/>
        <v/>
      </c>
      <c r="J286" s="54" t="s">
        <v>4</v>
      </c>
    </row>
    <row r="287" spans="1:10" x14ac:dyDescent="0.25">
      <c r="A287" s="56"/>
      <c r="B287" s="57"/>
      <c r="C287" s="111"/>
      <c r="D287" s="59"/>
      <c r="E287" s="271" t="str">
        <v/>
      </c>
      <c r="F287" s="43" t="str">
        <v/>
      </c>
      <c r="G287" s="33" t="str">
        <v/>
      </c>
      <c r="H287" s="43" t="e">
        <f ca="1"/>
        <v>#N/A</v>
      </c>
      <c r="I287" s="42" t="str">
        <f ca="1"/>
        <v/>
      </c>
      <c r="J287" s="54" t="s">
        <v>4</v>
      </c>
    </row>
    <row r="288" spans="1:10" x14ac:dyDescent="0.25">
      <c r="A288" s="56"/>
      <c r="B288" s="57"/>
      <c r="C288" s="111"/>
      <c r="D288" s="59"/>
      <c r="E288" s="271" t="str">
        <v/>
      </c>
      <c r="F288" s="43" t="str">
        <v/>
      </c>
      <c r="G288" s="33" t="str">
        <v/>
      </c>
      <c r="H288" s="43" t="e">
        <f ca="1"/>
        <v>#N/A</v>
      </c>
      <c r="I288" s="42" t="str">
        <f ca="1"/>
        <v/>
      </c>
      <c r="J288" s="54" t="s">
        <v>4</v>
      </c>
    </row>
    <row r="289" spans="1:10" x14ac:dyDescent="0.25">
      <c r="A289" s="56"/>
      <c r="B289" s="57"/>
      <c r="C289" s="111"/>
      <c r="D289" s="59"/>
      <c r="E289" s="271" t="str">
        <v/>
      </c>
      <c r="F289" s="43" t="str">
        <v/>
      </c>
      <c r="G289" s="33" t="str">
        <v/>
      </c>
      <c r="H289" s="43" t="e">
        <f ca="1"/>
        <v>#N/A</v>
      </c>
      <c r="I289" s="42" t="str">
        <f ca="1"/>
        <v/>
      </c>
      <c r="J289" s="54" t="s">
        <v>4</v>
      </c>
    </row>
    <row r="290" spans="1:10" x14ac:dyDescent="0.25">
      <c r="A290" s="56"/>
      <c r="B290" s="57"/>
      <c r="C290" s="111"/>
      <c r="D290" s="59"/>
      <c r="E290" s="271" t="str">
        <v/>
      </c>
      <c r="F290" s="43" t="str">
        <v/>
      </c>
      <c r="G290" s="33" t="str">
        <v/>
      </c>
      <c r="H290" s="43" t="e">
        <f ca="1"/>
        <v>#N/A</v>
      </c>
      <c r="I290" s="42" t="str">
        <f ca="1"/>
        <v/>
      </c>
      <c r="J290" s="54" t="s">
        <v>4</v>
      </c>
    </row>
    <row r="291" spans="1:10" x14ac:dyDescent="0.25">
      <c r="A291" s="56"/>
      <c r="B291" s="57"/>
      <c r="C291" s="111"/>
      <c r="D291" s="59"/>
      <c r="E291" s="271" t="str">
        <v/>
      </c>
      <c r="F291" s="43" t="str">
        <v/>
      </c>
      <c r="G291" s="33" t="str">
        <v/>
      </c>
      <c r="H291" s="43" t="e">
        <f ca="1"/>
        <v>#N/A</v>
      </c>
      <c r="I291" s="42" t="str">
        <f ca="1"/>
        <v/>
      </c>
      <c r="J291" s="54" t="s">
        <v>4</v>
      </c>
    </row>
    <row r="292" spans="1:10" x14ac:dyDescent="0.25">
      <c r="A292" s="56"/>
      <c r="B292" s="57"/>
      <c r="C292" s="111"/>
      <c r="D292" s="59"/>
      <c r="E292" s="271" t="str">
        <v/>
      </c>
      <c r="F292" s="43" t="str">
        <v/>
      </c>
      <c r="G292" s="33" t="str">
        <v/>
      </c>
      <c r="H292" s="43" t="e">
        <f ca="1"/>
        <v>#N/A</v>
      </c>
      <c r="I292" s="42" t="str">
        <f ca="1"/>
        <v/>
      </c>
      <c r="J292" s="54" t="s">
        <v>4</v>
      </c>
    </row>
    <row r="293" spans="1:10" x14ac:dyDescent="0.25">
      <c r="A293" s="56"/>
      <c r="B293" s="57"/>
      <c r="C293" s="111"/>
      <c r="D293" s="59"/>
      <c r="E293" s="271" t="str">
        <v/>
      </c>
      <c r="F293" s="43" t="str">
        <v/>
      </c>
      <c r="G293" s="33" t="str">
        <v/>
      </c>
      <c r="H293" s="43" t="e">
        <f ca="1"/>
        <v>#N/A</v>
      </c>
      <c r="I293" s="42" t="str">
        <f ca="1"/>
        <v/>
      </c>
      <c r="J293" s="54" t="s">
        <v>4</v>
      </c>
    </row>
    <row r="294" spans="1:10" x14ac:dyDescent="0.25">
      <c r="A294" s="56"/>
      <c r="B294" s="57"/>
      <c r="C294" s="111"/>
      <c r="D294" s="59"/>
      <c r="E294" s="271" t="str">
        <v/>
      </c>
      <c r="F294" s="43" t="str">
        <v/>
      </c>
      <c r="G294" s="33" t="str">
        <v/>
      </c>
      <c r="H294" s="43" t="e">
        <f ca="1"/>
        <v>#N/A</v>
      </c>
      <c r="I294" s="42" t="str">
        <f ca="1"/>
        <v/>
      </c>
      <c r="J294" s="54" t="s">
        <v>4</v>
      </c>
    </row>
    <row r="295" spans="1:10" x14ac:dyDescent="0.25">
      <c r="A295" s="56"/>
      <c r="B295" s="57"/>
      <c r="C295" s="111"/>
      <c r="D295" s="59"/>
      <c r="E295" s="271" t="str">
        <v/>
      </c>
      <c r="F295" s="43" t="str">
        <v/>
      </c>
      <c r="G295" s="33" t="str">
        <v/>
      </c>
      <c r="H295" s="43" t="e">
        <f ca="1"/>
        <v>#N/A</v>
      </c>
      <c r="I295" s="42" t="str">
        <f ca="1"/>
        <v/>
      </c>
      <c r="J295" s="54" t="s">
        <v>4</v>
      </c>
    </row>
    <row r="296" spans="1:10" x14ac:dyDescent="0.25">
      <c r="A296" s="56"/>
      <c r="B296" s="57"/>
      <c r="C296" s="111"/>
      <c r="D296" s="59"/>
      <c r="E296" s="271" t="str">
        <v/>
      </c>
      <c r="F296" s="43" t="str">
        <v/>
      </c>
      <c r="G296" s="33" t="str">
        <v/>
      </c>
      <c r="H296" s="43" t="e">
        <f ca="1"/>
        <v>#N/A</v>
      </c>
      <c r="I296" s="42" t="str">
        <f ca="1"/>
        <v/>
      </c>
      <c r="J296" s="54" t="s">
        <v>4</v>
      </c>
    </row>
    <row r="297" spans="1:10" x14ac:dyDescent="0.25">
      <c r="A297" s="56"/>
      <c r="B297" s="57"/>
      <c r="C297" s="111"/>
      <c r="D297" s="59"/>
      <c r="E297" s="271" t="str">
        <v/>
      </c>
      <c r="F297" s="43" t="str">
        <v/>
      </c>
      <c r="G297" s="33" t="str">
        <v/>
      </c>
      <c r="H297" s="43" t="e">
        <f ca="1"/>
        <v>#N/A</v>
      </c>
      <c r="I297" s="42" t="str">
        <f ca="1"/>
        <v/>
      </c>
      <c r="J297" s="54" t="s">
        <v>4</v>
      </c>
    </row>
    <row r="298" spans="1:10" x14ac:dyDescent="0.25">
      <c r="A298" s="56"/>
      <c r="B298" s="57"/>
      <c r="C298" s="111"/>
      <c r="D298" s="59"/>
      <c r="E298" s="271" t="str">
        <v/>
      </c>
      <c r="F298" s="43" t="str">
        <v/>
      </c>
      <c r="G298" s="33" t="str">
        <v/>
      </c>
      <c r="H298" s="43" t="e">
        <f ca="1"/>
        <v>#N/A</v>
      </c>
      <c r="I298" s="42" t="str">
        <f ca="1"/>
        <v/>
      </c>
      <c r="J298" s="54" t="s">
        <v>4</v>
      </c>
    </row>
    <row r="299" spans="1:10" x14ac:dyDescent="0.25">
      <c r="A299" s="56"/>
      <c r="B299" s="57"/>
      <c r="C299" s="111"/>
      <c r="D299" s="59"/>
      <c r="E299" s="271" t="str">
        <v/>
      </c>
      <c r="F299" s="43" t="str">
        <v/>
      </c>
      <c r="G299" s="33" t="str">
        <v/>
      </c>
      <c r="H299" s="43" t="e">
        <f ca="1"/>
        <v>#N/A</v>
      </c>
      <c r="I299" s="42" t="str">
        <f ca="1"/>
        <v/>
      </c>
      <c r="J299" s="54" t="s">
        <v>4</v>
      </c>
    </row>
    <row r="300" spans="1:10" x14ac:dyDescent="0.25">
      <c r="A300" s="56"/>
      <c r="B300" s="57"/>
      <c r="C300" s="111"/>
      <c r="D300" s="59"/>
      <c r="E300" s="271" t="str">
        <v/>
      </c>
      <c r="F300" s="43" t="str">
        <v/>
      </c>
      <c r="G300" s="33" t="str">
        <v/>
      </c>
      <c r="H300" s="43" t="e">
        <f ca="1"/>
        <v>#N/A</v>
      </c>
      <c r="I300" s="42" t="str">
        <f ca="1"/>
        <v/>
      </c>
      <c r="J300" s="54" t="s">
        <v>4</v>
      </c>
    </row>
    <row r="301" spans="1:10" x14ac:dyDescent="0.25">
      <c r="A301" s="56"/>
      <c r="B301" s="57"/>
      <c r="C301" s="111"/>
      <c r="D301" s="59"/>
      <c r="E301" s="271" t="str">
        <v/>
      </c>
      <c r="F301" s="43" t="str">
        <v/>
      </c>
      <c r="G301" s="33" t="str">
        <v/>
      </c>
      <c r="H301" s="43" t="e">
        <f ca="1"/>
        <v>#N/A</v>
      </c>
      <c r="I301" s="42" t="str">
        <f ca="1"/>
        <v/>
      </c>
      <c r="J301" s="54" t="s">
        <v>4</v>
      </c>
    </row>
    <row r="302" spans="1:10" x14ac:dyDescent="0.25">
      <c r="A302" s="106"/>
      <c r="B302" s="107"/>
      <c r="C302" s="112"/>
      <c r="D302" s="109"/>
      <c r="E302" s="271" t="str">
        <v/>
      </c>
      <c r="F302" s="43" t="str">
        <v/>
      </c>
      <c r="G302" s="33" t="str">
        <v/>
      </c>
      <c r="H302" s="43" t="e">
        <f ca="1"/>
        <v>#N/A</v>
      </c>
      <c r="I302" s="42" t="str">
        <f ca="1"/>
        <v/>
      </c>
      <c r="J302" s="54" t="s">
        <v>4</v>
      </c>
    </row>
    <row r="303" spans="1:10" x14ac:dyDescent="0.25">
      <c r="A303" s="86"/>
      <c r="B303" s="87"/>
      <c r="C303" s="113"/>
      <c r="D303" s="110"/>
      <c r="E303" s="271" t="str">
        <v/>
      </c>
      <c r="F303" s="43" t="str">
        <v/>
      </c>
      <c r="G303" s="33" t="str">
        <v/>
      </c>
      <c r="H303" s="43" t="e">
        <f ca="1"/>
        <v>#N/A</v>
      </c>
      <c r="I303" s="42" t="str">
        <f ca="1"/>
        <v/>
      </c>
      <c r="J303" s="54" t="s">
        <v>4</v>
      </c>
    </row>
    <row r="304" spans="1:10" x14ac:dyDescent="0.25">
      <c r="A304" s="56"/>
      <c r="B304" s="57"/>
      <c r="C304" s="111"/>
      <c r="D304" s="59"/>
      <c r="E304" s="271" t="str">
        <v/>
      </c>
      <c r="F304" s="43" t="str">
        <v/>
      </c>
      <c r="G304" s="33" t="str">
        <v/>
      </c>
      <c r="H304" s="43" t="e">
        <f ca="1"/>
        <v>#N/A</v>
      </c>
      <c r="I304" s="42" t="str">
        <f ca="1"/>
        <v/>
      </c>
      <c r="J304" s="54" t="s">
        <v>4</v>
      </c>
    </row>
    <row r="305" spans="1:10" x14ac:dyDescent="0.25">
      <c r="A305" s="56"/>
      <c r="B305" s="57"/>
      <c r="C305" s="111"/>
      <c r="D305" s="59"/>
      <c r="E305" s="271" t="str">
        <v/>
      </c>
      <c r="F305" s="43" t="str">
        <v/>
      </c>
      <c r="G305" s="33" t="str">
        <v/>
      </c>
      <c r="H305" s="43" t="e">
        <f ca="1"/>
        <v>#N/A</v>
      </c>
      <c r="I305" s="42" t="str">
        <f ca="1"/>
        <v/>
      </c>
      <c r="J305" s="54" t="s">
        <v>4</v>
      </c>
    </row>
    <row r="306" spans="1:10" x14ac:dyDescent="0.25">
      <c r="A306" s="56"/>
      <c r="B306" s="57"/>
      <c r="C306" s="111"/>
      <c r="D306" s="59"/>
      <c r="E306" s="271" t="str">
        <v/>
      </c>
      <c r="F306" s="43" t="str">
        <v/>
      </c>
      <c r="G306" s="33" t="str">
        <v/>
      </c>
      <c r="H306" s="43" t="e">
        <f ca="1"/>
        <v>#N/A</v>
      </c>
      <c r="I306" s="42" t="str">
        <f ca="1"/>
        <v/>
      </c>
      <c r="J306" s="54" t="s">
        <v>4</v>
      </c>
    </row>
    <row r="307" spans="1:10" x14ac:dyDescent="0.25">
      <c r="A307" s="56"/>
      <c r="B307" s="57"/>
      <c r="C307" s="111"/>
      <c r="D307" s="59"/>
      <c r="E307" s="271" t="str">
        <v/>
      </c>
      <c r="F307" s="43" t="str">
        <v/>
      </c>
      <c r="G307" s="33" t="str">
        <v/>
      </c>
      <c r="H307" s="43" t="e">
        <f ca="1"/>
        <v>#N/A</v>
      </c>
      <c r="I307" s="42" t="str">
        <f ca="1"/>
        <v/>
      </c>
      <c r="J307" s="54" t="s">
        <v>4</v>
      </c>
    </row>
    <row r="308" spans="1:10" x14ac:dyDescent="0.25">
      <c r="A308" s="56"/>
      <c r="B308" s="57"/>
      <c r="C308" s="111"/>
      <c r="D308" s="59"/>
      <c r="E308" s="271" t="str">
        <v/>
      </c>
      <c r="F308" s="43" t="str">
        <v/>
      </c>
      <c r="G308" s="33" t="str">
        <v/>
      </c>
      <c r="H308" s="43" t="e">
        <f ca="1"/>
        <v>#N/A</v>
      </c>
      <c r="I308" s="42" t="str">
        <f ca="1"/>
        <v/>
      </c>
      <c r="J308" s="54" t="s">
        <v>4</v>
      </c>
    </row>
    <row r="309" spans="1:10" x14ac:dyDescent="0.25">
      <c r="A309" s="56"/>
      <c r="B309" s="57"/>
      <c r="C309" s="111"/>
      <c r="D309" s="59"/>
      <c r="E309" s="271" t="str">
        <v/>
      </c>
      <c r="F309" s="43" t="str">
        <v/>
      </c>
      <c r="G309" s="33" t="str">
        <v/>
      </c>
      <c r="H309" s="43" t="e">
        <f ca="1"/>
        <v>#N/A</v>
      </c>
      <c r="I309" s="42" t="str">
        <f ca="1"/>
        <v/>
      </c>
      <c r="J309" s="54" t="s">
        <v>4</v>
      </c>
    </row>
    <row r="310" spans="1:10" x14ac:dyDescent="0.25">
      <c r="A310" s="56"/>
      <c r="B310" s="57"/>
      <c r="C310" s="111"/>
      <c r="D310" s="59"/>
      <c r="E310" s="271" t="str">
        <v/>
      </c>
      <c r="F310" s="43" t="str">
        <v/>
      </c>
      <c r="G310" s="33" t="str">
        <v/>
      </c>
      <c r="H310" s="43" t="e">
        <f ca="1"/>
        <v>#N/A</v>
      </c>
      <c r="I310" s="42" t="str">
        <f ca="1"/>
        <v/>
      </c>
      <c r="J310" s="54" t="s">
        <v>4</v>
      </c>
    </row>
    <row r="311" spans="1:10" x14ac:dyDescent="0.25">
      <c r="A311" s="56"/>
      <c r="B311" s="57"/>
      <c r="C311" s="111"/>
      <c r="D311" s="59"/>
      <c r="E311" s="271" t="str">
        <v/>
      </c>
      <c r="F311" s="43" t="str">
        <v/>
      </c>
      <c r="G311" s="33" t="str">
        <v/>
      </c>
      <c r="H311" s="43" t="e">
        <f ca="1"/>
        <v>#N/A</v>
      </c>
      <c r="I311" s="42" t="str">
        <f ca="1"/>
        <v/>
      </c>
      <c r="J311" s="54" t="s">
        <v>4</v>
      </c>
    </row>
    <row r="312" spans="1:10" x14ac:dyDescent="0.25">
      <c r="A312" s="56"/>
      <c r="B312" s="57"/>
      <c r="C312" s="111"/>
      <c r="D312" s="59"/>
      <c r="E312" s="271" t="str">
        <v/>
      </c>
      <c r="F312" s="43" t="str">
        <v/>
      </c>
      <c r="G312" s="33" t="str">
        <v/>
      </c>
      <c r="H312" s="43" t="e">
        <f ca="1"/>
        <v>#N/A</v>
      </c>
      <c r="I312" s="42" t="str">
        <f ca="1"/>
        <v/>
      </c>
      <c r="J312" s="54" t="s">
        <v>4</v>
      </c>
    </row>
    <row r="313" spans="1:10" x14ac:dyDescent="0.25">
      <c r="A313" s="56"/>
      <c r="B313" s="57"/>
      <c r="C313" s="111"/>
      <c r="D313" s="59"/>
      <c r="E313" s="271" t="str">
        <v/>
      </c>
      <c r="F313" s="43" t="str">
        <v/>
      </c>
      <c r="G313" s="33" t="str">
        <v/>
      </c>
      <c r="H313" s="43" t="e">
        <f ca="1"/>
        <v>#N/A</v>
      </c>
      <c r="I313" s="42" t="str">
        <f ca="1"/>
        <v/>
      </c>
      <c r="J313" s="54" t="s">
        <v>4</v>
      </c>
    </row>
    <row r="314" spans="1:10" x14ac:dyDescent="0.25">
      <c r="A314" s="56"/>
      <c r="B314" s="57"/>
      <c r="C314" s="111"/>
      <c r="D314" s="59"/>
      <c r="E314" s="271" t="str">
        <v/>
      </c>
      <c r="F314" s="43" t="str">
        <v/>
      </c>
      <c r="G314" s="33" t="str">
        <v/>
      </c>
      <c r="H314" s="43" t="e">
        <f ca="1"/>
        <v>#N/A</v>
      </c>
      <c r="I314" s="42" t="str">
        <f ca="1"/>
        <v/>
      </c>
      <c r="J314" s="54" t="s">
        <v>4</v>
      </c>
    </row>
    <row r="315" spans="1:10" x14ac:dyDescent="0.25">
      <c r="A315" s="56"/>
      <c r="B315" s="57"/>
      <c r="C315" s="111"/>
      <c r="D315" s="59"/>
      <c r="E315" s="271" t="str">
        <v/>
      </c>
      <c r="F315" s="43" t="str">
        <v/>
      </c>
      <c r="G315" s="33" t="str">
        <v/>
      </c>
      <c r="H315" s="43" t="e">
        <f ca="1"/>
        <v>#N/A</v>
      </c>
      <c r="I315" s="42" t="str">
        <f ca="1"/>
        <v/>
      </c>
      <c r="J315" s="54" t="s">
        <v>4</v>
      </c>
    </row>
    <row r="316" spans="1:10" x14ac:dyDescent="0.25">
      <c r="A316" s="56"/>
      <c r="B316" s="57"/>
      <c r="C316" s="111"/>
      <c r="D316" s="59"/>
      <c r="E316" s="271" t="str">
        <v/>
      </c>
      <c r="F316" s="43" t="str">
        <v/>
      </c>
      <c r="G316" s="33" t="str">
        <v/>
      </c>
      <c r="H316" s="43" t="e">
        <f ca="1"/>
        <v>#N/A</v>
      </c>
      <c r="I316" s="42" t="str">
        <f ca="1"/>
        <v/>
      </c>
      <c r="J316" s="54" t="s">
        <v>4</v>
      </c>
    </row>
    <row r="317" spans="1:10" x14ac:dyDescent="0.25">
      <c r="A317" s="56"/>
      <c r="B317" s="57"/>
      <c r="C317" s="111"/>
      <c r="D317" s="59"/>
      <c r="E317" s="271" t="str">
        <v/>
      </c>
      <c r="F317" s="43" t="str">
        <v/>
      </c>
      <c r="G317" s="33" t="str">
        <v/>
      </c>
      <c r="H317" s="43" t="e">
        <f ca="1"/>
        <v>#N/A</v>
      </c>
      <c r="I317" s="42" t="str">
        <f ca="1"/>
        <v/>
      </c>
      <c r="J317" s="54" t="s">
        <v>4</v>
      </c>
    </row>
    <row r="318" spans="1:10" x14ac:dyDescent="0.25">
      <c r="A318" s="56"/>
      <c r="B318" s="57"/>
      <c r="C318" s="111"/>
      <c r="D318" s="59"/>
      <c r="E318" s="271" t="str">
        <v/>
      </c>
      <c r="F318" s="43" t="str">
        <v/>
      </c>
      <c r="G318" s="33" t="str">
        <v/>
      </c>
      <c r="H318" s="43" t="e">
        <f ca="1"/>
        <v>#N/A</v>
      </c>
      <c r="I318" s="42" t="str">
        <f ca="1"/>
        <v/>
      </c>
      <c r="J318" s="54" t="s">
        <v>4</v>
      </c>
    </row>
    <row r="319" spans="1:10" x14ac:dyDescent="0.25">
      <c r="A319" s="56"/>
      <c r="B319" s="57"/>
      <c r="C319" s="111"/>
      <c r="D319" s="59"/>
      <c r="E319" s="271" t="str">
        <v/>
      </c>
      <c r="F319" s="43" t="str">
        <v/>
      </c>
      <c r="G319" s="33" t="str">
        <v/>
      </c>
      <c r="H319" s="43" t="e">
        <f ca="1"/>
        <v>#N/A</v>
      </c>
      <c r="I319" s="42" t="str">
        <f ca="1"/>
        <v/>
      </c>
      <c r="J319" s="54" t="s">
        <v>4</v>
      </c>
    </row>
    <row r="320" spans="1:10" x14ac:dyDescent="0.25">
      <c r="A320" s="56"/>
      <c r="B320" s="57"/>
      <c r="C320" s="111"/>
      <c r="D320" s="59"/>
      <c r="E320" s="271" t="str">
        <v/>
      </c>
      <c r="F320" s="43" t="str">
        <v/>
      </c>
      <c r="G320" s="33" t="str">
        <v/>
      </c>
      <c r="H320" s="43" t="e">
        <f ca="1"/>
        <v>#N/A</v>
      </c>
      <c r="I320" s="42" t="str">
        <f ca="1"/>
        <v/>
      </c>
      <c r="J320" s="54" t="s">
        <v>4</v>
      </c>
    </row>
    <row r="321" spans="1:10" x14ac:dyDescent="0.25">
      <c r="A321" s="56"/>
      <c r="B321" s="57"/>
      <c r="C321" s="111"/>
      <c r="D321" s="59"/>
      <c r="E321" s="271" t="str">
        <v/>
      </c>
      <c r="F321" s="43" t="str">
        <v/>
      </c>
      <c r="G321" s="33" t="str">
        <v/>
      </c>
      <c r="H321" s="43" t="e">
        <f ca="1"/>
        <v>#N/A</v>
      </c>
      <c r="I321" s="42" t="str">
        <f ca="1"/>
        <v/>
      </c>
      <c r="J321" s="54" t="s">
        <v>4</v>
      </c>
    </row>
    <row r="322" spans="1:10" x14ac:dyDescent="0.25">
      <c r="A322" s="56"/>
      <c r="B322" s="57"/>
      <c r="C322" s="111"/>
      <c r="D322" s="59"/>
      <c r="E322" s="271" t="str">
        <v/>
      </c>
      <c r="F322" s="43" t="str">
        <v/>
      </c>
      <c r="G322" s="33" t="str">
        <v/>
      </c>
      <c r="H322" s="43" t="e">
        <f ca="1"/>
        <v>#N/A</v>
      </c>
      <c r="I322" s="42" t="str">
        <f ca="1"/>
        <v/>
      </c>
      <c r="J322" s="54" t="s">
        <v>4</v>
      </c>
    </row>
    <row r="323" spans="1:10" x14ac:dyDescent="0.25">
      <c r="A323" s="56"/>
      <c r="B323" s="57"/>
      <c r="C323" s="111"/>
      <c r="D323" s="59"/>
      <c r="E323" s="271" t="str">
        <v/>
      </c>
      <c r="F323" s="43" t="str">
        <v/>
      </c>
      <c r="G323" s="33" t="str">
        <v/>
      </c>
      <c r="H323" s="43" t="e">
        <f ca="1"/>
        <v>#N/A</v>
      </c>
      <c r="I323" s="42" t="str">
        <f ca="1"/>
        <v/>
      </c>
      <c r="J323" s="54" t="s">
        <v>4</v>
      </c>
    </row>
    <row r="324" spans="1:10" x14ac:dyDescent="0.25">
      <c r="A324" s="56"/>
      <c r="B324" s="57"/>
      <c r="C324" s="111"/>
      <c r="D324" s="59"/>
      <c r="E324" s="271" t="str">
        <v/>
      </c>
      <c r="F324" s="43" t="str">
        <v/>
      </c>
      <c r="G324" s="33" t="str">
        <v/>
      </c>
      <c r="H324" s="43" t="e">
        <f ca="1"/>
        <v>#N/A</v>
      </c>
      <c r="I324" s="42" t="str">
        <f ca="1"/>
        <v/>
      </c>
      <c r="J324" s="54" t="s">
        <v>4</v>
      </c>
    </row>
    <row r="325" spans="1:10" x14ac:dyDescent="0.25">
      <c r="A325" s="56"/>
      <c r="B325" s="57"/>
      <c r="C325" s="111"/>
      <c r="D325" s="59"/>
      <c r="E325" s="271" t="str">
        <v/>
      </c>
      <c r="F325" s="43" t="str">
        <v/>
      </c>
      <c r="G325" s="33" t="str">
        <v/>
      </c>
      <c r="H325" s="43" t="e">
        <f ca="1"/>
        <v>#N/A</v>
      </c>
      <c r="I325" s="42" t="str">
        <f ca="1"/>
        <v/>
      </c>
      <c r="J325" s="54" t="s">
        <v>4</v>
      </c>
    </row>
    <row r="326" spans="1:10" x14ac:dyDescent="0.25">
      <c r="A326" s="56"/>
      <c r="B326" s="57"/>
      <c r="C326" s="111"/>
      <c r="D326" s="59"/>
      <c r="E326" s="271" t="str">
        <v/>
      </c>
      <c r="F326" s="43" t="str">
        <v/>
      </c>
      <c r="G326" s="33" t="str">
        <v/>
      </c>
      <c r="H326" s="43" t="e">
        <f ca="1"/>
        <v>#N/A</v>
      </c>
      <c r="I326" s="42" t="str">
        <f ca="1"/>
        <v/>
      </c>
      <c r="J326" s="54" t="s">
        <v>4</v>
      </c>
    </row>
    <row r="327" spans="1:10" x14ac:dyDescent="0.25">
      <c r="A327" s="56"/>
      <c r="B327" s="57"/>
      <c r="C327" s="111"/>
      <c r="D327" s="59"/>
      <c r="E327" s="271" t="str">
        <v/>
      </c>
      <c r="F327" s="43" t="str">
        <v/>
      </c>
      <c r="G327" s="33" t="str">
        <v/>
      </c>
      <c r="H327" s="43" t="e">
        <f ca="1"/>
        <v>#N/A</v>
      </c>
      <c r="I327" s="42" t="str">
        <f ca="1"/>
        <v/>
      </c>
      <c r="J327" s="54" t="s">
        <v>4</v>
      </c>
    </row>
    <row r="328" spans="1:10" x14ac:dyDescent="0.25">
      <c r="A328" s="56"/>
      <c r="B328" s="57"/>
      <c r="C328" s="111"/>
      <c r="D328" s="59"/>
      <c r="E328" s="271" t="str">
        <v/>
      </c>
      <c r="F328" s="43" t="str">
        <v/>
      </c>
      <c r="G328" s="33" t="str">
        <v/>
      </c>
      <c r="H328" s="43" t="e">
        <f ca="1"/>
        <v>#N/A</v>
      </c>
      <c r="I328" s="42" t="str">
        <f ca="1"/>
        <v/>
      </c>
      <c r="J328" s="54" t="s">
        <v>4</v>
      </c>
    </row>
    <row r="329" spans="1:10" x14ac:dyDescent="0.25">
      <c r="A329" s="56"/>
      <c r="B329" s="57"/>
      <c r="C329" s="111"/>
      <c r="D329" s="59"/>
      <c r="E329" s="271" t="str">
        <v/>
      </c>
      <c r="F329" s="43" t="str">
        <v/>
      </c>
      <c r="G329" s="33" t="str">
        <v/>
      </c>
      <c r="H329" s="43" t="e">
        <f ca="1"/>
        <v>#N/A</v>
      </c>
      <c r="I329" s="42" t="str">
        <f ca="1"/>
        <v/>
      </c>
      <c r="J329" s="54" t="s">
        <v>4</v>
      </c>
    </row>
    <row r="330" spans="1:10" x14ac:dyDescent="0.25">
      <c r="A330" s="56"/>
      <c r="B330" s="57"/>
      <c r="C330" s="111"/>
      <c r="D330" s="59"/>
      <c r="E330" s="271" t="str">
        <v/>
      </c>
      <c r="F330" s="43" t="str">
        <v/>
      </c>
      <c r="G330" s="33" t="str">
        <v/>
      </c>
      <c r="H330" s="43" t="e">
        <f ca="1"/>
        <v>#N/A</v>
      </c>
      <c r="I330" s="42" t="str">
        <f ca="1"/>
        <v/>
      </c>
      <c r="J330" s="54" t="s">
        <v>4</v>
      </c>
    </row>
    <row r="331" spans="1:10" x14ac:dyDescent="0.25">
      <c r="A331" s="56"/>
      <c r="B331" s="57"/>
      <c r="C331" s="111"/>
      <c r="D331" s="59"/>
      <c r="E331" s="271" t="str">
        <v/>
      </c>
      <c r="F331" s="43" t="str">
        <v/>
      </c>
      <c r="G331" s="33" t="str">
        <v/>
      </c>
      <c r="H331" s="43" t="e">
        <f ca="1"/>
        <v>#N/A</v>
      </c>
      <c r="I331" s="42" t="str">
        <f ca="1"/>
        <v/>
      </c>
      <c r="J331" s="54" t="s">
        <v>4</v>
      </c>
    </row>
    <row r="332" spans="1:10" x14ac:dyDescent="0.25">
      <c r="A332" s="56"/>
      <c r="B332" s="57"/>
      <c r="C332" s="111"/>
      <c r="D332" s="59"/>
      <c r="E332" s="271" t="str">
        <v/>
      </c>
      <c r="F332" s="43" t="str">
        <v/>
      </c>
      <c r="G332" s="33" t="str">
        <v/>
      </c>
      <c r="H332" s="43" t="e">
        <f ca="1"/>
        <v>#N/A</v>
      </c>
      <c r="I332" s="42" t="str">
        <f ca="1"/>
        <v/>
      </c>
      <c r="J332" s="54" t="s">
        <v>4</v>
      </c>
    </row>
    <row r="333" spans="1:10" x14ac:dyDescent="0.25">
      <c r="A333" s="56"/>
      <c r="B333" s="57"/>
      <c r="C333" s="111"/>
      <c r="D333" s="59"/>
      <c r="E333" s="271" t="str">
        <v/>
      </c>
      <c r="F333" s="43" t="str">
        <v/>
      </c>
      <c r="G333" s="33" t="str">
        <v/>
      </c>
      <c r="H333" s="43" t="e">
        <f ca="1"/>
        <v>#N/A</v>
      </c>
      <c r="I333" s="42" t="str">
        <f ca="1"/>
        <v/>
      </c>
      <c r="J333" s="54" t="s">
        <v>4</v>
      </c>
    </row>
    <row r="334" spans="1:10" x14ac:dyDescent="0.25">
      <c r="A334" s="56"/>
      <c r="B334" s="57"/>
      <c r="C334" s="111"/>
      <c r="D334" s="59"/>
      <c r="E334" s="271" t="str">
        <v/>
      </c>
      <c r="F334" s="43" t="str">
        <v/>
      </c>
      <c r="G334" s="33" t="str">
        <v/>
      </c>
      <c r="H334" s="43" t="e">
        <f ca="1"/>
        <v>#N/A</v>
      </c>
      <c r="I334" s="42" t="str">
        <f ca="1"/>
        <v/>
      </c>
      <c r="J334" s="54" t="s">
        <v>4</v>
      </c>
    </row>
    <row r="335" spans="1:10" x14ac:dyDescent="0.25">
      <c r="A335" s="56"/>
      <c r="B335" s="57"/>
      <c r="C335" s="111"/>
      <c r="D335" s="59"/>
      <c r="E335" s="271" t="str">
        <v/>
      </c>
      <c r="F335" s="43" t="str">
        <v/>
      </c>
      <c r="G335" s="33" t="str">
        <v/>
      </c>
      <c r="H335" s="43" t="e">
        <f ca="1"/>
        <v>#N/A</v>
      </c>
      <c r="I335" s="42" t="str">
        <f ca="1"/>
        <v/>
      </c>
      <c r="J335" s="54" t="s">
        <v>4</v>
      </c>
    </row>
    <row r="336" spans="1:10" x14ac:dyDescent="0.25">
      <c r="A336" s="56"/>
      <c r="B336" s="57"/>
      <c r="C336" s="111"/>
      <c r="D336" s="59"/>
      <c r="E336" s="271" t="str">
        <v/>
      </c>
      <c r="F336" s="43" t="str">
        <v/>
      </c>
      <c r="G336" s="33" t="str">
        <v/>
      </c>
      <c r="H336" s="43" t="e">
        <f ca="1"/>
        <v>#N/A</v>
      </c>
      <c r="I336" s="42" t="str">
        <f ca="1"/>
        <v/>
      </c>
      <c r="J336" s="54" t="s">
        <v>4</v>
      </c>
    </row>
    <row r="337" spans="1:10" x14ac:dyDescent="0.25">
      <c r="A337" s="56"/>
      <c r="B337" s="57"/>
      <c r="C337" s="111"/>
      <c r="D337" s="59"/>
      <c r="E337" s="271" t="str">
        <v/>
      </c>
      <c r="F337" s="43" t="str">
        <v/>
      </c>
      <c r="G337" s="33" t="str">
        <v/>
      </c>
      <c r="H337" s="43" t="e">
        <f ca="1"/>
        <v>#N/A</v>
      </c>
      <c r="I337" s="42" t="str">
        <f ca="1"/>
        <v/>
      </c>
      <c r="J337" s="54" t="s">
        <v>4</v>
      </c>
    </row>
    <row r="338" spans="1:10" x14ac:dyDescent="0.25">
      <c r="A338" s="56"/>
      <c r="B338" s="57"/>
      <c r="C338" s="111"/>
      <c r="D338" s="59"/>
      <c r="E338" s="271" t="str">
        <v/>
      </c>
      <c r="F338" s="43" t="str">
        <v/>
      </c>
      <c r="G338" s="33" t="str">
        <v/>
      </c>
      <c r="H338" s="43" t="e">
        <f ca="1"/>
        <v>#N/A</v>
      </c>
      <c r="I338" s="42" t="str">
        <f ca="1"/>
        <v/>
      </c>
      <c r="J338" s="54" t="s">
        <v>4</v>
      </c>
    </row>
    <row r="339" spans="1:10" x14ac:dyDescent="0.25">
      <c r="A339" s="56"/>
      <c r="B339" s="57"/>
      <c r="C339" s="111"/>
      <c r="D339" s="59"/>
      <c r="E339" s="271" t="str">
        <v/>
      </c>
      <c r="F339" s="43" t="str">
        <v/>
      </c>
      <c r="G339" s="33" t="str">
        <v/>
      </c>
      <c r="H339" s="43" t="e">
        <f ca="1"/>
        <v>#N/A</v>
      </c>
      <c r="I339" s="42" t="str">
        <f ca="1"/>
        <v/>
      </c>
      <c r="J339" s="54" t="s">
        <v>4</v>
      </c>
    </row>
    <row r="340" spans="1:10" x14ac:dyDescent="0.25">
      <c r="A340" s="56"/>
      <c r="B340" s="57"/>
      <c r="C340" s="111"/>
      <c r="D340" s="59"/>
      <c r="E340" s="271" t="str">
        <v/>
      </c>
      <c r="F340" s="43" t="str">
        <v/>
      </c>
      <c r="G340" s="33" t="str">
        <v/>
      </c>
      <c r="H340" s="43" t="e">
        <f ca="1"/>
        <v>#N/A</v>
      </c>
      <c r="I340" s="42" t="str">
        <f ca="1"/>
        <v/>
      </c>
      <c r="J340" s="54" t="s">
        <v>4</v>
      </c>
    </row>
    <row r="341" spans="1:10" x14ac:dyDescent="0.25">
      <c r="A341" s="56"/>
      <c r="B341" s="57"/>
      <c r="C341" s="111"/>
      <c r="D341" s="59"/>
      <c r="E341" s="271" t="str">
        <v/>
      </c>
      <c r="F341" s="43" t="str">
        <v/>
      </c>
      <c r="G341" s="33" t="str">
        <v/>
      </c>
      <c r="H341" s="43" t="e">
        <f ca="1"/>
        <v>#N/A</v>
      </c>
      <c r="I341" s="42" t="str">
        <f ca="1"/>
        <v/>
      </c>
      <c r="J341" s="54" t="s">
        <v>4</v>
      </c>
    </row>
    <row r="342" spans="1:10" x14ac:dyDescent="0.25">
      <c r="A342" s="56"/>
      <c r="B342" s="57"/>
      <c r="C342" s="111"/>
      <c r="D342" s="59"/>
      <c r="E342" s="271" t="str">
        <v/>
      </c>
      <c r="F342" s="43" t="str">
        <v/>
      </c>
      <c r="G342" s="33" t="str">
        <v/>
      </c>
      <c r="H342" s="43" t="e">
        <f ca="1"/>
        <v>#N/A</v>
      </c>
      <c r="I342" s="42" t="str">
        <f ca="1"/>
        <v/>
      </c>
      <c r="J342" s="54" t="s">
        <v>4</v>
      </c>
    </row>
    <row r="343" spans="1:10" x14ac:dyDescent="0.25">
      <c r="A343" s="56"/>
      <c r="B343" s="57"/>
      <c r="C343" s="111"/>
      <c r="D343" s="59"/>
      <c r="E343" s="271" t="str">
        <v/>
      </c>
      <c r="F343" s="43" t="str">
        <v/>
      </c>
      <c r="G343" s="33" t="str">
        <v/>
      </c>
      <c r="H343" s="43" t="e">
        <f ca="1"/>
        <v>#N/A</v>
      </c>
      <c r="I343" s="42" t="str">
        <f ca="1"/>
        <v/>
      </c>
      <c r="J343" s="54" t="s">
        <v>4</v>
      </c>
    </row>
    <row r="344" spans="1:10" x14ac:dyDescent="0.25">
      <c r="A344" s="56"/>
      <c r="B344" s="57"/>
      <c r="C344" s="111"/>
      <c r="D344" s="59"/>
      <c r="E344" s="271" t="str">
        <v/>
      </c>
      <c r="F344" s="43" t="str">
        <v/>
      </c>
      <c r="G344" s="33" t="str">
        <v/>
      </c>
      <c r="H344" s="43" t="e">
        <f ca="1"/>
        <v>#N/A</v>
      </c>
      <c r="I344" s="42" t="str">
        <f ca="1"/>
        <v/>
      </c>
      <c r="J344" s="54" t="s">
        <v>4</v>
      </c>
    </row>
    <row r="345" spans="1:10" x14ac:dyDescent="0.25">
      <c r="A345" s="56"/>
      <c r="B345" s="57"/>
      <c r="C345" s="111"/>
      <c r="D345" s="59"/>
      <c r="E345" s="271" t="str">
        <v/>
      </c>
      <c r="F345" s="43" t="str">
        <v/>
      </c>
      <c r="G345" s="33" t="str">
        <v/>
      </c>
      <c r="H345" s="43" t="e">
        <f ca="1"/>
        <v>#N/A</v>
      </c>
      <c r="I345" s="42" t="str">
        <f ca="1"/>
        <v/>
      </c>
      <c r="J345" s="54" t="s">
        <v>4</v>
      </c>
    </row>
    <row r="346" spans="1:10" x14ac:dyDescent="0.25">
      <c r="A346" s="56"/>
      <c r="B346" s="57"/>
      <c r="C346" s="111"/>
      <c r="D346" s="59"/>
      <c r="E346" s="271" t="str">
        <v/>
      </c>
      <c r="F346" s="43" t="str">
        <v/>
      </c>
      <c r="G346" s="33" t="str">
        <v/>
      </c>
      <c r="H346" s="43" t="e">
        <f ca="1"/>
        <v>#N/A</v>
      </c>
      <c r="I346" s="42" t="str">
        <f ca="1"/>
        <v/>
      </c>
      <c r="J346" s="54" t="s">
        <v>4</v>
      </c>
    </row>
    <row r="347" spans="1:10" x14ac:dyDescent="0.25">
      <c r="A347" s="56"/>
      <c r="B347" s="57"/>
      <c r="C347" s="111"/>
      <c r="D347" s="59"/>
      <c r="E347" s="271" t="str">
        <v/>
      </c>
      <c r="F347" s="43" t="str">
        <v/>
      </c>
      <c r="G347" s="33" t="str">
        <v/>
      </c>
      <c r="H347" s="43" t="e">
        <f ca="1"/>
        <v>#N/A</v>
      </c>
      <c r="I347" s="42" t="str">
        <f ca="1"/>
        <v/>
      </c>
      <c r="J347" s="54" t="s">
        <v>4</v>
      </c>
    </row>
    <row r="348" spans="1:10" x14ac:dyDescent="0.25">
      <c r="A348" s="56"/>
      <c r="B348" s="57"/>
      <c r="C348" s="111"/>
      <c r="D348" s="59"/>
      <c r="E348" s="271" t="str">
        <v/>
      </c>
      <c r="F348" s="43" t="str">
        <v/>
      </c>
      <c r="G348" s="33" t="str">
        <v/>
      </c>
      <c r="H348" s="43" t="e">
        <f ca="1"/>
        <v>#N/A</v>
      </c>
      <c r="I348" s="42" t="str">
        <f ca="1"/>
        <v/>
      </c>
      <c r="J348" s="54" t="s">
        <v>4</v>
      </c>
    </row>
    <row r="349" spans="1:10" x14ac:dyDescent="0.25">
      <c r="A349" s="56"/>
      <c r="B349" s="57"/>
      <c r="C349" s="111"/>
      <c r="D349" s="59"/>
      <c r="E349" s="271" t="str">
        <v/>
      </c>
      <c r="F349" s="43" t="str">
        <v/>
      </c>
      <c r="G349" s="33" t="str">
        <v/>
      </c>
      <c r="H349" s="43" t="e">
        <f ca="1"/>
        <v>#N/A</v>
      </c>
      <c r="I349" s="42" t="str">
        <f ca="1"/>
        <v/>
      </c>
      <c r="J349" s="54" t="s">
        <v>4</v>
      </c>
    </row>
    <row r="350" spans="1:10" x14ac:dyDescent="0.25">
      <c r="A350" s="56"/>
      <c r="B350" s="57"/>
      <c r="C350" s="111"/>
      <c r="D350" s="59"/>
      <c r="E350" s="271" t="str">
        <v/>
      </c>
      <c r="F350" s="43" t="str">
        <v/>
      </c>
      <c r="G350" s="33" t="str">
        <v/>
      </c>
      <c r="H350" s="43" t="e">
        <f ca="1"/>
        <v>#N/A</v>
      </c>
      <c r="I350" s="42" t="str">
        <f ca="1"/>
        <v/>
      </c>
      <c r="J350" s="54" t="s">
        <v>4</v>
      </c>
    </row>
    <row r="351" spans="1:10" x14ac:dyDescent="0.25">
      <c r="A351" s="56"/>
      <c r="B351" s="57"/>
      <c r="C351" s="111"/>
      <c r="D351" s="59"/>
      <c r="E351" s="271" t="str">
        <v/>
      </c>
      <c r="F351" s="43" t="str">
        <v/>
      </c>
      <c r="G351" s="33" t="str">
        <v/>
      </c>
      <c r="H351" s="43" t="e">
        <f ca="1"/>
        <v>#N/A</v>
      </c>
      <c r="I351" s="42" t="str">
        <f ca="1"/>
        <v/>
      </c>
      <c r="J351" s="54" t="s">
        <v>4</v>
      </c>
    </row>
    <row r="352" spans="1:10" x14ac:dyDescent="0.25">
      <c r="A352" s="56"/>
      <c r="B352" s="57"/>
      <c r="C352" s="111"/>
      <c r="D352" s="59"/>
      <c r="E352" s="271" t="str">
        <v/>
      </c>
      <c r="F352" s="43" t="str">
        <v/>
      </c>
      <c r="G352" s="33" t="str">
        <v/>
      </c>
      <c r="H352" s="43" t="e">
        <f ca="1"/>
        <v>#N/A</v>
      </c>
      <c r="I352" s="42" t="str">
        <f ca="1"/>
        <v/>
      </c>
      <c r="J352" s="54" t="s">
        <v>4</v>
      </c>
    </row>
    <row r="353" spans="1:10" x14ac:dyDescent="0.25">
      <c r="A353" s="56"/>
      <c r="B353" s="57"/>
      <c r="C353" s="111"/>
      <c r="D353" s="59"/>
      <c r="E353" s="271" t="str">
        <v/>
      </c>
      <c r="F353" s="43" t="str">
        <v/>
      </c>
      <c r="G353" s="33" t="str">
        <v/>
      </c>
      <c r="H353" s="43" t="e">
        <f ca="1"/>
        <v>#N/A</v>
      </c>
      <c r="I353" s="42" t="str">
        <f ca="1"/>
        <v/>
      </c>
      <c r="J353" s="54" t="s">
        <v>4</v>
      </c>
    </row>
    <row r="354" spans="1:10" x14ac:dyDescent="0.25">
      <c r="A354" s="56"/>
      <c r="B354" s="57"/>
      <c r="C354" s="111"/>
      <c r="D354" s="59"/>
      <c r="E354" s="271" t="str">
        <v/>
      </c>
      <c r="F354" s="43" t="str">
        <v/>
      </c>
      <c r="G354" s="33" t="str">
        <v/>
      </c>
      <c r="H354" s="43" t="e">
        <f ca="1"/>
        <v>#N/A</v>
      </c>
      <c r="I354" s="42" t="str">
        <f ca="1"/>
        <v/>
      </c>
      <c r="J354" s="54" t="s">
        <v>4</v>
      </c>
    </row>
    <row r="355" spans="1:10" x14ac:dyDescent="0.25">
      <c r="A355" s="56"/>
      <c r="B355" s="57"/>
      <c r="C355" s="111"/>
      <c r="D355" s="59"/>
      <c r="E355" s="271" t="str">
        <v/>
      </c>
      <c r="F355" s="43" t="str">
        <v/>
      </c>
      <c r="G355" s="33" t="str">
        <v/>
      </c>
      <c r="H355" s="43" t="e">
        <f ca="1"/>
        <v>#N/A</v>
      </c>
      <c r="I355" s="42" t="str">
        <f ca="1"/>
        <v/>
      </c>
      <c r="J355" s="54" t="s">
        <v>4</v>
      </c>
    </row>
    <row r="356" spans="1:10" x14ac:dyDescent="0.25">
      <c r="A356" s="56"/>
      <c r="B356" s="57"/>
      <c r="C356" s="111"/>
      <c r="D356" s="59"/>
      <c r="E356" s="271" t="str">
        <v/>
      </c>
      <c r="F356" s="43" t="str">
        <v/>
      </c>
      <c r="G356" s="33" t="str">
        <v/>
      </c>
      <c r="H356" s="43" t="e">
        <f ca="1"/>
        <v>#N/A</v>
      </c>
      <c r="I356" s="42" t="str">
        <f ca="1"/>
        <v/>
      </c>
      <c r="J356" s="54" t="s">
        <v>4</v>
      </c>
    </row>
    <row r="357" spans="1:10" x14ac:dyDescent="0.25">
      <c r="A357" s="56"/>
      <c r="B357" s="57"/>
      <c r="C357" s="111"/>
      <c r="D357" s="59"/>
      <c r="E357" s="271" t="str">
        <v/>
      </c>
      <c r="F357" s="43" t="str">
        <v/>
      </c>
      <c r="G357" s="33" t="str">
        <v/>
      </c>
      <c r="H357" s="43" t="e">
        <f ca="1"/>
        <v>#N/A</v>
      </c>
      <c r="I357" s="42" t="str">
        <f ca="1"/>
        <v/>
      </c>
      <c r="J357" s="54" t="s">
        <v>4</v>
      </c>
    </row>
    <row r="358" spans="1:10" x14ac:dyDescent="0.25">
      <c r="A358" s="56"/>
      <c r="B358" s="57"/>
      <c r="C358" s="111"/>
      <c r="D358" s="59"/>
      <c r="E358" s="271" t="str">
        <v/>
      </c>
      <c r="F358" s="43" t="str">
        <v/>
      </c>
      <c r="G358" s="33" t="str">
        <v/>
      </c>
      <c r="H358" s="43" t="e">
        <f ca="1"/>
        <v>#N/A</v>
      </c>
      <c r="I358" s="42" t="str">
        <f ca="1"/>
        <v/>
      </c>
      <c r="J358" s="54" t="s">
        <v>4</v>
      </c>
    </row>
    <row r="359" spans="1:10" x14ac:dyDescent="0.25">
      <c r="A359" s="56"/>
      <c r="B359" s="57"/>
      <c r="C359" s="111"/>
      <c r="D359" s="59"/>
      <c r="E359" s="271" t="str">
        <v/>
      </c>
      <c r="F359" s="43" t="str">
        <v/>
      </c>
      <c r="G359" s="33" t="str">
        <v/>
      </c>
      <c r="H359" s="43" t="e">
        <f ca="1"/>
        <v>#N/A</v>
      </c>
      <c r="I359" s="42" t="str">
        <f ca="1"/>
        <v/>
      </c>
      <c r="J359" s="54" t="s">
        <v>4</v>
      </c>
    </row>
    <row r="360" spans="1:10" x14ac:dyDescent="0.25">
      <c r="A360" s="56"/>
      <c r="B360" s="57"/>
      <c r="C360" s="111"/>
      <c r="D360" s="59"/>
      <c r="E360" s="271" t="str">
        <v/>
      </c>
      <c r="F360" s="43" t="str">
        <v/>
      </c>
      <c r="G360" s="33" t="str">
        <v/>
      </c>
      <c r="H360" s="43" t="e">
        <f ca="1"/>
        <v>#N/A</v>
      </c>
      <c r="I360" s="42" t="str">
        <f ca="1"/>
        <v/>
      </c>
      <c r="J360" s="54" t="s">
        <v>4</v>
      </c>
    </row>
    <row r="361" spans="1:10" x14ac:dyDescent="0.25">
      <c r="A361" s="56"/>
      <c r="B361" s="57"/>
      <c r="C361" s="111"/>
      <c r="D361" s="59"/>
      <c r="E361" s="271" t="str">
        <v/>
      </c>
      <c r="F361" s="43" t="str">
        <v/>
      </c>
      <c r="G361" s="33" t="str">
        <v/>
      </c>
      <c r="H361" s="43" t="e">
        <f ca="1"/>
        <v>#N/A</v>
      </c>
      <c r="I361" s="42" t="str">
        <f ca="1"/>
        <v/>
      </c>
      <c r="J361" s="54" t="s">
        <v>4</v>
      </c>
    </row>
    <row r="362" spans="1:10" x14ac:dyDescent="0.25">
      <c r="A362" s="56"/>
      <c r="B362" s="57"/>
      <c r="C362" s="111"/>
      <c r="D362" s="59"/>
      <c r="E362" s="271" t="str">
        <v/>
      </c>
      <c r="F362" s="43" t="str">
        <v/>
      </c>
      <c r="G362" s="33" t="str">
        <v/>
      </c>
      <c r="H362" s="43" t="e">
        <f ca="1"/>
        <v>#N/A</v>
      </c>
      <c r="I362" s="42" t="str">
        <f ca="1"/>
        <v/>
      </c>
      <c r="J362" s="54" t="s">
        <v>4</v>
      </c>
    </row>
    <row r="363" spans="1:10" x14ac:dyDescent="0.25">
      <c r="A363" s="56"/>
      <c r="B363" s="57"/>
      <c r="C363" s="111"/>
      <c r="D363" s="59"/>
      <c r="E363" s="271" t="str">
        <v/>
      </c>
      <c r="F363" s="43" t="str">
        <v/>
      </c>
      <c r="G363" s="33" t="str">
        <v/>
      </c>
      <c r="H363" s="43" t="e">
        <f ca="1"/>
        <v>#N/A</v>
      </c>
      <c r="I363" s="42" t="str">
        <f ca="1"/>
        <v/>
      </c>
      <c r="J363" s="54" t="s">
        <v>4</v>
      </c>
    </row>
    <row r="364" spans="1:10" x14ac:dyDescent="0.25">
      <c r="A364" s="56"/>
      <c r="B364" s="57"/>
      <c r="C364" s="111"/>
      <c r="D364" s="59"/>
      <c r="E364" s="271" t="str">
        <v/>
      </c>
      <c r="F364" s="43" t="str">
        <v/>
      </c>
      <c r="G364" s="33" t="str">
        <v/>
      </c>
      <c r="H364" s="43" t="e">
        <f ca="1"/>
        <v>#N/A</v>
      </c>
      <c r="I364" s="42" t="str">
        <f ca="1"/>
        <v/>
      </c>
      <c r="J364" s="54" t="s">
        <v>4</v>
      </c>
    </row>
    <row r="365" spans="1:10" x14ac:dyDescent="0.25">
      <c r="A365" s="56"/>
      <c r="B365" s="57"/>
      <c r="C365" s="111"/>
      <c r="D365" s="59"/>
      <c r="E365" s="271" t="str">
        <v/>
      </c>
      <c r="F365" s="43" t="str">
        <v/>
      </c>
      <c r="G365" s="33" t="str">
        <v/>
      </c>
      <c r="H365" s="43" t="e">
        <f ca="1"/>
        <v>#N/A</v>
      </c>
      <c r="I365" s="42" t="str">
        <f ca="1"/>
        <v/>
      </c>
      <c r="J365" s="54" t="s">
        <v>4</v>
      </c>
    </row>
    <row r="366" spans="1:10" x14ac:dyDescent="0.25">
      <c r="A366" s="56"/>
      <c r="B366" s="57"/>
      <c r="C366" s="111"/>
      <c r="D366" s="59"/>
      <c r="E366" s="271" t="str">
        <v/>
      </c>
      <c r="F366" s="43" t="str">
        <v/>
      </c>
      <c r="G366" s="33" t="str">
        <v/>
      </c>
      <c r="H366" s="43" t="e">
        <f ca="1"/>
        <v>#N/A</v>
      </c>
      <c r="I366" s="42" t="str">
        <f ca="1"/>
        <v/>
      </c>
      <c r="J366" s="54" t="s">
        <v>4</v>
      </c>
    </row>
    <row r="367" spans="1:10" x14ac:dyDescent="0.25">
      <c r="A367" s="56"/>
      <c r="B367" s="57"/>
      <c r="C367" s="111"/>
      <c r="D367" s="59"/>
      <c r="E367" s="271" t="str">
        <v/>
      </c>
      <c r="F367" s="43" t="str">
        <v/>
      </c>
      <c r="G367" s="33" t="str">
        <v/>
      </c>
      <c r="H367" s="43" t="e">
        <f ca="1"/>
        <v>#N/A</v>
      </c>
      <c r="I367" s="42" t="str">
        <f ca="1"/>
        <v/>
      </c>
      <c r="J367" s="54" t="s">
        <v>4</v>
      </c>
    </row>
    <row r="368" spans="1:10" x14ac:dyDescent="0.25">
      <c r="A368" s="56"/>
      <c r="B368" s="57"/>
      <c r="C368" s="111"/>
      <c r="D368" s="59"/>
      <c r="E368" s="271" t="str">
        <v/>
      </c>
      <c r="F368" s="43" t="str">
        <v/>
      </c>
      <c r="G368" s="33" t="str">
        <v/>
      </c>
      <c r="H368" s="43" t="e">
        <f ca="1"/>
        <v>#N/A</v>
      </c>
      <c r="I368" s="42" t="str">
        <f ca="1"/>
        <v/>
      </c>
      <c r="J368" s="54" t="s">
        <v>4</v>
      </c>
    </row>
    <row r="369" spans="1:10" x14ac:dyDescent="0.25">
      <c r="A369" s="56"/>
      <c r="B369" s="57"/>
      <c r="C369" s="111"/>
      <c r="D369" s="59"/>
      <c r="E369" s="271" t="str">
        <v/>
      </c>
      <c r="F369" s="43" t="str">
        <v/>
      </c>
      <c r="G369" s="33" t="str">
        <v/>
      </c>
      <c r="H369" s="43" t="e">
        <f ca="1"/>
        <v>#N/A</v>
      </c>
      <c r="I369" s="42" t="str">
        <f ca="1"/>
        <v/>
      </c>
      <c r="J369" s="54" t="s">
        <v>4</v>
      </c>
    </row>
    <row r="370" spans="1:10" x14ac:dyDescent="0.25">
      <c r="A370" s="56"/>
      <c r="B370" s="57"/>
      <c r="C370" s="111"/>
      <c r="D370" s="59"/>
      <c r="E370" s="271" t="str">
        <v/>
      </c>
      <c r="F370" s="43" t="str">
        <v/>
      </c>
      <c r="G370" s="33" t="str">
        <v/>
      </c>
      <c r="H370" s="43" t="e">
        <f ca="1"/>
        <v>#N/A</v>
      </c>
      <c r="I370" s="42" t="str">
        <f ca="1"/>
        <v/>
      </c>
      <c r="J370" s="54" t="s">
        <v>4</v>
      </c>
    </row>
    <row r="371" spans="1:10" x14ac:dyDescent="0.25">
      <c r="A371" s="56"/>
      <c r="B371" s="57"/>
      <c r="C371" s="111"/>
      <c r="D371" s="59"/>
      <c r="E371" s="271" t="str">
        <v/>
      </c>
      <c r="F371" s="43" t="str">
        <v/>
      </c>
      <c r="G371" s="33" t="str">
        <v/>
      </c>
      <c r="H371" s="43" t="e">
        <f ca="1"/>
        <v>#N/A</v>
      </c>
      <c r="I371" s="42" t="str">
        <f ca="1"/>
        <v/>
      </c>
      <c r="J371" s="54" t="s">
        <v>4</v>
      </c>
    </row>
    <row r="372" spans="1:10" x14ac:dyDescent="0.25">
      <c r="A372" s="56"/>
      <c r="B372" s="57"/>
      <c r="C372" s="111"/>
      <c r="D372" s="59"/>
      <c r="E372" s="271" t="str">
        <v/>
      </c>
      <c r="F372" s="43" t="str">
        <v/>
      </c>
      <c r="G372" s="33" t="str">
        <v/>
      </c>
      <c r="H372" s="43" t="e">
        <f ca="1"/>
        <v>#N/A</v>
      </c>
      <c r="I372" s="42" t="str">
        <f ca="1"/>
        <v/>
      </c>
      <c r="J372" s="54" t="s">
        <v>4</v>
      </c>
    </row>
    <row r="373" spans="1:10" x14ac:dyDescent="0.25">
      <c r="A373" s="56"/>
      <c r="B373" s="57"/>
      <c r="C373" s="111"/>
      <c r="D373" s="59"/>
      <c r="E373" s="271" t="str">
        <v/>
      </c>
      <c r="F373" s="43" t="str">
        <v/>
      </c>
      <c r="G373" s="33" t="str">
        <v/>
      </c>
      <c r="H373" s="43" t="e">
        <f ca="1"/>
        <v>#N/A</v>
      </c>
      <c r="I373" s="42" t="str">
        <f ca="1"/>
        <v/>
      </c>
      <c r="J373" s="54" t="s">
        <v>4</v>
      </c>
    </row>
    <row r="374" spans="1:10" x14ac:dyDescent="0.25">
      <c r="A374" s="56"/>
      <c r="B374" s="57"/>
      <c r="C374" s="111"/>
      <c r="D374" s="59"/>
      <c r="E374" s="271" t="str">
        <v/>
      </c>
      <c r="F374" s="43" t="str">
        <v/>
      </c>
      <c r="G374" s="33" t="str">
        <v/>
      </c>
      <c r="H374" s="43" t="e">
        <f ca="1"/>
        <v>#N/A</v>
      </c>
      <c r="I374" s="42" t="str">
        <f ca="1"/>
        <v/>
      </c>
      <c r="J374" s="54" t="s">
        <v>4</v>
      </c>
    </row>
    <row r="375" spans="1:10" x14ac:dyDescent="0.25">
      <c r="A375" s="56"/>
      <c r="B375" s="57"/>
      <c r="C375" s="111"/>
      <c r="D375" s="59"/>
      <c r="E375" s="271" t="str">
        <v/>
      </c>
      <c r="F375" s="43" t="str">
        <v/>
      </c>
      <c r="G375" s="33" t="str">
        <v/>
      </c>
      <c r="H375" s="43" t="e">
        <f ca="1"/>
        <v>#N/A</v>
      </c>
      <c r="I375" s="42" t="str">
        <f ca="1"/>
        <v/>
      </c>
      <c r="J375" s="54" t="s">
        <v>4</v>
      </c>
    </row>
    <row r="376" spans="1:10" x14ac:dyDescent="0.25">
      <c r="A376" s="56"/>
      <c r="B376" s="57"/>
      <c r="C376" s="111"/>
      <c r="D376" s="59"/>
      <c r="E376" s="271" t="str">
        <v/>
      </c>
      <c r="F376" s="43" t="str">
        <v/>
      </c>
      <c r="G376" s="33" t="str">
        <v/>
      </c>
      <c r="H376" s="43" t="e">
        <f ca="1"/>
        <v>#N/A</v>
      </c>
      <c r="I376" s="42" t="str">
        <f ca="1"/>
        <v/>
      </c>
      <c r="J376" s="54" t="s">
        <v>4</v>
      </c>
    </row>
    <row r="377" spans="1:10" x14ac:dyDescent="0.25">
      <c r="A377" s="56"/>
      <c r="B377" s="57"/>
      <c r="C377" s="111"/>
      <c r="D377" s="59"/>
      <c r="E377" s="271" t="str">
        <v/>
      </c>
      <c r="F377" s="43" t="str">
        <v/>
      </c>
      <c r="G377" s="33" t="str">
        <v/>
      </c>
      <c r="H377" s="43" t="e">
        <f ca="1"/>
        <v>#N/A</v>
      </c>
      <c r="I377" s="42" t="str">
        <f ca="1"/>
        <v/>
      </c>
      <c r="J377" s="54" t="s">
        <v>4</v>
      </c>
    </row>
    <row r="378" spans="1:10" x14ac:dyDescent="0.25">
      <c r="A378" s="56"/>
      <c r="B378" s="57"/>
      <c r="C378" s="111"/>
      <c r="D378" s="59"/>
      <c r="E378" s="271" t="str">
        <v/>
      </c>
      <c r="F378" s="43" t="str">
        <v/>
      </c>
      <c r="G378" s="33" t="str">
        <v/>
      </c>
      <c r="H378" s="43" t="e">
        <f ca="1"/>
        <v>#N/A</v>
      </c>
      <c r="I378" s="42" t="str">
        <f ca="1"/>
        <v/>
      </c>
      <c r="J378" s="54" t="s">
        <v>4</v>
      </c>
    </row>
    <row r="379" spans="1:10" x14ac:dyDescent="0.25">
      <c r="A379" s="56"/>
      <c r="B379" s="57"/>
      <c r="C379" s="111"/>
      <c r="D379" s="59"/>
      <c r="E379" s="271" t="str">
        <v/>
      </c>
      <c r="F379" s="43" t="str">
        <v/>
      </c>
      <c r="G379" s="33" t="str">
        <v/>
      </c>
      <c r="H379" s="43" t="e">
        <f ca="1"/>
        <v>#N/A</v>
      </c>
      <c r="I379" s="42" t="str">
        <f ca="1"/>
        <v/>
      </c>
      <c r="J379" s="54" t="s">
        <v>4</v>
      </c>
    </row>
    <row r="380" spans="1:10" x14ac:dyDescent="0.25">
      <c r="A380" s="56"/>
      <c r="B380" s="57"/>
      <c r="C380" s="111"/>
      <c r="D380" s="59"/>
      <c r="E380" s="271" t="str">
        <v/>
      </c>
      <c r="F380" s="43" t="str">
        <v/>
      </c>
      <c r="G380" s="33" t="str">
        <v/>
      </c>
      <c r="H380" s="43" t="e">
        <f ca="1"/>
        <v>#N/A</v>
      </c>
      <c r="I380" s="42" t="str">
        <f ca="1"/>
        <v/>
      </c>
      <c r="J380" s="54" t="s">
        <v>4</v>
      </c>
    </row>
    <row r="381" spans="1:10" x14ac:dyDescent="0.25">
      <c r="A381" s="56"/>
      <c r="B381" s="57"/>
      <c r="C381" s="111"/>
      <c r="D381" s="59"/>
      <c r="E381" s="271" t="str">
        <v/>
      </c>
      <c r="F381" s="43" t="str">
        <v/>
      </c>
      <c r="G381" s="33" t="str">
        <v/>
      </c>
      <c r="H381" s="43" t="e">
        <f ca="1"/>
        <v>#N/A</v>
      </c>
      <c r="I381" s="42" t="str">
        <f ca="1"/>
        <v/>
      </c>
      <c r="J381" s="54" t="s">
        <v>4</v>
      </c>
    </row>
    <row r="382" spans="1:10" x14ac:dyDescent="0.25">
      <c r="A382" s="56"/>
      <c r="B382" s="57"/>
      <c r="C382" s="111"/>
      <c r="D382" s="59"/>
      <c r="E382" s="271" t="str">
        <v/>
      </c>
      <c r="F382" s="43" t="str">
        <v/>
      </c>
      <c r="G382" s="33" t="str">
        <v/>
      </c>
      <c r="H382" s="43" t="e">
        <f ca="1"/>
        <v>#N/A</v>
      </c>
      <c r="I382" s="42" t="str">
        <f ca="1"/>
        <v/>
      </c>
      <c r="J382" s="54" t="s">
        <v>4</v>
      </c>
    </row>
    <row r="383" spans="1:10" x14ac:dyDescent="0.25">
      <c r="A383" s="56"/>
      <c r="B383" s="57"/>
      <c r="C383" s="111"/>
      <c r="D383" s="59"/>
      <c r="E383" s="271" t="str">
        <v/>
      </c>
      <c r="F383" s="43" t="str">
        <v/>
      </c>
      <c r="G383" s="33" t="str">
        <v/>
      </c>
      <c r="H383" s="43" t="e">
        <f ca="1"/>
        <v>#N/A</v>
      </c>
      <c r="I383" s="42" t="str">
        <f ca="1"/>
        <v/>
      </c>
      <c r="J383" s="54" t="s">
        <v>4</v>
      </c>
    </row>
    <row r="384" spans="1:10" x14ac:dyDescent="0.25">
      <c r="A384" s="56"/>
      <c r="B384" s="57"/>
      <c r="C384" s="111"/>
      <c r="D384" s="59"/>
      <c r="E384" s="271" t="str">
        <v/>
      </c>
      <c r="F384" s="43" t="str">
        <v/>
      </c>
      <c r="G384" s="33" t="str">
        <v/>
      </c>
      <c r="H384" s="43" t="e">
        <f ca="1"/>
        <v>#N/A</v>
      </c>
      <c r="I384" s="42" t="str">
        <f ca="1"/>
        <v/>
      </c>
      <c r="J384" s="54" t="s">
        <v>4</v>
      </c>
    </row>
    <row r="385" spans="1:10" x14ac:dyDescent="0.25">
      <c r="A385" s="56"/>
      <c r="B385" s="57"/>
      <c r="C385" s="111"/>
      <c r="D385" s="59"/>
      <c r="E385" s="271" t="str">
        <v/>
      </c>
      <c r="F385" s="43" t="str">
        <v/>
      </c>
      <c r="G385" s="33" t="str">
        <v/>
      </c>
      <c r="H385" s="43" t="e">
        <f ca="1"/>
        <v>#N/A</v>
      </c>
      <c r="I385" s="42" t="str">
        <f ca="1"/>
        <v/>
      </c>
      <c r="J385" s="54" t="s">
        <v>4</v>
      </c>
    </row>
    <row r="386" spans="1:10" x14ac:dyDescent="0.25">
      <c r="A386" s="56"/>
      <c r="B386" s="57"/>
      <c r="C386" s="111"/>
      <c r="D386" s="59"/>
      <c r="E386" s="271" t="str">
        <v/>
      </c>
      <c r="F386" s="43" t="str">
        <v/>
      </c>
      <c r="G386" s="33" t="str">
        <v/>
      </c>
      <c r="H386" s="43" t="e">
        <f ca="1"/>
        <v>#N/A</v>
      </c>
      <c r="I386" s="42" t="str">
        <f ca="1"/>
        <v/>
      </c>
      <c r="J386" s="54" t="s">
        <v>4</v>
      </c>
    </row>
    <row r="387" spans="1:10" x14ac:dyDescent="0.25">
      <c r="A387" s="56"/>
      <c r="B387" s="57"/>
      <c r="C387" s="111"/>
      <c r="D387" s="59"/>
      <c r="E387" s="271" t="str">
        <v/>
      </c>
      <c r="F387" s="43" t="str">
        <v/>
      </c>
      <c r="G387" s="33" t="str">
        <v/>
      </c>
      <c r="H387" s="43" t="e">
        <f ca="1"/>
        <v>#N/A</v>
      </c>
      <c r="I387" s="42" t="str">
        <f ca="1"/>
        <v/>
      </c>
      <c r="J387" s="54" t="s">
        <v>4</v>
      </c>
    </row>
    <row r="388" spans="1:10" x14ac:dyDescent="0.25">
      <c r="A388" s="56"/>
      <c r="B388" s="57"/>
      <c r="C388" s="111"/>
      <c r="D388" s="59"/>
      <c r="E388" s="271" t="str">
        <v/>
      </c>
      <c r="F388" s="43" t="str">
        <v/>
      </c>
      <c r="G388" s="33" t="str">
        <v/>
      </c>
      <c r="H388" s="43" t="e">
        <f ca="1"/>
        <v>#N/A</v>
      </c>
      <c r="I388" s="42" t="str">
        <f ca="1"/>
        <v/>
      </c>
      <c r="J388" s="54" t="s">
        <v>4</v>
      </c>
    </row>
    <row r="389" spans="1:10" x14ac:dyDescent="0.25">
      <c r="A389" s="56"/>
      <c r="B389" s="57"/>
      <c r="C389" s="111"/>
      <c r="D389" s="59"/>
      <c r="E389" s="271" t="str">
        <v/>
      </c>
      <c r="F389" s="43" t="str">
        <v/>
      </c>
      <c r="G389" s="33" t="str">
        <v/>
      </c>
      <c r="H389" s="43" t="e">
        <f ca="1"/>
        <v>#N/A</v>
      </c>
      <c r="I389" s="42" t="str">
        <f ca="1"/>
        <v/>
      </c>
      <c r="J389" s="54" t="s">
        <v>4</v>
      </c>
    </row>
    <row r="390" spans="1:10" x14ac:dyDescent="0.25">
      <c r="A390" s="56"/>
      <c r="B390" s="57"/>
      <c r="C390" s="111"/>
      <c r="D390" s="59"/>
      <c r="E390" s="271" t="str">
        <v/>
      </c>
      <c r="F390" s="43" t="str">
        <v/>
      </c>
      <c r="G390" s="33" t="str">
        <v/>
      </c>
      <c r="H390" s="43" t="e">
        <f ca="1"/>
        <v>#N/A</v>
      </c>
      <c r="I390" s="42" t="str">
        <f ca="1"/>
        <v/>
      </c>
      <c r="J390" s="54" t="s">
        <v>4</v>
      </c>
    </row>
    <row r="391" spans="1:10" x14ac:dyDescent="0.25">
      <c r="A391" s="56"/>
      <c r="B391" s="57"/>
      <c r="C391" s="111"/>
      <c r="D391" s="59"/>
      <c r="E391" s="271" t="str">
        <v/>
      </c>
      <c r="F391" s="43" t="str">
        <v/>
      </c>
      <c r="G391" s="33" t="str">
        <v/>
      </c>
      <c r="H391" s="43" t="e">
        <f ca="1"/>
        <v>#N/A</v>
      </c>
      <c r="I391" s="42" t="str">
        <f ca="1"/>
        <v/>
      </c>
      <c r="J391" s="54" t="s">
        <v>4</v>
      </c>
    </row>
    <row r="392" spans="1:10" x14ac:dyDescent="0.25">
      <c r="A392" s="56"/>
      <c r="B392" s="57"/>
      <c r="C392" s="111"/>
      <c r="D392" s="59"/>
      <c r="E392" s="271" t="str">
        <v/>
      </c>
      <c r="F392" s="43" t="str">
        <v/>
      </c>
      <c r="G392" s="33" t="str">
        <v/>
      </c>
      <c r="H392" s="43" t="e">
        <f ca="1"/>
        <v>#N/A</v>
      </c>
      <c r="I392" s="42" t="str">
        <f ca="1"/>
        <v/>
      </c>
      <c r="J392" s="54" t="s">
        <v>4</v>
      </c>
    </row>
    <row r="393" spans="1:10" x14ac:dyDescent="0.25">
      <c r="A393" s="56"/>
      <c r="B393" s="57"/>
      <c r="C393" s="111"/>
      <c r="D393" s="59"/>
      <c r="E393" s="271" t="str">
        <v/>
      </c>
      <c r="F393" s="43" t="str">
        <v/>
      </c>
      <c r="G393" s="33" t="str">
        <v/>
      </c>
      <c r="H393" s="43" t="e">
        <f ca="1"/>
        <v>#N/A</v>
      </c>
      <c r="I393" s="42" t="str">
        <f ca="1"/>
        <v/>
      </c>
      <c r="J393" s="54" t="s">
        <v>4</v>
      </c>
    </row>
    <row r="394" spans="1:10" x14ac:dyDescent="0.25">
      <c r="A394" s="56"/>
      <c r="B394" s="57"/>
      <c r="C394" s="111"/>
      <c r="D394" s="59"/>
      <c r="E394" s="271" t="str">
        <v/>
      </c>
      <c r="F394" s="43" t="str">
        <v/>
      </c>
      <c r="G394" s="33" t="str">
        <v/>
      </c>
      <c r="H394" s="43" t="e">
        <f ca="1"/>
        <v>#N/A</v>
      </c>
      <c r="I394" s="42" t="str">
        <f ca="1"/>
        <v/>
      </c>
      <c r="J394" s="54" t="s">
        <v>4</v>
      </c>
    </row>
    <row r="395" spans="1:10" x14ac:dyDescent="0.25">
      <c r="A395" s="56"/>
      <c r="B395" s="57"/>
      <c r="C395" s="111"/>
      <c r="D395" s="59"/>
      <c r="E395" s="271" t="str">
        <v/>
      </c>
      <c r="F395" s="43" t="str">
        <v/>
      </c>
      <c r="G395" s="33" t="str">
        <v/>
      </c>
      <c r="H395" s="43" t="e">
        <f ca="1"/>
        <v>#N/A</v>
      </c>
      <c r="I395" s="42" t="str">
        <f ca="1"/>
        <v/>
      </c>
      <c r="J395" s="54" t="s">
        <v>4</v>
      </c>
    </row>
    <row r="396" spans="1:10" x14ac:dyDescent="0.25">
      <c r="A396" s="56"/>
      <c r="B396" s="57"/>
      <c r="C396" s="111"/>
      <c r="D396" s="59"/>
      <c r="E396" s="271" t="str">
        <v/>
      </c>
      <c r="F396" s="43" t="str">
        <v/>
      </c>
      <c r="G396" s="33" t="str">
        <v/>
      </c>
      <c r="H396" s="43" t="e">
        <f ca="1"/>
        <v>#N/A</v>
      </c>
      <c r="I396" s="42" t="str">
        <f ca="1"/>
        <v/>
      </c>
      <c r="J396" s="54" t="s">
        <v>4</v>
      </c>
    </row>
    <row r="397" spans="1:10" x14ac:dyDescent="0.25">
      <c r="A397" s="56"/>
      <c r="B397" s="57"/>
      <c r="C397" s="111"/>
      <c r="D397" s="59"/>
      <c r="E397" s="271" t="str">
        <v/>
      </c>
      <c r="F397" s="43" t="str">
        <v/>
      </c>
      <c r="G397" s="33" t="str">
        <v/>
      </c>
      <c r="H397" s="43" t="e">
        <f ca="1"/>
        <v>#N/A</v>
      </c>
      <c r="I397" s="42" t="str">
        <f ca="1"/>
        <v/>
      </c>
      <c r="J397" s="54" t="s">
        <v>4</v>
      </c>
    </row>
    <row r="398" spans="1:10" x14ac:dyDescent="0.25">
      <c r="A398" s="56"/>
      <c r="B398" s="57"/>
      <c r="C398" s="111"/>
      <c r="D398" s="59"/>
      <c r="E398" s="271" t="str">
        <v/>
      </c>
      <c r="F398" s="43" t="str">
        <v/>
      </c>
      <c r="G398" s="33" t="str">
        <v/>
      </c>
      <c r="H398" s="43" t="e">
        <f ca="1"/>
        <v>#N/A</v>
      </c>
      <c r="I398" s="42" t="str">
        <f ca="1"/>
        <v/>
      </c>
      <c r="J398" s="54" t="s">
        <v>4</v>
      </c>
    </row>
    <row r="399" spans="1:10" x14ac:dyDescent="0.25">
      <c r="A399" s="56"/>
      <c r="B399" s="57"/>
      <c r="C399" s="111"/>
      <c r="D399" s="59"/>
      <c r="E399" s="271" t="str">
        <v/>
      </c>
      <c r="F399" s="43" t="str">
        <v/>
      </c>
      <c r="G399" s="33" t="str">
        <v/>
      </c>
      <c r="H399" s="43" t="e">
        <f ca="1"/>
        <v>#N/A</v>
      </c>
      <c r="I399" s="42" t="str">
        <f ca="1"/>
        <v/>
      </c>
      <c r="J399" s="54" t="s">
        <v>4</v>
      </c>
    </row>
    <row r="400" spans="1:10" x14ac:dyDescent="0.25">
      <c r="A400" s="56"/>
      <c r="B400" s="57"/>
      <c r="C400" s="111"/>
      <c r="D400" s="59"/>
      <c r="E400" s="271" t="str">
        <v/>
      </c>
      <c r="F400" s="43" t="str">
        <v/>
      </c>
      <c r="G400" s="33" t="str">
        <v/>
      </c>
      <c r="H400" s="43" t="e">
        <f ca="1"/>
        <v>#N/A</v>
      </c>
      <c r="I400" s="42" t="str">
        <f ca="1"/>
        <v/>
      </c>
      <c r="J400" s="54" t="s">
        <v>4</v>
      </c>
    </row>
    <row r="401" spans="1:10" x14ac:dyDescent="0.25">
      <c r="A401" s="56"/>
      <c r="B401" s="57"/>
      <c r="C401" s="111"/>
      <c r="D401" s="59"/>
      <c r="E401" s="271" t="str">
        <v/>
      </c>
      <c r="F401" s="43" t="str">
        <v/>
      </c>
      <c r="G401" s="33" t="str">
        <v/>
      </c>
      <c r="H401" s="43" t="e">
        <f ca="1"/>
        <v>#N/A</v>
      </c>
      <c r="I401" s="42" t="str">
        <f ca="1"/>
        <v/>
      </c>
      <c r="J401" s="54" t="s">
        <v>4</v>
      </c>
    </row>
    <row r="402" spans="1:10" x14ac:dyDescent="0.25">
      <c r="A402" s="56"/>
      <c r="B402" s="57"/>
      <c r="C402" s="111"/>
      <c r="D402" s="59"/>
      <c r="E402" s="271" t="str">
        <v/>
      </c>
      <c r="F402" s="43" t="str">
        <v/>
      </c>
      <c r="G402" s="33" t="str">
        <v/>
      </c>
      <c r="H402" s="43" t="e">
        <f ca="1"/>
        <v>#N/A</v>
      </c>
      <c r="I402" s="42" t="str">
        <f ca="1"/>
        <v/>
      </c>
      <c r="J402" s="54" t="s">
        <v>4</v>
      </c>
    </row>
    <row r="403" spans="1:10" x14ac:dyDescent="0.25">
      <c r="A403" s="56"/>
      <c r="B403" s="57"/>
      <c r="C403" s="111"/>
      <c r="D403" s="59"/>
      <c r="E403" s="271" t="str">
        <v/>
      </c>
      <c r="F403" s="43" t="str">
        <v/>
      </c>
      <c r="G403" s="33" t="str">
        <v/>
      </c>
      <c r="H403" s="43" t="e">
        <f ca="1"/>
        <v>#N/A</v>
      </c>
      <c r="I403" s="42" t="str">
        <f ca="1"/>
        <v/>
      </c>
      <c r="J403" s="54" t="s">
        <v>4</v>
      </c>
    </row>
    <row r="404" spans="1:10" x14ac:dyDescent="0.25">
      <c r="A404" s="56"/>
      <c r="B404" s="57"/>
      <c r="C404" s="111"/>
      <c r="D404" s="59"/>
      <c r="E404" s="271" t="str">
        <v/>
      </c>
      <c r="F404" s="43" t="str">
        <v/>
      </c>
      <c r="G404" s="33" t="str">
        <v/>
      </c>
      <c r="H404" s="43" t="e">
        <f ca="1"/>
        <v>#N/A</v>
      </c>
      <c r="I404" s="42" t="str">
        <f ca="1"/>
        <v/>
      </c>
      <c r="J404" s="54" t="s">
        <v>4</v>
      </c>
    </row>
    <row r="405" spans="1:10" x14ac:dyDescent="0.25">
      <c r="A405" s="56"/>
      <c r="B405" s="57"/>
      <c r="C405" s="111"/>
      <c r="D405" s="59"/>
      <c r="E405" s="271" t="str">
        <v/>
      </c>
      <c r="F405" s="43" t="str">
        <v/>
      </c>
      <c r="G405" s="33" t="str">
        <v/>
      </c>
      <c r="H405" s="43" t="e">
        <f ca="1"/>
        <v>#N/A</v>
      </c>
      <c r="I405" s="42" t="str">
        <f ca="1"/>
        <v/>
      </c>
      <c r="J405" s="54" t="s">
        <v>4</v>
      </c>
    </row>
    <row r="406" spans="1:10" x14ac:dyDescent="0.25">
      <c r="A406" s="56"/>
      <c r="B406" s="57"/>
      <c r="C406" s="111"/>
      <c r="D406" s="59"/>
      <c r="E406" s="271" t="str">
        <v/>
      </c>
      <c r="F406" s="43" t="str">
        <v/>
      </c>
      <c r="G406" s="33" t="str">
        <v/>
      </c>
      <c r="H406" s="43" t="e">
        <f ca="1"/>
        <v>#N/A</v>
      </c>
      <c r="I406" s="42" t="str">
        <f ca="1"/>
        <v/>
      </c>
      <c r="J406" s="54" t="s">
        <v>4</v>
      </c>
    </row>
    <row r="407" spans="1:10" x14ac:dyDescent="0.25">
      <c r="A407" s="56"/>
      <c r="B407" s="57"/>
      <c r="C407" s="111"/>
      <c r="D407" s="59"/>
      <c r="E407" s="271" t="str">
        <v/>
      </c>
      <c r="F407" s="43" t="str">
        <v/>
      </c>
      <c r="G407" s="33" t="str">
        <v/>
      </c>
      <c r="H407" s="43" t="e">
        <f ca="1"/>
        <v>#N/A</v>
      </c>
      <c r="I407" s="42" t="str">
        <f ca="1"/>
        <v/>
      </c>
      <c r="J407" s="54" t="s">
        <v>4</v>
      </c>
    </row>
    <row r="408" spans="1:10" x14ac:dyDescent="0.25">
      <c r="A408" s="56"/>
      <c r="B408" s="57"/>
      <c r="C408" s="111"/>
      <c r="D408" s="59"/>
      <c r="E408" s="271" t="str">
        <v/>
      </c>
      <c r="F408" s="43" t="str">
        <v/>
      </c>
      <c r="G408" s="33" t="str">
        <v/>
      </c>
      <c r="H408" s="43" t="e">
        <f ca="1"/>
        <v>#N/A</v>
      </c>
      <c r="I408" s="42" t="str">
        <f ca="1"/>
        <v/>
      </c>
      <c r="J408" s="54" t="s">
        <v>4</v>
      </c>
    </row>
    <row r="409" spans="1:10" x14ac:dyDescent="0.25">
      <c r="A409" s="56"/>
      <c r="B409" s="57"/>
      <c r="C409" s="111"/>
      <c r="D409" s="59"/>
      <c r="E409" s="271" t="str">
        <v/>
      </c>
      <c r="F409" s="43" t="str">
        <v/>
      </c>
      <c r="G409" s="33" t="str">
        <v/>
      </c>
      <c r="H409" s="43" t="e">
        <f ca="1"/>
        <v>#N/A</v>
      </c>
      <c r="I409" s="42" t="str">
        <f ca="1"/>
        <v/>
      </c>
      <c r="J409" s="54" t="s">
        <v>4</v>
      </c>
    </row>
    <row r="410" spans="1:10" x14ac:dyDescent="0.25">
      <c r="A410" s="56"/>
      <c r="B410" s="57"/>
      <c r="C410" s="111"/>
      <c r="D410" s="59"/>
      <c r="E410" s="271" t="str">
        <v/>
      </c>
      <c r="F410" s="43" t="str">
        <v/>
      </c>
      <c r="G410" s="33" t="str">
        <v/>
      </c>
      <c r="H410" s="43" t="e">
        <f ca="1"/>
        <v>#N/A</v>
      </c>
      <c r="I410" s="42" t="str">
        <f ca="1"/>
        <v/>
      </c>
      <c r="J410" s="54" t="s">
        <v>4</v>
      </c>
    </row>
    <row r="411" spans="1:10" x14ac:dyDescent="0.25">
      <c r="A411" s="56"/>
      <c r="B411" s="57"/>
      <c r="C411" s="111"/>
      <c r="D411" s="59"/>
      <c r="E411" s="271" t="str">
        <v/>
      </c>
      <c r="F411" s="43" t="str">
        <v/>
      </c>
      <c r="G411" s="33" t="str">
        <v/>
      </c>
      <c r="H411" s="43" t="e">
        <f ca="1"/>
        <v>#N/A</v>
      </c>
      <c r="I411" s="42" t="str">
        <f ca="1"/>
        <v/>
      </c>
      <c r="J411" s="54" t="s">
        <v>4</v>
      </c>
    </row>
    <row r="412" spans="1:10" x14ac:dyDescent="0.25">
      <c r="A412" s="56"/>
      <c r="B412" s="57"/>
      <c r="C412" s="111"/>
      <c r="D412" s="59"/>
      <c r="E412" s="271" t="str">
        <v/>
      </c>
      <c r="F412" s="43" t="str">
        <v/>
      </c>
      <c r="G412" s="33" t="str">
        <v/>
      </c>
      <c r="H412" s="43" t="e">
        <f ca="1"/>
        <v>#N/A</v>
      </c>
      <c r="I412" s="42" t="str">
        <f ca="1"/>
        <v/>
      </c>
      <c r="J412" s="54" t="s">
        <v>4</v>
      </c>
    </row>
    <row r="413" spans="1:10" x14ac:dyDescent="0.25">
      <c r="A413" s="56"/>
      <c r="B413" s="57"/>
      <c r="C413" s="111"/>
      <c r="D413" s="59"/>
      <c r="E413" s="271" t="str">
        <v/>
      </c>
      <c r="F413" s="43" t="str">
        <v/>
      </c>
      <c r="G413" s="33" t="str">
        <v/>
      </c>
      <c r="H413" s="43" t="e">
        <f ca="1"/>
        <v>#N/A</v>
      </c>
      <c r="I413" s="42" t="str">
        <f ca="1"/>
        <v/>
      </c>
      <c r="J413" s="54" t="s">
        <v>4</v>
      </c>
    </row>
    <row r="414" spans="1:10" x14ac:dyDescent="0.25">
      <c r="A414" s="56"/>
      <c r="B414" s="57"/>
      <c r="C414" s="111"/>
      <c r="D414" s="59"/>
      <c r="E414" s="271" t="str">
        <v/>
      </c>
      <c r="F414" s="43" t="str">
        <v/>
      </c>
      <c r="G414" s="33" t="str">
        <v/>
      </c>
      <c r="H414" s="43" t="e">
        <f ca="1"/>
        <v>#N/A</v>
      </c>
      <c r="I414" s="42" t="str">
        <f ca="1"/>
        <v/>
      </c>
      <c r="J414" s="54" t="s">
        <v>4</v>
      </c>
    </row>
    <row r="415" spans="1:10" x14ac:dyDescent="0.25">
      <c r="A415" s="56"/>
      <c r="B415" s="57"/>
      <c r="C415" s="111"/>
      <c r="D415" s="59"/>
      <c r="E415" s="271" t="str">
        <v/>
      </c>
      <c r="F415" s="43" t="str">
        <v/>
      </c>
      <c r="G415" s="33" t="str">
        <v/>
      </c>
      <c r="H415" s="43" t="e">
        <f ca="1"/>
        <v>#N/A</v>
      </c>
      <c r="I415" s="42" t="str">
        <f ca="1"/>
        <v/>
      </c>
      <c r="J415" s="54" t="s">
        <v>4</v>
      </c>
    </row>
    <row r="416" spans="1:10" x14ac:dyDescent="0.25">
      <c r="A416" s="56"/>
      <c r="B416" s="57"/>
      <c r="C416" s="111"/>
      <c r="D416" s="59"/>
      <c r="E416" s="271" t="str">
        <v/>
      </c>
      <c r="F416" s="43" t="str">
        <v/>
      </c>
      <c r="G416" s="33" t="str">
        <v/>
      </c>
      <c r="H416" s="43" t="e">
        <f ca="1"/>
        <v>#N/A</v>
      </c>
      <c r="I416" s="42" t="str">
        <f ca="1"/>
        <v/>
      </c>
      <c r="J416" s="54" t="s">
        <v>4</v>
      </c>
    </row>
    <row r="417" spans="1:10" x14ac:dyDescent="0.25">
      <c r="A417" s="56"/>
      <c r="B417" s="57"/>
      <c r="C417" s="111"/>
      <c r="D417" s="59"/>
      <c r="E417" s="271" t="str">
        <v/>
      </c>
      <c r="F417" s="43" t="str">
        <v/>
      </c>
      <c r="G417" s="33" t="str">
        <v/>
      </c>
      <c r="H417" s="43" t="e">
        <f ca="1"/>
        <v>#N/A</v>
      </c>
      <c r="I417" s="42" t="str">
        <f ca="1"/>
        <v/>
      </c>
      <c r="J417" s="54" t="s">
        <v>4</v>
      </c>
    </row>
    <row r="418" spans="1:10" x14ac:dyDescent="0.25">
      <c r="A418" s="56"/>
      <c r="B418" s="57"/>
      <c r="C418" s="111"/>
      <c r="D418" s="59"/>
      <c r="E418" s="271" t="str">
        <v/>
      </c>
      <c r="F418" s="43" t="str">
        <v/>
      </c>
      <c r="G418" s="33" t="str">
        <v/>
      </c>
      <c r="H418" s="43" t="e">
        <f ca="1"/>
        <v>#N/A</v>
      </c>
      <c r="I418" s="42" t="str">
        <f ca="1"/>
        <v/>
      </c>
      <c r="J418" s="54" t="s">
        <v>4</v>
      </c>
    </row>
    <row r="419" spans="1:10" x14ac:dyDescent="0.25">
      <c r="A419" s="56"/>
      <c r="B419" s="57"/>
      <c r="C419" s="111"/>
      <c r="D419" s="59"/>
      <c r="E419" s="271" t="str">
        <v/>
      </c>
      <c r="F419" s="43" t="str">
        <v/>
      </c>
      <c r="G419" s="33" t="str">
        <v/>
      </c>
      <c r="H419" s="43" t="e">
        <f ca="1"/>
        <v>#N/A</v>
      </c>
      <c r="I419" s="42" t="str">
        <f ca="1"/>
        <v/>
      </c>
      <c r="J419" s="54" t="s">
        <v>4</v>
      </c>
    </row>
    <row r="420" spans="1:10" x14ac:dyDescent="0.25">
      <c r="A420" s="56"/>
      <c r="B420" s="57"/>
      <c r="C420" s="111"/>
      <c r="D420" s="59"/>
      <c r="E420" s="271" t="str">
        <v/>
      </c>
      <c r="F420" s="43" t="str">
        <v/>
      </c>
      <c r="G420" s="33" t="str">
        <v/>
      </c>
      <c r="H420" s="43" t="e">
        <f ca="1"/>
        <v>#N/A</v>
      </c>
      <c r="I420" s="42" t="str">
        <f ca="1"/>
        <v/>
      </c>
      <c r="J420" s="54" t="s">
        <v>4</v>
      </c>
    </row>
    <row r="421" spans="1:10" x14ac:dyDescent="0.25">
      <c r="A421" s="56"/>
      <c r="B421" s="57"/>
      <c r="C421" s="111"/>
      <c r="D421" s="59"/>
      <c r="E421" s="271" t="str">
        <v/>
      </c>
      <c r="F421" s="43" t="str">
        <v/>
      </c>
      <c r="G421" s="33" t="str">
        <v/>
      </c>
      <c r="H421" s="43" t="e">
        <f ca="1"/>
        <v>#N/A</v>
      </c>
      <c r="I421" s="42" t="str">
        <f ca="1"/>
        <v/>
      </c>
      <c r="J421" s="54" t="s">
        <v>4</v>
      </c>
    </row>
    <row r="422" spans="1:10" x14ac:dyDescent="0.25">
      <c r="A422" s="56"/>
      <c r="B422" s="57"/>
      <c r="C422" s="111"/>
      <c r="D422" s="59"/>
      <c r="E422" s="271" t="str">
        <v/>
      </c>
      <c r="F422" s="43" t="str">
        <v/>
      </c>
      <c r="G422" s="33" t="str">
        <v/>
      </c>
      <c r="H422" s="43" t="e">
        <f ca="1"/>
        <v>#N/A</v>
      </c>
      <c r="I422" s="42" t="str">
        <f ca="1"/>
        <v/>
      </c>
      <c r="J422" s="54" t="s">
        <v>4</v>
      </c>
    </row>
    <row r="423" spans="1:10" x14ac:dyDescent="0.25">
      <c r="A423" s="56"/>
      <c r="B423" s="57"/>
      <c r="C423" s="111"/>
      <c r="D423" s="59"/>
      <c r="E423" s="271" t="str">
        <v/>
      </c>
      <c r="F423" s="43" t="str">
        <v/>
      </c>
      <c r="G423" s="33" t="str">
        <v/>
      </c>
      <c r="H423" s="43" t="e">
        <f ca="1"/>
        <v>#N/A</v>
      </c>
      <c r="I423" s="42" t="str">
        <f ca="1"/>
        <v/>
      </c>
      <c r="J423" s="54" t="s">
        <v>4</v>
      </c>
    </row>
    <row r="424" spans="1:10" x14ac:dyDescent="0.25">
      <c r="A424" s="56"/>
      <c r="B424" s="57"/>
      <c r="C424" s="111"/>
      <c r="D424" s="59"/>
      <c r="E424" s="271" t="str">
        <v/>
      </c>
      <c r="F424" s="43" t="str">
        <v/>
      </c>
      <c r="G424" s="33" t="str">
        <v/>
      </c>
      <c r="H424" s="43" t="e">
        <f ca="1"/>
        <v>#N/A</v>
      </c>
      <c r="I424" s="42" t="str">
        <f ca="1"/>
        <v/>
      </c>
      <c r="J424" s="54" t="s">
        <v>4</v>
      </c>
    </row>
    <row r="425" spans="1:10" x14ac:dyDescent="0.25">
      <c r="A425" s="56"/>
      <c r="B425" s="57"/>
      <c r="C425" s="111"/>
      <c r="D425" s="59"/>
      <c r="E425" s="271" t="str">
        <v/>
      </c>
      <c r="F425" s="43" t="str">
        <v/>
      </c>
      <c r="G425" s="33" t="str">
        <v/>
      </c>
      <c r="H425" s="43" t="e">
        <f ca="1"/>
        <v>#N/A</v>
      </c>
      <c r="I425" s="42" t="str">
        <f ca="1"/>
        <v/>
      </c>
      <c r="J425" s="54" t="s">
        <v>4</v>
      </c>
    </row>
    <row r="426" spans="1:10" x14ac:dyDescent="0.25">
      <c r="A426" s="56"/>
      <c r="B426" s="57"/>
      <c r="C426" s="111"/>
      <c r="D426" s="59"/>
      <c r="E426" s="271" t="str">
        <v/>
      </c>
      <c r="F426" s="43" t="str">
        <v/>
      </c>
      <c r="G426" s="33" t="str">
        <v/>
      </c>
      <c r="H426" s="43" t="e">
        <f ca="1"/>
        <v>#N/A</v>
      </c>
      <c r="I426" s="42" t="str">
        <f ca="1"/>
        <v/>
      </c>
      <c r="J426" s="54" t="s">
        <v>4</v>
      </c>
    </row>
    <row r="427" spans="1:10" x14ac:dyDescent="0.25">
      <c r="A427" s="56"/>
      <c r="B427" s="57"/>
      <c r="C427" s="111"/>
      <c r="D427" s="59"/>
      <c r="E427" s="271" t="str">
        <v/>
      </c>
      <c r="F427" s="43" t="str">
        <v/>
      </c>
      <c r="G427" s="33" t="str">
        <v/>
      </c>
      <c r="H427" s="43" t="e">
        <f ca="1"/>
        <v>#N/A</v>
      </c>
      <c r="I427" s="42" t="str">
        <f ca="1"/>
        <v/>
      </c>
      <c r="J427" s="54" t="s">
        <v>4</v>
      </c>
    </row>
    <row r="428" spans="1:10" x14ac:dyDescent="0.25">
      <c r="A428" s="56"/>
      <c r="B428" s="57"/>
      <c r="C428" s="111"/>
      <c r="D428" s="59"/>
      <c r="E428" s="271" t="str">
        <v/>
      </c>
      <c r="F428" s="43" t="str">
        <v/>
      </c>
      <c r="G428" s="33" t="str">
        <v/>
      </c>
      <c r="H428" s="43" t="e">
        <f ca="1"/>
        <v>#N/A</v>
      </c>
      <c r="I428" s="42" t="str">
        <f ca="1"/>
        <v/>
      </c>
      <c r="J428" s="54" t="s">
        <v>4</v>
      </c>
    </row>
    <row r="429" spans="1:10" x14ac:dyDescent="0.25">
      <c r="A429" s="56"/>
      <c r="B429" s="57"/>
      <c r="C429" s="111"/>
      <c r="D429" s="59"/>
      <c r="E429" s="271" t="str">
        <v/>
      </c>
      <c r="F429" s="43" t="str">
        <v/>
      </c>
      <c r="G429" s="33" t="str">
        <v/>
      </c>
      <c r="H429" s="43" t="e">
        <f ca="1"/>
        <v>#N/A</v>
      </c>
      <c r="I429" s="42" t="str">
        <f ca="1"/>
        <v/>
      </c>
      <c r="J429" s="54" t="s">
        <v>4</v>
      </c>
    </row>
    <row r="430" spans="1:10" x14ac:dyDescent="0.25">
      <c r="A430" s="56"/>
      <c r="B430" s="57"/>
      <c r="C430" s="111"/>
      <c r="D430" s="59"/>
      <c r="E430" s="271" t="str">
        <v/>
      </c>
      <c r="F430" s="43" t="str">
        <v/>
      </c>
      <c r="G430" s="33" t="str">
        <v/>
      </c>
      <c r="H430" s="43" t="e">
        <f ca="1"/>
        <v>#N/A</v>
      </c>
      <c r="I430" s="42" t="str">
        <f ca="1"/>
        <v/>
      </c>
      <c r="J430" s="54" t="s">
        <v>4</v>
      </c>
    </row>
    <row r="431" spans="1:10" x14ac:dyDescent="0.25">
      <c r="A431" s="56"/>
      <c r="B431" s="57"/>
      <c r="C431" s="111"/>
      <c r="D431" s="59"/>
      <c r="E431" s="271" t="str">
        <v/>
      </c>
      <c r="F431" s="43" t="str">
        <v/>
      </c>
      <c r="G431" s="33" t="str">
        <v/>
      </c>
      <c r="H431" s="43" t="e">
        <f ca="1"/>
        <v>#N/A</v>
      </c>
      <c r="I431" s="42" t="str">
        <f ca="1"/>
        <v/>
      </c>
      <c r="J431" s="54" t="s">
        <v>4</v>
      </c>
    </row>
    <row r="432" spans="1:10" x14ac:dyDescent="0.25">
      <c r="A432" s="56"/>
      <c r="B432" s="57"/>
      <c r="C432" s="111"/>
      <c r="D432" s="59"/>
      <c r="E432" s="271" t="str">
        <v/>
      </c>
      <c r="F432" s="43" t="str">
        <v/>
      </c>
      <c r="G432" s="33" t="str">
        <v/>
      </c>
      <c r="H432" s="43" t="e">
        <f ca="1"/>
        <v>#N/A</v>
      </c>
      <c r="I432" s="42" t="str">
        <f ca="1"/>
        <v/>
      </c>
      <c r="J432" s="54" t="s">
        <v>4</v>
      </c>
    </row>
    <row r="433" spans="1:10" x14ac:dyDescent="0.25">
      <c r="A433" s="56"/>
      <c r="B433" s="57"/>
      <c r="C433" s="111"/>
      <c r="D433" s="59"/>
      <c r="E433" s="271" t="str">
        <v/>
      </c>
      <c r="F433" s="43" t="str">
        <v/>
      </c>
      <c r="G433" s="33" t="str">
        <v/>
      </c>
      <c r="H433" s="43" t="e">
        <f ca="1"/>
        <v>#N/A</v>
      </c>
      <c r="I433" s="42" t="str">
        <f ca="1"/>
        <v/>
      </c>
      <c r="J433" s="54" t="s">
        <v>4</v>
      </c>
    </row>
    <row r="434" spans="1:10" x14ac:dyDescent="0.25">
      <c r="A434" s="56"/>
      <c r="B434" s="57"/>
      <c r="C434" s="111"/>
      <c r="D434" s="59"/>
      <c r="E434" s="271" t="str">
        <v/>
      </c>
      <c r="F434" s="43" t="str">
        <v/>
      </c>
      <c r="G434" s="33" t="str">
        <v/>
      </c>
      <c r="H434" s="43" t="e">
        <f ca="1"/>
        <v>#N/A</v>
      </c>
      <c r="I434" s="42" t="str">
        <f ca="1"/>
        <v/>
      </c>
      <c r="J434" s="54" t="s">
        <v>4</v>
      </c>
    </row>
    <row r="435" spans="1:10" x14ac:dyDescent="0.25">
      <c r="A435" s="56"/>
      <c r="B435" s="57"/>
      <c r="C435" s="111"/>
      <c r="D435" s="59"/>
      <c r="E435" s="271" t="str">
        <v/>
      </c>
      <c r="F435" s="43" t="str">
        <v/>
      </c>
      <c r="G435" s="33" t="str">
        <v/>
      </c>
      <c r="H435" s="43" t="e">
        <f ca="1"/>
        <v>#N/A</v>
      </c>
      <c r="I435" s="42" t="str">
        <f ca="1"/>
        <v/>
      </c>
      <c r="J435" s="54" t="s">
        <v>4</v>
      </c>
    </row>
    <row r="436" spans="1:10" x14ac:dyDescent="0.25">
      <c r="A436" s="56"/>
      <c r="B436" s="57"/>
      <c r="C436" s="111"/>
      <c r="D436" s="59"/>
      <c r="E436" s="271" t="str">
        <v/>
      </c>
      <c r="F436" s="43" t="str">
        <v/>
      </c>
      <c r="G436" s="33" t="str">
        <v/>
      </c>
      <c r="H436" s="43" t="e">
        <f ca="1"/>
        <v>#N/A</v>
      </c>
      <c r="I436" s="42" t="str">
        <f ca="1"/>
        <v/>
      </c>
      <c r="J436" s="54" t="s">
        <v>4</v>
      </c>
    </row>
    <row r="437" spans="1:10" x14ac:dyDescent="0.25">
      <c r="A437" s="56"/>
      <c r="B437" s="57"/>
      <c r="C437" s="111"/>
      <c r="D437" s="59"/>
      <c r="E437" s="271" t="str">
        <v/>
      </c>
      <c r="F437" s="43" t="str">
        <v/>
      </c>
      <c r="G437" s="33" t="str">
        <v/>
      </c>
      <c r="H437" s="43" t="e">
        <f ca="1"/>
        <v>#N/A</v>
      </c>
      <c r="I437" s="42" t="str">
        <f ca="1"/>
        <v/>
      </c>
      <c r="J437" s="54" t="s">
        <v>4</v>
      </c>
    </row>
    <row r="438" spans="1:10" x14ac:dyDescent="0.25">
      <c r="A438" s="56"/>
      <c r="B438" s="57"/>
      <c r="C438" s="111"/>
      <c r="D438" s="59"/>
      <c r="E438" s="271" t="str">
        <v/>
      </c>
      <c r="F438" s="43" t="str">
        <v/>
      </c>
      <c r="G438" s="33" t="str">
        <v/>
      </c>
      <c r="H438" s="43" t="e">
        <f ca="1"/>
        <v>#N/A</v>
      </c>
      <c r="I438" s="42" t="str">
        <f ca="1"/>
        <v/>
      </c>
      <c r="J438" s="54" t="s">
        <v>4</v>
      </c>
    </row>
    <row r="439" spans="1:10" x14ac:dyDescent="0.25">
      <c r="A439" s="56"/>
      <c r="B439" s="57"/>
      <c r="C439" s="111"/>
      <c r="D439" s="59"/>
      <c r="E439" s="271" t="str">
        <v/>
      </c>
      <c r="F439" s="43" t="str">
        <v/>
      </c>
      <c r="G439" s="33" t="str">
        <v/>
      </c>
      <c r="H439" s="43" t="e">
        <f ca="1"/>
        <v>#N/A</v>
      </c>
      <c r="I439" s="42" t="str">
        <f ca="1"/>
        <v/>
      </c>
      <c r="J439" s="54" t="s">
        <v>4</v>
      </c>
    </row>
    <row r="440" spans="1:10" x14ac:dyDescent="0.25">
      <c r="A440" s="56"/>
      <c r="B440" s="57"/>
      <c r="C440" s="111"/>
      <c r="D440" s="59"/>
      <c r="E440" s="271" t="str">
        <v/>
      </c>
      <c r="F440" s="43" t="str">
        <v/>
      </c>
      <c r="G440" s="33" t="str">
        <v/>
      </c>
      <c r="H440" s="43" t="e">
        <f ca="1"/>
        <v>#N/A</v>
      </c>
      <c r="I440" s="42" t="str">
        <f ca="1"/>
        <v/>
      </c>
      <c r="J440" s="54" t="s">
        <v>4</v>
      </c>
    </row>
    <row r="441" spans="1:10" x14ac:dyDescent="0.25">
      <c r="A441" s="56"/>
      <c r="B441" s="57"/>
      <c r="C441" s="111"/>
      <c r="D441" s="59"/>
      <c r="E441" s="271" t="str">
        <v/>
      </c>
      <c r="F441" s="43" t="str">
        <v/>
      </c>
      <c r="G441" s="33" t="str">
        <v/>
      </c>
      <c r="H441" s="43" t="e">
        <f ca="1"/>
        <v>#N/A</v>
      </c>
      <c r="I441" s="42" t="str">
        <f ca="1"/>
        <v/>
      </c>
      <c r="J441" s="54" t="s">
        <v>4</v>
      </c>
    </row>
    <row r="442" spans="1:10" x14ac:dyDescent="0.25">
      <c r="A442" s="56"/>
      <c r="B442" s="57"/>
      <c r="C442" s="111"/>
      <c r="D442" s="59"/>
      <c r="E442" s="271" t="str">
        <v/>
      </c>
      <c r="F442" s="43" t="str">
        <v/>
      </c>
      <c r="G442" s="33" t="str">
        <v/>
      </c>
      <c r="H442" s="43" t="e">
        <f ca="1"/>
        <v>#N/A</v>
      </c>
      <c r="I442" s="42" t="str">
        <f ca="1"/>
        <v/>
      </c>
      <c r="J442" s="54" t="s">
        <v>4</v>
      </c>
    </row>
    <row r="443" spans="1:10" x14ac:dyDescent="0.25">
      <c r="A443" s="56"/>
      <c r="B443" s="57"/>
      <c r="C443" s="111"/>
      <c r="D443" s="59"/>
      <c r="E443" s="271" t="str">
        <v/>
      </c>
      <c r="F443" s="43" t="str">
        <v/>
      </c>
      <c r="G443" s="33" t="str">
        <v/>
      </c>
      <c r="H443" s="43" t="e">
        <f ca="1"/>
        <v>#N/A</v>
      </c>
      <c r="I443" s="42" t="str">
        <f ca="1"/>
        <v/>
      </c>
      <c r="J443" s="54" t="s">
        <v>4</v>
      </c>
    </row>
    <row r="444" spans="1:10" x14ac:dyDescent="0.25">
      <c r="A444" s="56"/>
      <c r="B444" s="57"/>
      <c r="C444" s="111"/>
      <c r="D444" s="59"/>
      <c r="E444" s="271" t="str">
        <v/>
      </c>
      <c r="F444" s="43" t="str">
        <v/>
      </c>
      <c r="G444" s="33" t="str">
        <v/>
      </c>
      <c r="H444" s="43" t="e">
        <f ca="1"/>
        <v>#N/A</v>
      </c>
      <c r="I444" s="42" t="str">
        <f ca="1"/>
        <v/>
      </c>
      <c r="J444" s="54" t="s">
        <v>4</v>
      </c>
    </row>
    <row r="445" spans="1:10" x14ac:dyDescent="0.25">
      <c r="A445" s="56"/>
      <c r="B445" s="57"/>
      <c r="C445" s="111"/>
      <c r="D445" s="59"/>
      <c r="E445" s="271" t="str">
        <v/>
      </c>
      <c r="F445" s="43" t="str">
        <v/>
      </c>
      <c r="G445" s="33" t="str">
        <v/>
      </c>
      <c r="H445" s="43" t="e">
        <f ca="1"/>
        <v>#N/A</v>
      </c>
      <c r="I445" s="42" t="str">
        <f ca="1"/>
        <v/>
      </c>
      <c r="J445" s="54" t="s">
        <v>4</v>
      </c>
    </row>
    <row r="446" spans="1:10" x14ac:dyDescent="0.25">
      <c r="A446" s="56"/>
      <c r="B446" s="57"/>
      <c r="C446" s="111"/>
      <c r="D446" s="59"/>
      <c r="E446" s="271" t="str">
        <v/>
      </c>
      <c r="F446" s="43" t="str">
        <v/>
      </c>
      <c r="G446" s="33" t="str">
        <v/>
      </c>
      <c r="H446" s="43" t="e">
        <f ca="1"/>
        <v>#N/A</v>
      </c>
      <c r="I446" s="42" t="str">
        <f ca="1"/>
        <v/>
      </c>
      <c r="J446" s="54" t="s">
        <v>4</v>
      </c>
    </row>
    <row r="447" spans="1:10" x14ac:dyDescent="0.25">
      <c r="A447" s="56"/>
      <c r="B447" s="57"/>
      <c r="C447" s="111"/>
      <c r="D447" s="59"/>
      <c r="E447" s="271" t="str">
        <v/>
      </c>
      <c r="F447" s="43" t="str">
        <v/>
      </c>
      <c r="G447" s="33" t="str">
        <v/>
      </c>
      <c r="H447" s="43" t="e">
        <f ca="1"/>
        <v>#N/A</v>
      </c>
      <c r="I447" s="42" t="str">
        <f ca="1"/>
        <v/>
      </c>
      <c r="J447" s="54" t="s">
        <v>4</v>
      </c>
    </row>
    <row r="448" spans="1:10" x14ac:dyDescent="0.25">
      <c r="A448" s="56"/>
      <c r="B448" s="57"/>
      <c r="C448" s="111"/>
      <c r="D448" s="59"/>
      <c r="E448" s="271" t="str">
        <v/>
      </c>
      <c r="F448" s="43" t="str">
        <v/>
      </c>
      <c r="G448" s="33" t="str">
        <v/>
      </c>
      <c r="H448" s="43" t="e">
        <f ca="1"/>
        <v>#N/A</v>
      </c>
      <c r="I448" s="42" t="str">
        <f ca="1"/>
        <v/>
      </c>
      <c r="J448" s="54" t="s">
        <v>4</v>
      </c>
    </row>
    <row r="449" spans="1:10" x14ac:dyDescent="0.25">
      <c r="A449" s="56"/>
      <c r="B449" s="57"/>
      <c r="C449" s="111"/>
      <c r="D449" s="59"/>
      <c r="E449" s="271" t="str">
        <v/>
      </c>
      <c r="F449" s="43" t="str">
        <v/>
      </c>
      <c r="G449" s="33" t="str">
        <v/>
      </c>
      <c r="H449" s="43" t="e">
        <f ca="1"/>
        <v>#N/A</v>
      </c>
      <c r="I449" s="42" t="str">
        <f ca="1"/>
        <v/>
      </c>
      <c r="J449" s="54" t="s">
        <v>4</v>
      </c>
    </row>
    <row r="450" spans="1:10" x14ac:dyDescent="0.25">
      <c r="A450" s="56"/>
      <c r="B450" s="57"/>
      <c r="C450" s="111"/>
      <c r="D450" s="59"/>
      <c r="E450" s="271" t="str">
        <v/>
      </c>
      <c r="F450" s="43" t="str">
        <v/>
      </c>
      <c r="G450" s="33" t="str">
        <v/>
      </c>
      <c r="H450" s="43" t="e">
        <f ca="1"/>
        <v>#N/A</v>
      </c>
      <c r="I450" s="42" t="str">
        <f ca="1"/>
        <v/>
      </c>
      <c r="J450" s="54" t="s">
        <v>4</v>
      </c>
    </row>
    <row r="451" spans="1:10" x14ac:dyDescent="0.25">
      <c r="A451" s="56"/>
      <c r="B451" s="57"/>
      <c r="C451" s="111"/>
      <c r="D451" s="59"/>
      <c r="E451" s="271" t="str">
        <v/>
      </c>
      <c r="F451" s="43" t="str">
        <v/>
      </c>
      <c r="G451" s="33" t="str">
        <v/>
      </c>
      <c r="H451" s="43" t="e">
        <f ca="1"/>
        <v>#N/A</v>
      </c>
      <c r="I451" s="42" t="str">
        <f ca="1"/>
        <v/>
      </c>
      <c r="J451" s="54" t="s">
        <v>4</v>
      </c>
    </row>
    <row r="452" spans="1:10" x14ac:dyDescent="0.25">
      <c r="A452" s="56"/>
      <c r="B452" s="57"/>
      <c r="C452" s="111"/>
      <c r="D452" s="59"/>
      <c r="E452" s="271" t="str">
        <v/>
      </c>
      <c r="F452" s="43" t="str">
        <v/>
      </c>
      <c r="G452" s="33" t="str">
        <v/>
      </c>
      <c r="H452" s="43" t="e">
        <f ca="1"/>
        <v>#N/A</v>
      </c>
      <c r="I452" s="42" t="str">
        <f ca="1"/>
        <v/>
      </c>
      <c r="J452" s="54" t="s">
        <v>4</v>
      </c>
    </row>
    <row r="453" spans="1:10" x14ac:dyDescent="0.25">
      <c r="A453" s="56"/>
      <c r="B453" s="57"/>
      <c r="C453" s="111"/>
      <c r="D453" s="59"/>
      <c r="E453" s="271" t="str">
        <v/>
      </c>
      <c r="F453" s="43" t="str">
        <v/>
      </c>
      <c r="G453" s="33" t="str">
        <v/>
      </c>
      <c r="H453" s="43" t="e">
        <f ca="1"/>
        <v>#N/A</v>
      </c>
      <c r="I453" s="42" t="str">
        <f ca="1"/>
        <v/>
      </c>
      <c r="J453" s="54" t="s">
        <v>4</v>
      </c>
    </row>
    <row r="454" spans="1:10" x14ac:dyDescent="0.25">
      <c r="A454" s="56"/>
      <c r="B454" s="57"/>
      <c r="C454" s="111"/>
      <c r="D454" s="59"/>
      <c r="E454" s="271" t="str">
        <v/>
      </c>
      <c r="F454" s="43" t="str">
        <v/>
      </c>
      <c r="G454" s="33" t="str">
        <v/>
      </c>
      <c r="H454" s="43" t="e">
        <f ca="1"/>
        <v>#N/A</v>
      </c>
      <c r="I454" s="42" t="str">
        <f ca="1"/>
        <v/>
      </c>
      <c r="J454" s="54" t="s">
        <v>4</v>
      </c>
    </row>
    <row r="455" spans="1:10" x14ac:dyDescent="0.25">
      <c r="A455" s="56"/>
      <c r="B455" s="57"/>
      <c r="C455" s="111"/>
      <c r="D455" s="59"/>
      <c r="E455" s="271" t="str">
        <v/>
      </c>
      <c r="F455" s="43" t="str">
        <v/>
      </c>
      <c r="G455" s="33" t="str">
        <v/>
      </c>
      <c r="H455" s="43" t="e">
        <f ca="1"/>
        <v>#N/A</v>
      </c>
      <c r="I455" s="42" t="str">
        <f ca="1"/>
        <v/>
      </c>
      <c r="J455" s="54" t="s">
        <v>4</v>
      </c>
    </row>
    <row r="456" spans="1:10" x14ac:dyDescent="0.25">
      <c r="A456" s="56"/>
      <c r="B456" s="57"/>
      <c r="C456" s="111"/>
      <c r="D456" s="59"/>
      <c r="E456" s="271" t="str">
        <v/>
      </c>
      <c r="F456" s="43" t="str">
        <v/>
      </c>
      <c r="G456" s="33" t="str">
        <v/>
      </c>
      <c r="H456" s="43" t="e">
        <f ca="1"/>
        <v>#N/A</v>
      </c>
      <c r="I456" s="42" t="str">
        <f ca="1"/>
        <v/>
      </c>
      <c r="J456" s="54" t="s">
        <v>4</v>
      </c>
    </row>
    <row r="457" spans="1:10" x14ac:dyDescent="0.25">
      <c r="A457" s="56"/>
      <c r="B457" s="57"/>
      <c r="C457" s="111"/>
      <c r="D457" s="59"/>
      <c r="E457" s="271" t="str">
        <v/>
      </c>
      <c r="F457" s="43" t="str">
        <v/>
      </c>
      <c r="G457" s="33" t="str">
        <v/>
      </c>
      <c r="H457" s="43" t="e">
        <f ca="1"/>
        <v>#N/A</v>
      </c>
      <c r="I457" s="42" t="str">
        <f ca="1"/>
        <v/>
      </c>
      <c r="J457" s="54" t="s">
        <v>4</v>
      </c>
    </row>
    <row r="458" spans="1:10" x14ac:dyDescent="0.25">
      <c r="A458" s="56"/>
      <c r="B458" s="57"/>
      <c r="C458" s="111"/>
      <c r="D458" s="59"/>
      <c r="E458" s="271" t="str">
        <v/>
      </c>
      <c r="F458" s="43" t="str">
        <v/>
      </c>
      <c r="G458" s="33" t="str">
        <v/>
      </c>
      <c r="H458" s="43" t="e">
        <f ca="1"/>
        <v>#N/A</v>
      </c>
      <c r="I458" s="42" t="str">
        <f ca="1"/>
        <v/>
      </c>
      <c r="J458" s="54" t="s">
        <v>4</v>
      </c>
    </row>
    <row r="459" spans="1:10" x14ac:dyDescent="0.25">
      <c r="A459" s="56"/>
      <c r="B459" s="57"/>
      <c r="C459" s="111"/>
      <c r="D459" s="59"/>
      <c r="E459" s="271" t="str">
        <v/>
      </c>
      <c r="F459" s="43" t="str">
        <v/>
      </c>
      <c r="G459" s="33" t="str">
        <v/>
      </c>
      <c r="H459" s="43" t="e">
        <f ca="1"/>
        <v>#N/A</v>
      </c>
      <c r="I459" s="42" t="str">
        <f ca="1"/>
        <v/>
      </c>
      <c r="J459" s="54" t="s">
        <v>4</v>
      </c>
    </row>
    <row r="460" spans="1:10" x14ac:dyDescent="0.25">
      <c r="A460" s="56"/>
      <c r="B460" s="57"/>
      <c r="C460" s="111"/>
      <c r="D460" s="59"/>
      <c r="E460" s="271" t="str">
        <v/>
      </c>
      <c r="F460" s="43" t="str">
        <v/>
      </c>
      <c r="G460" s="33" t="str">
        <v/>
      </c>
      <c r="H460" s="43" t="e">
        <f ca="1"/>
        <v>#N/A</v>
      </c>
      <c r="I460" s="42" t="str">
        <f ca="1"/>
        <v/>
      </c>
      <c r="J460" s="54" t="s">
        <v>4</v>
      </c>
    </row>
    <row r="461" spans="1:10" x14ac:dyDescent="0.25">
      <c r="A461" s="56"/>
      <c r="B461" s="57"/>
      <c r="C461" s="111"/>
      <c r="D461" s="59"/>
      <c r="E461" s="271" t="str">
        <v/>
      </c>
      <c r="F461" s="43" t="str">
        <v/>
      </c>
      <c r="G461" s="33" t="str">
        <v/>
      </c>
      <c r="H461" s="43" t="e">
        <f ca="1"/>
        <v>#N/A</v>
      </c>
      <c r="I461" s="42" t="str">
        <f ca="1"/>
        <v/>
      </c>
      <c r="J461" s="54" t="s">
        <v>4</v>
      </c>
    </row>
    <row r="462" spans="1:10" x14ac:dyDescent="0.25">
      <c r="A462" s="56"/>
      <c r="B462" s="57"/>
      <c r="C462" s="111"/>
      <c r="D462" s="59"/>
      <c r="E462" s="271" t="str">
        <v/>
      </c>
      <c r="F462" s="43" t="str">
        <v/>
      </c>
      <c r="G462" s="33" t="str">
        <v/>
      </c>
      <c r="H462" s="43" t="e">
        <f ca="1"/>
        <v>#N/A</v>
      </c>
      <c r="I462" s="42" t="str">
        <f ca="1"/>
        <v/>
      </c>
      <c r="J462" s="54" t="s">
        <v>4</v>
      </c>
    </row>
    <row r="463" spans="1:10" x14ac:dyDescent="0.25">
      <c r="A463" s="56"/>
      <c r="B463" s="57"/>
      <c r="C463" s="111"/>
      <c r="D463" s="59"/>
      <c r="E463" s="271" t="str">
        <v/>
      </c>
      <c r="F463" s="43" t="str">
        <v/>
      </c>
      <c r="G463" s="33" t="str">
        <v/>
      </c>
      <c r="H463" s="43" t="e">
        <f ca="1"/>
        <v>#N/A</v>
      </c>
      <c r="I463" s="42" t="str">
        <f ca="1"/>
        <v/>
      </c>
      <c r="J463" s="54" t="s">
        <v>4</v>
      </c>
    </row>
    <row r="464" spans="1:10" x14ac:dyDescent="0.25">
      <c r="A464" s="56"/>
      <c r="B464" s="57"/>
      <c r="C464" s="111"/>
      <c r="D464" s="59"/>
      <c r="E464" s="271" t="str">
        <v/>
      </c>
      <c r="F464" s="43" t="str">
        <v/>
      </c>
      <c r="G464" s="33" t="str">
        <v/>
      </c>
      <c r="H464" s="43" t="e">
        <f ca="1"/>
        <v>#N/A</v>
      </c>
      <c r="I464" s="42" t="str">
        <f ca="1"/>
        <v/>
      </c>
      <c r="J464" s="54" t="s">
        <v>4</v>
      </c>
    </row>
    <row r="465" spans="1:10" x14ac:dyDescent="0.25">
      <c r="A465" s="56"/>
      <c r="B465" s="57"/>
      <c r="C465" s="111"/>
      <c r="D465" s="59"/>
      <c r="E465" s="271" t="str">
        <v/>
      </c>
      <c r="F465" s="43" t="str">
        <v/>
      </c>
      <c r="G465" s="33" t="str">
        <v/>
      </c>
      <c r="H465" s="43" t="e">
        <f ca="1"/>
        <v>#N/A</v>
      </c>
      <c r="I465" s="42" t="str">
        <f ca="1"/>
        <v/>
      </c>
      <c r="J465" s="54" t="s">
        <v>4</v>
      </c>
    </row>
    <row r="466" spans="1:10" x14ac:dyDescent="0.25">
      <c r="A466" s="56"/>
      <c r="B466" s="57"/>
      <c r="C466" s="111"/>
      <c r="D466" s="59"/>
      <c r="E466" s="271" t="str">
        <v/>
      </c>
      <c r="F466" s="43" t="str">
        <v/>
      </c>
      <c r="G466" s="33" t="str">
        <v/>
      </c>
      <c r="H466" s="43" t="e">
        <f ca="1"/>
        <v>#N/A</v>
      </c>
      <c r="I466" s="42" t="str">
        <f ca="1"/>
        <v/>
      </c>
      <c r="J466" s="54" t="s">
        <v>4</v>
      </c>
    </row>
    <row r="467" spans="1:10" x14ac:dyDescent="0.25">
      <c r="A467" s="56"/>
      <c r="B467" s="57"/>
      <c r="C467" s="111"/>
      <c r="D467" s="59"/>
      <c r="E467" s="271" t="str">
        <v/>
      </c>
      <c r="F467" s="43" t="str">
        <v/>
      </c>
      <c r="G467" s="33" t="str">
        <v/>
      </c>
      <c r="H467" s="43" t="e">
        <f ca="1"/>
        <v>#N/A</v>
      </c>
      <c r="I467" s="42" t="str">
        <f ca="1"/>
        <v/>
      </c>
      <c r="J467" s="54" t="s">
        <v>4</v>
      </c>
    </row>
    <row r="468" spans="1:10" x14ac:dyDescent="0.25">
      <c r="A468" s="56"/>
      <c r="B468" s="57"/>
      <c r="C468" s="111"/>
      <c r="D468" s="59"/>
      <c r="E468" s="271" t="str">
        <v/>
      </c>
      <c r="F468" s="43" t="str">
        <v/>
      </c>
      <c r="G468" s="33" t="str">
        <v/>
      </c>
      <c r="H468" s="43" t="e">
        <f ca="1"/>
        <v>#N/A</v>
      </c>
      <c r="I468" s="42" t="str">
        <f ca="1"/>
        <v/>
      </c>
      <c r="J468" s="54" t="s">
        <v>4</v>
      </c>
    </row>
    <row r="469" spans="1:10" x14ac:dyDescent="0.25">
      <c r="A469" s="56"/>
      <c r="B469" s="57"/>
      <c r="C469" s="111"/>
      <c r="D469" s="59"/>
      <c r="E469" s="271" t="str">
        <v/>
      </c>
      <c r="F469" s="43" t="str">
        <v/>
      </c>
      <c r="G469" s="33" t="str">
        <v/>
      </c>
      <c r="H469" s="43" t="e">
        <f ca="1"/>
        <v>#N/A</v>
      </c>
      <c r="I469" s="42" t="str">
        <f ca="1"/>
        <v/>
      </c>
      <c r="J469" s="54" t="s">
        <v>4</v>
      </c>
    </row>
    <row r="470" spans="1:10" x14ac:dyDescent="0.25">
      <c r="A470" s="56"/>
      <c r="B470" s="57"/>
      <c r="C470" s="111"/>
      <c r="D470" s="59"/>
      <c r="E470" s="271" t="str">
        <v/>
      </c>
      <c r="F470" s="43" t="str">
        <v/>
      </c>
      <c r="G470" s="33" t="str">
        <v/>
      </c>
      <c r="H470" s="43" t="e">
        <f ca="1"/>
        <v>#N/A</v>
      </c>
      <c r="I470" s="42" t="str">
        <f ca="1"/>
        <v/>
      </c>
      <c r="J470" s="54" t="s">
        <v>4</v>
      </c>
    </row>
    <row r="471" spans="1:10" x14ac:dyDescent="0.25">
      <c r="A471" s="56"/>
      <c r="B471" s="57"/>
      <c r="C471" s="111"/>
      <c r="D471" s="59"/>
      <c r="E471" s="271" t="str">
        <v/>
      </c>
      <c r="F471" s="43" t="str">
        <v/>
      </c>
      <c r="G471" s="33" t="str">
        <v/>
      </c>
      <c r="H471" s="43" t="e">
        <f ca="1"/>
        <v>#N/A</v>
      </c>
      <c r="I471" s="42" t="str">
        <f ca="1"/>
        <v/>
      </c>
      <c r="J471" s="54" t="s">
        <v>4</v>
      </c>
    </row>
    <row r="472" spans="1:10" x14ac:dyDescent="0.25">
      <c r="A472" s="56"/>
      <c r="B472" s="57"/>
      <c r="C472" s="111"/>
      <c r="D472" s="59"/>
      <c r="E472" s="271" t="str">
        <v/>
      </c>
      <c r="F472" s="43" t="str">
        <v/>
      </c>
      <c r="G472" s="33" t="str">
        <v/>
      </c>
      <c r="H472" s="43" t="e">
        <f ca="1"/>
        <v>#N/A</v>
      </c>
      <c r="I472" s="42" t="str">
        <f ca="1"/>
        <v/>
      </c>
      <c r="J472" s="54" t="s">
        <v>4</v>
      </c>
    </row>
    <row r="473" spans="1:10" x14ac:dyDescent="0.25">
      <c r="A473" s="56"/>
      <c r="B473" s="57"/>
      <c r="C473" s="111"/>
      <c r="D473" s="59"/>
      <c r="E473" s="271" t="str">
        <v/>
      </c>
      <c r="F473" s="43" t="str">
        <v/>
      </c>
      <c r="G473" s="33" t="str">
        <v/>
      </c>
      <c r="H473" s="43" t="e">
        <f ca="1"/>
        <v>#N/A</v>
      </c>
      <c r="I473" s="42" t="str">
        <f ca="1"/>
        <v/>
      </c>
      <c r="J473" s="54" t="s">
        <v>4</v>
      </c>
    </row>
    <row r="474" spans="1:10" x14ac:dyDescent="0.25">
      <c r="A474" s="56"/>
      <c r="B474" s="57"/>
      <c r="C474" s="111"/>
      <c r="D474" s="59"/>
      <c r="E474" s="271" t="str">
        <v/>
      </c>
      <c r="F474" s="43" t="str">
        <v/>
      </c>
      <c r="G474" s="33" t="str">
        <v/>
      </c>
      <c r="H474" s="43" t="e">
        <f ca="1"/>
        <v>#N/A</v>
      </c>
      <c r="I474" s="42" t="str">
        <f ca="1"/>
        <v/>
      </c>
      <c r="J474" s="54" t="s">
        <v>4</v>
      </c>
    </row>
    <row r="475" spans="1:10" x14ac:dyDescent="0.25">
      <c r="A475" s="56"/>
      <c r="B475" s="57"/>
      <c r="C475" s="111"/>
      <c r="D475" s="59"/>
      <c r="E475" s="271" t="str">
        <v/>
      </c>
      <c r="F475" s="43" t="str">
        <v/>
      </c>
      <c r="G475" s="33" t="str">
        <v/>
      </c>
      <c r="H475" s="43" t="e">
        <f ca="1"/>
        <v>#N/A</v>
      </c>
      <c r="I475" s="42" t="str">
        <f ca="1"/>
        <v/>
      </c>
      <c r="J475" s="54" t="s">
        <v>4</v>
      </c>
    </row>
    <row r="476" spans="1:10" x14ac:dyDescent="0.25">
      <c r="A476" s="56"/>
      <c r="B476" s="57"/>
      <c r="C476" s="111"/>
      <c r="D476" s="59"/>
      <c r="E476" s="271" t="str">
        <v/>
      </c>
      <c r="F476" s="43" t="str">
        <v/>
      </c>
      <c r="G476" s="33" t="str">
        <v/>
      </c>
      <c r="H476" s="43" t="e">
        <f ca="1"/>
        <v>#N/A</v>
      </c>
      <c r="I476" s="42" t="str">
        <f ca="1"/>
        <v/>
      </c>
      <c r="J476" s="54" t="s">
        <v>4</v>
      </c>
    </row>
    <row r="477" spans="1:10" x14ac:dyDescent="0.25">
      <c r="A477" s="56"/>
      <c r="B477" s="57"/>
      <c r="C477" s="111"/>
      <c r="D477" s="59"/>
      <c r="E477" s="271" t="str">
        <v/>
      </c>
      <c r="F477" s="43" t="str">
        <v/>
      </c>
      <c r="G477" s="33" t="str">
        <v/>
      </c>
      <c r="H477" s="43" t="e">
        <f ca="1"/>
        <v>#N/A</v>
      </c>
      <c r="I477" s="42" t="str">
        <f ca="1"/>
        <v/>
      </c>
      <c r="J477" s="54" t="s">
        <v>4</v>
      </c>
    </row>
    <row r="478" spans="1:10" x14ac:dyDescent="0.25">
      <c r="A478" s="56"/>
      <c r="B478" s="57"/>
      <c r="C478" s="111"/>
      <c r="D478" s="59"/>
      <c r="E478" s="271" t="str">
        <v/>
      </c>
      <c r="F478" s="43" t="str">
        <v/>
      </c>
      <c r="G478" s="33" t="str">
        <v/>
      </c>
      <c r="H478" s="43" t="e">
        <f ca="1"/>
        <v>#N/A</v>
      </c>
      <c r="I478" s="42" t="str">
        <f ca="1"/>
        <v/>
      </c>
      <c r="J478" s="54" t="s">
        <v>4</v>
      </c>
    </row>
    <row r="479" spans="1:10" x14ac:dyDescent="0.25">
      <c r="A479" s="56"/>
      <c r="B479" s="57"/>
      <c r="C479" s="111"/>
      <c r="D479" s="59"/>
      <c r="E479" s="271" t="str">
        <v/>
      </c>
      <c r="F479" s="43" t="str">
        <v/>
      </c>
      <c r="G479" s="33" t="str">
        <v/>
      </c>
      <c r="H479" s="43" t="e">
        <f ca="1"/>
        <v>#N/A</v>
      </c>
      <c r="I479" s="42" t="str">
        <f ca="1"/>
        <v/>
      </c>
      <c r="J479" s="54" t="s">
        <v>4</v>
      </c>
    </row>
    <row r="480" spans="1:10" x14ac:dyDescent="0.25">
      <c r="A480" s="56"/>
      <c r="B480" s="57"/>
      <c r="C480" s="111"/>
      <c r="D480" s="59"/>
      <c r="E480" s="271" t="str">
        <v/>
      </c>
      <c r="F480" s="43" t="str">
        <v/>
      </c>
      <c r="G480" s="33" t="str">
        <v/>
      </c>
      <c r="H480" s="43" t="e">
        <f ca="1"/>
        <v>#N/A</v>
      </c>
      <c r="I480" s="42" t="str">
        <f ca="1"/>
        <v/>
      </c>
      <c r="J480" s="54" t="s">
        <v>4</v>
      </c>
    </row>
    <row r="481" spans="1:10" x14ac:dyDescent="0.25">
      <c r="A481" s="56"/>
      <c r="B481" s="57"/>
      <c r="C481" s="111"/>
      <c r="D481" s="59"/>
      <c r="E481" s="271" t="str">
        <v/>
      </c>
      <c r="F481" s="43" t="str">
        <v/>
      </c>
      <c r="G481" s="33" t="str">
        <v/>
      </c>
      <c r="H481" s="43" t="e">
        <f ca="1"/>
        <v>#N/A</v>
      </c>
      <c r="I481" s="42" t="str">
        <f ca="1"/>
        <v/>
      </c>
      <c r="J481" s="54" t="s">
        <v>4</v>
      </c>
    </row>
    <row r="482" spans="1:10" x14ac:dyDescent="0.25">
      <c r="A482" s="56"/>
      <c r="B482" s="57"/>
      <c r="C482" s="111"/>
      <c r="D482" s="59"/>
      <c r="E482" s="271" t="str">
        <v/>
      </c>
      <c r="F482" s="43" t="str">
        <v/>
      </c>
      <c r="G482" s="33" t="str">
        <v/>
      </c>
      <c r="H482" s="43" t="e">
        <f ca="1"/>
        <v>#N/A</v>
      </c>
      <c r="I482" s="42" t="str">
        <f ca="1"/>
        <v/>
      </c>
      <c r="J482" s="54" t="s">
        <v>4</v>
      </c>
    </row>
    <row r="483" spans="1:10" x14ac:dyDescent="0.25">
      <c r="A483" s="56"/>
      <c r="B483" s="57"/>
      <c r="C483" s="111"/>
      <c r="D483" s="59"/>
      <c r="E483" s="271" t="str">
        <v/>
      </c>
      <c r="F483" s="43" t="str">
        <v/>
      </c>
      <c r="G483" s="33" t="str">
        <v/>
      </c>
      <c r="H483" s="43" t="e">
        <f ca="1"/>
        <v>#N/A</v>
      </c>
      <c r="I483" s="42" t="str">
        <f ca="1"/>
        <v/>
      </c>
      <c r="J483" s="54" t="s">
        <v>4</v>
      </c>
    </row>
    <row r="484" spans="1:10" x14ac:dyDescent="0.25">
      <c r="A484" s="56"/>
      <c r="B484" s="57"/>
      <c r="C484" s="111"/>
      <c r="D484" s="59"/>
      <c r="E484" s="271" t="str">
        <v/>
      </c>
      <c r="F484" s="43" t="str">
        <v/>
      </c>
      <c r="G484" s="33" t="str">
        <v/>
      </c>
      <c r="H484" s="43" t="e">
        <f ca="1"/>
        <v>#N/A</v>
      </c>
      <c r="I484" s="42" t="str">
        <f ca="1"/>
        <v/>
      </c>
      <c r="J484" s="54" t="s">
        <v>4</v>
      </c>
    </row>
    <row r="485" spans="1:10" x14ac:dyDescent="0.25">
      <c r="A485" s="56"/>
      <c r="B485" s="57"/>
      <c r="C485" s="111"/>
      <c r="D485" s="59"/>
      <c r="E485" s="271" t="str">
        <v/>
      </c>
      <c r="F485" s="43" t="str">
        <v/>
      </c>
      <c r="G485" s="33" t="str">
        <v/>
      </c>
      <c r="H485" s="43" t="e">
        <f ca="1"/>
        <v>#N/A</v>
      </c>
      <c r="I485" s="42" t="str">
        <f ca="1"/>
        <v/>
      </c>
      <c r="J485" s="54" t="s">
        <v>4</v>
      </c>
    </row>
    <row r="486" spans="1:10" x14ac:dyDescent="0.25">
      <c r="A486" s="56"/>
      <c r="B486" s="57"/>
      <c r="C486" s="111"/>
      <c r="D486" s="59"/>
      <c r="E486" s="271" t="str">
        <v/>
      </c>
      <c r="F486" s="43" t="str">
        <v/>
      </c>
      <c r="G486" s="33" t="str">
        <v/>
      </c>
      <c r="H486" s="43" t="e">
        <f ca="1"/>
        <v>#N/A</v>
      </c>
      <c r="I486" s="42" t="str">
        <f ca="1"/>
        <v/>
      </c>
      <c r="J486" s="54" t="s">
        <v>4</v>
      </c>
    </row>
    <row r="487" spans="1:10" x14ac:dyDescent="0.25">
      <c r="A487" s="56"/>
      <c r="B487" s="57"/>
      <c r="C487" s="111"/>
      <c r="D487" s="59"/>
      <c r="E487" s="271" t="str">
        <v/>
      </c>
      <c r="F487" s="43" t="str">
        <v/>
      </c>
      <c r="G487" s="33" t="str">
        <v/>
      </c>
      <c r="H487" s="43" t="e">
        <f ca="1"/>
        <v>#N/A</v>
      </c>
      <c r="I487" s="42" t="str">
        <f ca="1"/>
        <v/>
      </c>
      <c r="J487" s="54" t="s">
        <v>4</v>
      </c>
    </row>
    <row r="488" spans="1:10" x14ac:dyDescent="0.25">
      <c r="A488" s="56"/>
      <c r="B488" s="57"/>
      <c r="C488" s="111"/>
      <c r="D488" s="59"/>
      <c r="E488" s="271" t="str">
        <v/>
      </c>
      <c r="F488" s="43" t="str">
        <v/>
      </c>
      <c r="G488" s="33" t="str">
        <v/>
      </c>
      <c r="H488" s="43" t="e">
        <f ca="1"/>
        <v>#N/A</v>
      </c>
      <c r="I488" s="42" t="str">
        <f ca="1"/>
        <v/>
      </c>
      <c r="J488" s="54" t="s">
        <v>4</v>
      </c>
    </row>
    <row r="489" spans="1:10" x14ac:dyDescent="0.25">
      <c r="A489" s="56"/>
      <c r="B489" s="57"/>
      <c r="C489" s="111"/>
      <c r="D489" s="59"/>
      <c r="E489" s="271" t="str">
        <v/>
      </c>
      <c r="F489" s="43" t="str">
        <v/>
      </c>
      <c r="G489" s="33" t="str">
        <v/>
      </c>
      <c r="H489" s="43" t="e">
        <f ca="1"/>
        <v>#N/A</v>
      </c>
      <c r="I489" s="42" t="str">
        <f ca="1"/>
        <v/>
      </c>
      <c r="J489" s="54" t="s">
        <v>4</v>
      </c>
    </row>
    <row r="490" spans="1:10" x14ac:dyDescent="0.25">
      <c r="A490" s="56"/>
      <c r="B490" s="57"/>
      <c r="C490" s="111"/>
      <c r="D490" s="59"/>
      <c r="E490" s="271" t="str">
        <v/>
      </c>
      <c r="F490" s="43" t="str">
        <v/>
      </c>
      <c r="G490" s="33" t="str">
        <v/>
      </c>
      <c r="H490" s="43" t="e">
        <f ca="1"/>
        <v>#N/A</v>
      </c>
      <c r="I490" s="42" t="str">
        <f ca="1"/>
        <v/>
      </c>
      <c r="J490" s="54" t="s">
        <v>4</v>
      </c>
    </row>
    <row r="491" spans="1:10" x14ac:dyDescent="0.25">
      <c r="A491" s="56"/>
      <c r="B491" s="57"/>
      <c r="C491" s="111"/>
      <c r="D491" s="59"/>
      <c r="E491" s="271" t="str">
        <v/>
      </c>
      <c r="F491" s="43" t="str">
        <v/>
      </c>
      <c r="G491" s="33" t="str">
        <v/>
      </c>
      <c r="H491" s="43" t="e">
        <f ca="1"/>
        <v>#N/A</v>
      </c>
      <c r="I491" s="42" t="str">
        <f ca="1"/>
        <v/>
      </c>
      <c r="J491" s="54" t="s">
        <v>4</v>
      </c>
    </row>
    <row r="492" spans="1:10" x14ac:dyDescent="0.25">
      <c r="A492" s="56"/>
      <c r="B492" s="57"/>
      <c r="C492" s="111"/>
      <c r="D492" s="59"/>
      <c r="E492" s="271" t="str">
        <v/>
      </c>
      <c r="F492" s="43" t="str">
        <v/>
      </c>
      <c r="G492" s="33" t="str">
        <v/>
      </c>
      <c r="H492" s="43" t="e">
        <f ca="1"/>
        <v>#N/A</v>
      </c>
      <c r="I492" s="42" t="str">
        <f ca="1"/>
        <v/>
      </c>
      <c r="J492" s="54" t="s">
        <v>4</v>
      </c>
    </row>
    <row r="493" spans="1:10" x14ac:dyDescent="0.25">
      <c r="A493" s="56"/>
      <c r="B493" s="57"/>
      <c r="C493" s="111"/>
      <c r="D493" s="59"/>
      <c r="E493" s="271" t="str">
        <v/>
      </c>
      <c r="F493" s="43" t="str">
        <v/>
      </c>
      <c r="G493" s="33" t="str">
        <v/>
      </c>
      <c r="H493" s="43" t="e">
        <f ca="1"/>
        <v>#N/A</v>
      </c>
      <c r="I493" s="42" t="str">
        <f ca="1"/>
        <v/>
      </c>
      <c r="J493" s="54" t="s">
        <v>4</v>
      </c>
    </row>
    <row r="494" spans="1:10" x14ac:dyDescent="0.25">
      <c r="A494" s="56"/>
      <c r="B494" s="57"/>
      <c r="C494" s="111"/>
      <c r="D494" s="59"/>
      <c r="E494" s="271" t="str">
        <v/>
      </c>
      <c r="F494" s="43" t="str">
        <v/>
      </c>
      <c r="G494" s="33" t="str">
        <v/>
      </c>
      <c r="H494" s="43" t="e">
        <f ca="1"/>
        <v>#N/A</v>
      </c>
      <c r="I494" s="42" t="str">
        <f ca="1"/>
        <v/>
      </c>
      <c r="J494" s="54" t="s">
        <v>4</v>
      </c>
    </row>
    <row r="495" spans="1:10" x14ac:dyDescent="0.25">
      <c r="A495" s="56"/>
      <c r="B495" s="57"/>
      <c r="C495" s="111"/>
      <c r="D495" s="59"/>
      <c r="E495" s="271" t="str">
        <v/>
      </c>
      <c r="F495" s="43" t="str">
        <v/>
      </c>
      <c r="G495" s="33" t="str">
        <v/>
      </c>
      <c r="H495" s="43" t="e">
        <f ca="1"/>
        <v>#N/A</v>
      </c>
      <c r="I495" s="42" t="str">
        <f ca="1"/>
        <v/>
      </c>
      <c r="J495" s="54" t="s">
        <v>4</v>
      </c>
    </row>
    <row r="496" spans="1:10" x14ac:dyDescent="0.25">
      <c r="A496" s="56"/>
      <c r="B496" s="57"/>
      <c r="C496" s="111"/>
      <c r="D496" s="59"/>
      <c r="E496" s="271" t="str">
        <v/>
      </c>
      <c r="F496" s="43" t="str">
        <v/>
      </c>
      <c r="G496" s="33" t="str">
        <v/>
      </c>
      <c r="H496" s="43" t="e">
        <f ca="1"/>
        <v>#N/A</v>
      </c>
      <c r="I496" s="42" t="str">
        <f ca="1"/>
        <v/>
      </c>
      <c r="J496" s="54" t="s">
        <v>4</v>
      </c>
    </row>
    <row r="497" spans="1:10" x14ac:dyDescent="0.25">
      <c r="A497" s="56"/>
      <c r="B497" s="57"/>
      <c r="C497" s="111"/>
      <c r="D497" s="59"/>
      <c r="E497" s="271" t="str">
        <v/>
      </c>
      <c r="F497" s="43" t="str">
        <v/>
      </c>
      <c r="G497" s="33" t="str">
        <v/>
      </c>
      <c r="H497" s="43" t="e">
        <f ca="1"/>
        <v>#N/A</v>
      </c>
      <c r="I497" s="42" t="str">
        <f ca="1"/>
        <v/>
      </c>
      <c r="J497" s="54" t="s">
        <v>4</v>
      </c>
    </row>
    <row r="498" spans="1:10" x14ac:dyDescent="0.25">
      <c r="A498" s="56"/>
      <c r="B498" s="57"/>
      <c r="C498" s="111"/>
      <c r="D498" s="59"/>
      <c r="E498" s="271" t="str">
        <v/>
      </c>
      <c r="F498" s="43" t="str">
        <v/>
      </c>
      <c r="G498" s="33" t="str">
        <v/>
      </c>
      <c r="H498" s="43" t="e">
        <f ca="1"/>
        <v>#N/A</v>
      </c>
      <c r="I498" s="42" t="str">
        <f ca="1"/>
        <v/>
      </c>
      <c r="J498" s="54" t="s">
        <v>4</v>
      </c>
    </row>
    <row r="499" spans="1:10" x14ac:dyDescent="0.25">
      <c r="A499" s="56"/>
      <c r="B499" s="57"/>
      <c r="C499" s="111"/>
      <c r="D499" s="59"/>
      <c r="E499" s="271" t="str">
        <v/>
      </c>
      <c r="F499" s="43" t="str">
        <v/>
      </c>
      <c r="G499" s="33" t="str">
        <v/>
      </c>
      <c r="H499" s="43" t="e">
        <f ca="1"/>
        <v>#N/A</v>
      </c>
      <c r="I499" s="42" t="str">
        <f ca="1"/>
        <v/>
      </c>
      <c r="J499" s="54" t="s">
        <v>4</v>
      </c>
    </row>
    <row r="500" spans="1:10" x14ac:dyDescent="0.25">
      <c r="A500" s="56"/>
      <c r="B500" s="57"/>
      <c r="C500" s="111"/>
      <c r="D500" s="59"/>
      <c r="E500" s="271" t="str">
        <v/>
      </c>
      <c r="F500" s="43" t="str">
        <v/>
      </c>
      <c r="G500" s="33" t="str">
        <v/>
      </c>
      <c r="H500" s="43" t="e">
        <f ca="1"/>
        <v>#N/A</v>
      </c>
      <c r="I500" s="42" t="str">
        <f ca="1"/>
        <v/>
      </c>
      <c r="J500" s="54" t="s">
        <v>4</v>
      </c>
    </row>
    <row r="501" spans="1:10" x14ac:dyDescent="0.25">
      <c r="A501" s="86"/>
      <c r="B501" s="87"/>
      <c r="C501" s="113"/>
      <c r="D501" s="110"/>
      <c r="E501" s="271" t="str">
        <v/>
      </c>
      <c r="F501" s="43" t="str">
        <v/>
      </c>
      <c r="G501" s="33" t="str">
        <v/>
      </c>
      <c r="H501" s="43" t="e">
        <f ca="1"/>
        <v>#N/A</v>
      </c>
      <c r="I501" s="42" t="str">
        <f ca="1"/>
        <v/>
      </c>
      <c r="J501" s="54" t="s">
        <v>4</v>
      </c>
    </row>
    <row r="502" spans="1:10" x14ac:dyDescent="0.25">
      <c r="A502" s="56"/>
      <c r="B502" s="57"/>
      <c r="C502" s="111"/>
      <c r="D502" s="59"/>
      <c r="E502" s="271" t="str">
        <v/>
      </c>
      <c r="F502" s="43" t="str">
        <v/>
      </c>
      <c r="G502" s="33" t="str">
        <v/>
      </c>
      <c r="H502" s="43" t="e">
        <f ca="1"/>
        <v>#N/A</v>
      </c>
      <c r="I502" s="42" t="str">
        <f ca="1"/>
        <v/>
      </c>
      <c r="J502" s="54" t="s">
        <v>4</v>
      </c>
    </row>
    <row r="503" spans="1:10" x14ac:dyDescent="0.25">
      <c r="A503" s="56"/>
      <c r="B503" s="57"/>
      <c r="C503" s="111"/>
      <c r="D503" s="59"/>
      <c r="E503" s="271" t="str">
        <v/>
      </c>
      <c r="F503" s="43" t="str">
        <v/>
      </c>
      <c r="G503" s="33" t="str">
        <v/>
      </c>
      <c r="H503" s="43" t="e">
        <f ca="1"/>
        <v>#N/A</v>
      </c>
      <c r="I503" s="42" t="str">
        <f ca="1"/>
        <v/>
      </c>
      <c r="J503" s="54" t="s">
        <v>4</v>
      </c>
    </row>
    <row r="504" spans="1:10" x14ac:dyDescent="0.25">
      <c r="A504" s="56"/>
      <c r="B504" s="57"/>
      <c r="C504" s="111"/>
      <c r="D504" s="59"/>
      <c r="E504" s="271" t="str">
        <v/>
      </c>
      <c r="F504" s="43" t="str">
        <v/>
      </c>
      <c r="G504" s="33" t="str">
        <v/>
      </c>
      <c r="H504" s="43" t="e">
        <f ca="1"/>
        <v>#N/A</v>
      </c>
      <c r="I504" s="42" t="str">
        <f ca="1"/>
        <v/>
      </c>
      <c r="J504" s="54" t="s">
        <v>4</v>
      </c>
    </row>
    <row r="505" spans="1:10" x14ac:dyDescent="0.25">
      <c r="A505" s="56"/>
      <c r="B505" s="57"/>
      <c r="C505" s="111"/>
      <c r="D505" s="59"/>
      <c r="E505" s="271" t="str">
        <v/>
      </c>
      <c r="F505" s="43" t="str">
        <v/>
      </c>
      <c r="G505" s="33" t="str">
        <v/>
      </c>
      <c r="H505" s="43" t="e">
        <f ca="1"/>
        <v>#N/A</v>
      </c>
      <c r="I505" s="42" t="str">
        <f ca="1"/>
        <v/>
      </c>
      <c r="J505" s="54" t="s">
        <v>4</v>
      </c>
    </row>
    <row r="506" spans="1:10" x14ac:dyDescent="0.25">
      <c r="A506" s="56"/>
      <c r="B506" s="57"/>
      <c r="C506" s="111"/>
      <c r="D506" s="59"/>
      <c r="E506" s="271" t="str">
        <v/>
      </c>
      <c r="F506" s="43" t="str">
        <v/>
      </c>
      <c r="G506" s="33" t="str">
        <v/>
      </c>
      <c r="H506" s="43" t="e">
        <f ca="1"/>
        <v>#N/A</v>
      </c>
      <c r="I506" s="42" t="str">
        <f ca="1"/>
        <v/>
      </c>
      <c r="J506" s="54" t="s">
        <v>4</v>
      </c>
    </row>
    <row r="507" spans="1:10" x14ac:dyDescent="0.25">
      <c r="A507" s="56"/>
      <c r="B507" s="57"/>
      <c r="C507" s="111"/>
      <c r="D507" s="59"/>
      <c r="E507" s="271" t="str">
        <v/>
      </c>
      <c r="F507" s="43" t="str">
        <v/>
      </c>
      <c r="G507" s="33" t="str">
        <v/>
      </c>
      <c r="H507" s="43" t="e">
        <f ca="1"/>
        <v>#N/A</v>
      </c>
      <c r="I507" s="42" t="str">
        <f ca="1"/>
        <v/>
      </c>
      <c r="J507" s="54" t="s">
        <v>4</v>
      </c>
    </row>
    <row r="508" spans="1:10" x14ac:dyDescent="0.25">
      <c r="A508" s="56"/>
      <c r="B508" s="57"/>
      <c r="C508" s="111"/>
      <c r="D508" s="59"/>
      <c r="E508" s="271" t="str">
        <v/>
      </c>
      <c r="F508" s="43" t="str">
        <v/>
      </c>
      <c r="G508" s="33" t="str">
        <v/>
      </c>
      <c r="H508" s="43" t="e">
        <f ca="1"/>
        <v>#N/A</v>
      </c>
      <c r="I508" s="42" t="str">
        <f ca="1"/>
        <v/>
      </c>
      <c r="J508" s="54" t="s">
        <v>4</v>
      </c>
    </row>
    <row r="509" spans="1:10" x14ac:dyDescent="0.25">
      <c r="A509" s="56"/>
      <c r="B509" s="57"/>
      <c r="C509" s="111"/>
      <c r="D509" s="59"/>
      <c r="E509" s="271" t="str">
        <v/>
      </c>
      <c r="F509" s="43" t="str">
        <v/>
      </c>
      <c r="G509" s="33" t="str">
        <v/>
      </c>
      <c r="H509" s="43" t="e">
        <f ca="1"/>
        <v>#N/A</v>
      </c>
      <c r="I509" s="42" t="str">
        <f ca="1"/>
        <v/>
      </c>
      <c r="J509" s="54" t="s">
        <v>4</v>
      </c>
    </row>
    <row r="510" spans="1:10" x14ac:dyDescent="0.25">
      <c r="A510" s="56"/>
      <c r="B510" s="57"/>
      <c r="C510" s="111"/>
      <c r="D510" s="59"/>
      <c r="E510" s="271" t="str">
        <v/>
      </c>
      <c r="F510" s="43" t="str">
        <v/>
      </c>
      <c r="G510" s="33" t="str">
        <v/>
      </c>
      <c r="H510" s="43" t="e">
        <f ca="1"/>
        <v>#N/A</v>
      </c>
      <c r="I510" s="42" t="str">
        <f ca="1"/>
        <v/>
      </c>
      <c r="J510" s="54" t="s">
        <v>4</v>
      </c>
    </row>
    <row r="511" spans="1:10" x14ac:dyDescent="0.25">
      <c r="A511" s="56"/>
      <c r="B511" s="57"/>
      <c r="C511" s="111"/>
      <c r="D511" s="59"/>
      <c r="E511" s="271" t="str">
        <v/>
      </c>
      <c r="F511" s="43" t="str">
        <v/>
      </c>
      <c r="G511" s="33" t="str">
        <v/>
      </c>
      <c r="H511" s="43" t="e">
        <f ca="1"/>
        <v>#N/A</v>
      </c>
      <c r="I511" s="42" t="str">
        <f ca="1"/>
        <v/>
      </c>
      <c r="J511" s="54" t="s">
        <v>4</v>
      </c>
    </row>
    <row r="512" spans="1:10" x14ac:dyDescent="0.25">
      <c r="A512" s="56"/>
      <c r="B512" s="57"/>
      <c r="C512" s="111"/>
      <c r="D512" s="59"/>
      <c r="E512" s="271" t="str">
        <v/>
      </c>
      <c r="F512" s="43" t="str">
        <v/>
      </c>
      <c r="G512" s="33" t="str">
        <v/>
      </c>
      <c r="H512" s="43" t="e">
        <f ca="1"/>
        <v>#N/A</v>
      </c>
      <c r="I512" s="42" t="str">
        <f ca="1"/>
        <v/>
      </c>
      <c r="J512" s="54" t="s">
        <v>4</v>
      </c>
    </row>
    <row r="513" spans="1:10" x14ac:dyDescent="0.25">
      <c r="A513" s="56"/>
      <c r="B513" s="57"/>
      <c r="C513" s="111"/>
      <c r="D513" s="59"/>
      <c r="E513" s="271" t="str">
        <v/>
      </c>
      <c r="F513" s="43" t="str">
        <v/>
      </c>
      <c r="G513" s="33" t="str">
        <v/>
      </c>
      <c r="H513" s="43" t="e">
        <f ca="1"/>
        <v>#N/A</v>
      </c>
      <c r="I513" s="42" t="str">
        <f ca="1"/>
        <v/>
      </c>
      <c r="J513" s="54" t="s">
        <v>4</v>
      </c>
    </row>
    <row r="514" spans="1:10" x14ac:dyDescent="0.25">
      <c r="A514" s="56"/>
      <c r="B514" s="57"/>
      <c r="C514" s="111"/>
      <c r="D514" s="59"/>
      <c r="E514" s="271" t="str">
        <v/>
      </c>
      <c r="F514" s="43" t="str">
        <v/>
      </c>
      <c r="G514" s="33" t="str">
        <v/>
      </c>
      <c r="H514" s="43" t="e">
        <f ca="1"/>
        <v>#N/A</v>
      </c>
      <c r="I514" s="42" t="str">
        <f ca="1"/>
        <v/>
      </c>
      <c r="J514" s="54" t="s">
        <v>4</v>
      </c>
    </row>
    <row r="515" spans="1:10" x14ac:dyDescent="0.25">
      <c r="A515" s="56"/>
      <c r="B515" s="57"/>
      <c r="C515" s="111"/>
      <c r="D515" s="59"/>
      <c r="E515" s="271" t="str">
        <v/>
      </c>
      <c r="F515" s="43" t="str">
        <v/>
      </c>
      <c r="G515" s="33" t="str">
        <v/>
      </c>
      <c r="H515" s="43" t="e">
        <f ca="1"/>
        <v>#N/A</v>
      </c>
      <c r="I515" s="42" t="str">
        <f ca="1"/>
        <v/>
      </c>
      <c r="J515" s="54" t="s">
        <v>4</v>
      </c>
    </row>
    <row r="516" spans="1:10" x14ac:dyDescent="0.25">
      <c r="A516" s="56"/>
      <c r="B516" s="57"/>
      <c r="C516" s="111"/>
      <c r="D516" s="59"/>
      <c r="E516" s="271" t="str">
        <v/>
      </c>
      <c r="F516" s="43" t="str">
        <v/>
      </c>
      <c r="G516" s="33" t="str">
        <v/>
      </c>
      <c r="H516" s="43" t="e">
        <f ca="1"/>
        <v>#N/A</v>
      </c>
      <c r="I516" s="42" t="str">
        <f ca="1"/>
        <v/>
      </c>
      <c r="J516" s="54" t="s">
        <v>4</v>
      </c>
    </row>
    <row r="517" spans="1:10" x14ac:dyDescent="0.25">
      <c r="A517" s="56"/>
      <c r="B517" s="57"/>
      <c r="C517" s="111"/>
      <c r="D517" s="59"/>
      <c r="E517" s="271" t="str">
        <v/>
      </c>
      <c r="F517" s="43" t="str">
        <v/>
      </c>
      <c r="G517" s="33" t="str">
        <v/>
      </c>
      <c r="H517" s="43" t="e">
        <f ca="1"/>
        <v>#N/A</v>
      </c>
      <c r="I517" s="42" t="str">
        <f ca="1"/>
        <v/>
      </c>
      <c r="J517" s="54" t="s">
        <v>4</v>
      </c>
    </row>
    <row r="518" spans="1:10" x14ac:dyDescent="0.25">
      <c r="A518" s="56"/>
      <c r="B518" s="57"/>
      <c r="C518" s="111"/>
      <c r="D518" s="59"/>
      <c r="E518" s="271" t="str">
        <v/>
      </c>
      <c r="F518" s="43" t="str">
        <v/>
      </c>
      <c r="G518" s="33" t="str">
        <v/>
      </c>
      <c r="H518" s="43" t="e">
        <f ca="1"/>
        <v>#N/A</v>
      </c>
      <c r="I518" s="42" t="str">
        <f ca="1"/>
        <v/>
      </c>
      <c r="J518" s="54" t="s">
        <v>4</v>
      </c>
    </row>
    <row r="519" spans="1:10" x14ac:dyDescent="0.25">
      <c r="A519" s="56"/>
      <c r="B519" s="57"/>
      <c r="C519" s="111"/>
      <c r="D519" s="59"/>
      <c r="E519" s="271" t="str">
        <v/>
      </c>
      <c r="F519" s="43" t="str">
        <v/>
      </c>
      <c r="G519" s="33" t="str">
        <v/>
      </c>
      <c r="H519" s="43" t="e">
        <f ca="1"/>
        <v>#N/A</v>
      </c>
      <c r="I519" s="42" t="str">
        <f ca="1"/>
        <v/>
      </c>
      <c r="J519" s="54" t="s">
        <v>4</v>
      </c>
    </row>
    <row r="520" spans="1:10" x14ac:dyDescent="0.25">
      <c r="A520" s="56"/>
      <c r="B520" s="57"/>
      <c r="C520" s="111"/>
      <c r="D520" s="59"/>
      <c r="E520" s="271" t="str">
        <v/>
      </c>
      <c r="F520" s="43" t="str">
        <v/>
      </c>
      <c r="G520" s="33" t="str">
        <v/>
      </c>
      <c r="H520" s="43" t="e">
        <f ca="1"/>
        <v>#N/A</v>
      </c>
      <c r="I520" s="42" t="str">
        <f ca="1"/>
        <v/>
      </c>
      <c r="J520" s="54" t="s">
        <v>4</v>
      </c>
    </row>
    <row r="521" spans="1:10" x14ac:dyDescent="0.25">
      <c r="A521" s="56"/>
      <c r="B521" s="57"/>
      <c r="C521" s="111"/>
      <c r="D521" s="59"/>
      <c r="E521" s="271" t="str">
        <v/>
      </c>
      <c r="F521" s="43" t="str">
        <v/>
      </c>
      <c r="G521" s="33" t="str">
        <v/>
      </c>
      <c r="H521" s="43" t="e">
        <f ca="1"/>
        <v>#N/A</v>
      </c>
      <c r="I521" s="42" t="str">
        <f ca="1"/>
        <v/>
      </c>
      <c r="J521" s="54" t="s">
        <v>4</v>
      </c>
    </row>
    <row r="522" spans="1:10" x14ac:dyDescent="0.25">
      <c r="A522" s="56"/>
      <c r="B522" s="57"/>
      <c r="C522" s="111"/>
      <c r="D522" s="59"/>
      <c r="E522" s="271" t="str">
        <v/>
      </c>
      <c r="F522" s="43" t="str">
        <v/>
      </c>
      <c r="G522" s="33" t="str">
        <v/>
      </c>
      <c r="H522" s="43" t="e">
        <f ca="1"/>
        <v>#N/A</v>
      </c>
      <c r="I522" s="42" t="str">
        <f ca="1"/>
        <v/>
      </c>
      <c r="J522" s="54" t="s">
        <v>4</v>
      </c>
    </row>
    <row r="523" spans="1:10" x14ac:dyDescent="0.25">
      <c r="A523" s="56"/>
      <c r="B523" s="57"/>
      <c r="C523" s="111"/>
      <c r="D523" s="59"/>
      <c r="E523" s="271" t="str">
        <v/>
      </c>
      <c r="F523" s="43" t="str">
        <v/>
      </c>
      <c r="G523" s="33" t="str">
        <v/>
      </c>
      <c r="H523" s="43" t="e">
        <f ca="1"/>
        <v>#N/A</v>
      </c>
      <c r="I523" s="42" t="str">
        <f ca="1"/>
        <v/>
      </c>
      <c r="J523" s="54" t="s">
        <v>4</v>
      </c>
    </row>
    <row r="524" spans="1:10" x14ac:dyDescent="0.25">
      <c r="A524" s="56"/>
      <c r="B524" s="57"/>
      <c r="C524" s="111"/>
      <c r="D524" s="59"/>
      <c r="E524" s="271" t="str">
        <v/>
      </c>
      <c r="F524" s="43" t="str">
        <v/>
      </c>
      <c r="G524" s="33" t="str">
        <v/>
      </c>
      <c r="H524" s="43" t="e">
        <f ca="1"/>
        <v>#N/A</v>
      </c>
      <c r="I524" s="42" t="str">
        <f ca="1"/>
        <v/>
      </c>
      <c r="J524" s="54" t="s">
        <v>4</v>
      </c>
    </row>
    <row r="525" spans="1:10" x14ac:dyDescent="0.25">
      <c r="A525" s="56"/>
      <c r="B525" s="57"/>
      <c r="C525" s="111"/>
      <c r="D525" s="59"/>
      <c r="E525" s="271" t="str">
        <v/>
      </c>
      <c r="F525" s="43" t="str">
        <v/>
      </c>
      <c r="G525" s="33" t="str">
        <v/>
      </c>
      <c r="H525" s="43" t="e">
        <f ca="1"/>
        <v>#N/A</v>
      </c>
      <c r="I525" s="42" t="str">
        <f ca="1"/>
        <v/>
      </c>
      <c r="J525" s="54" t="s">
        <v>4</v>
      </c>
    </row>
    <row r="526" spans="1:10" x14ac:dyDescent="0.25">
      <c r="A526" s="56"/>
      <c r="B526" s="57"/>
      <c r="C526" s="111"/>
      <c r="D526" s="59"/>
      <c r="E526" s="271" t="str">
        <v/>
      </c>
      <c r="F526" s="43" t="str">
        <v/>
      </c>
      <c r="G526" s="33" t="str">
        <v/>
      </c>
      <c r="H526" s="43" t="e">
        <f ca="1"/>
        <v>#N/A</v>
      </c>
      <c r="I526" s="42" t="str">
        <f ca="1"/>
        <v/>
      </c>
      <c r="J526" s="54" t="s">
        <v>4</v>
      </c>
    </row>
    <row r="527" spans="1:10" x14ac:dyDescent="0.25">
      <c r="A527" s="56"/>
      <c r="B527" s="57"/>
      <c r="C527" s="111"/>
      <c r="D527" s="59"/>
      <c r="E527" s="271" t="str">
        <v/>
      </c>
      <c r="F527" s="43" t="str">
        <v/>
      </c>
      <c r="G527" s="33" t="str">
        <v/>
      </c>
      <c r="H527" s="43" t="e">
        <f ca="1"/>
        <v>#N/A</v>
      </c>
      <c r="I527" s="42" t="str">
        <f ca="1"/>
        <v/>
      </c>
      <c r="J527" s="54" t="s">
        <v>4</v>
      </c>
    </row>
    <row r="528" spans="1:10" x14ac:dyDescent="0.25">
      <c r="A528" s="56"/>
      <c r="B528" s="57"/>
      <c r="C528" s="111"/>
      <c r="D528" s="59"/>
      <c r="E528" s="271" t="str">
        <v/>
      </c>
      <c r="F528" s="43" t="str">
        <v/>
      </c>
      <c r="G528" s="33" t="str">
        <v/>
      </c>
      <c r="H528" s="43" t="e">
        <f ca="1"/>
        <v>#N/A</v>
      </c>
      <c r="I528" s="42" t="str">
        <f ca="1"/>
        <v/>
      </c>
      <c r="J528" s="54" t="s">
        <v>4</v>
      </c>
    </row>
    <row r="529" spans="1:10" x14ac:dyDescent="0.25">
      <c r="A529" s="56"/>
      <c r="B529" s="57"/>
      <c r="C529" s="111"/>
      <c r="D529" s="59"/>
      <c r="E529" s="271" t="str">
        <v/>
      </c>
      <c r="F529" s="43" t="str">
        <v/>
      </c>
      <c r="G529" s="33" t="str">
        <v/>
      </c>
      <c r="H529" s="43" t="e">
        <f ca="1"/>
        <v>#N/A</v>
      </c>
      <c r="I529" s="42" t="str">
        <f ca="1"/>
        <v/>
      </c>
      <c r="J529" s="54" t="s">
        <v>4</v>
      </c>
    </row>
    <row r="530" spans="1:10" x14ac:dyDescent="0.25">
      <c r="A530" s="56"/>
      <c r="B530" s="57"/>
      <c r="C530" s="111"/>
      <c r="D530" s="59"/>
      <c r="E530" s="271" t="str">
        <v/>
      </c>
      <c r="F530" s="43" t="str">
        <v/>
      </c>
      <c r="G530" s="33" t="str">
        <v/>
      </c>
      <c r="H530" s="43" t="e">
        <f ca="1"/>
        <v>#N/A</v>
      </c>
      <c r="I530" s="42" t="str">
        <f ca="1"/>
        <v/>
      </c>
      <c r="J530" s="54" t="s">
        <v>4</v>
      </c>
    </row>
    <row r="531" spans="1:10" x14ac:dyDescent="0.25">
      <c r="A531" s="56"/>
      <c r="B531" s="57"/>
      <c r="C531" s="111"/>
      <c r="D531" s="59"/>
      <c r="E531" s="271" t="str">
        <v/>
      </c>
      <c r="F531" s="43" t="str">
        <v/>
      </c>
      <c r="G531" s="33" t="str">
        <v/>
      </c>
      <c r="H531" s="43" t="e">
        <f ca="1"/>
        <v>#N/A</v>
      </c>
      <c r="I531" s="42" t="str">
        <f ca="1"/>
        <v/>
      </c>
      <c r="J531" s="54" t="s">
        <v>4</v>
      </c>
    </row>
    <row r="532" spans="1:10" x14ac:dyDescent="0.25">
      <c r="A532" s="56"/>
      <c r="B532" s="57"/>
      <c r="C532" s="111"/>
      <c r="D532" s="59"/>
      <c r="E532" s="271" t="str">
        <v/>
      </c>
      <c r="F532" s="43" t="str">
        <v/>
      </c>
      <c r="G532" s="33" t="str">
        <v/>
      </c>
      <c r="H532" s="43" t="e">
        <f ca="1"/>
        <v>#N/A</v>
      </c>
      <c r="I532" s="42" t="str">
        <f ca="1"/>
        <v/>
      </c>
      <c r="J532" s="54" t="s">
        <v>4</v>
      </c>
    </row>
    <row r="533" spans="1:10" x14ac:dyDescent="0.25">
      <c r="A533" s="56"/>
      <c r="B533" s="57"/>
      <c r="C533" s="111"/>
      <c r="D533" s="59"/>
      <c r="E533" s="271" t="str">
        <v/>
      </c>
      <c r="F533" s="43" t="str">
        <v/>
      </c>
      <c r="G533" s="33" t="str">
        <v/>
      </c>
      <c r="H533" s="43" t="e">
        <f ca="1"/>
        <v>#N/A</v>
      </c>
      <c r="I533" s="42" t="str">
        <f ca="1"/>
        <v/>
      </c>
      <c r="J533" s="54" t="s">
        <v>4</v>
      </c>
    </row>
    <row r="534" spans="1:10" x14ac:dyDescent="0.25">
      <c r="A534" s="56"/>
      <c r="B534" s="57"/>
      <c r="C534" s="111"/>
      <c r="D534" s="59"/>
      <c r="E534" s="271" t="str">
        <v/>
      </c>
      <c r="F534" s="43" t="str">
        <v/>
      </c>
      <c r="G534" s="33" t="str">
        <v/>
      </c>
      <c r="H534" s="43" t="e">
        <f ca="1"/>
        <v>#N/A</v>
      </c>
      <c r="I534" s="42" t="str">
        <f ca="1"/>
        <v/>
      </c>
      <c r="J534" s="54" t="s">
        <v>4</v>
      </c>
    </row>
    <row r="535" spans="1:10" x14ac:dyDescent="0.25">
      <c r="A535" s="56"/>
      <c r="B535" s="57"/>
      <c r="C535" s="111"/>
      <c r="D535" s="59"/>
      <c r="E535" s="271" t="str">
        <v/>
      </c>
      <c r="F535" s="43" t="str">
        <v/>
      </c>
      <c r="G535" s="33" t="str">
        <v/>
      </c>
      <c r="H535" s="43" t="e">
        <f ca="1"/>
        <v>#N/A</v>
      </c>
      <c r="I535" s="42" t="str">
        <f ca="1"/>
        <v/>
      </c>
      <c r="J535" s="54" t="s">
        <v>4</v>
      </c>
    </row>
    <row r="536" spans="1:10" x14ac:dyDescent="0.25">
      <c r="A536" s="56"/>
      <c r="B536" s="57"/>
      <c r="C536" s="111"/>
      <c r="D536" s="59"/>
      <c r="E536" s="271" t="str">
        <v/>
      </c>
      <c r="F536" s="43" t="str">
        <v/>
      </c>
      <c r="G536" s="33" t="str">
        <v/>
      </c>
      <c r="H536" s="43" t="e">
        <f ca="1"/>
        <v>#N/A</v>
      </c>
      <c r="I536" s="42" t="str">
        <f ca="1"/>
        <v/>
      </c>
      <c r="J536" s="54" t="s">
        <v>4</v>
      </c>
    </row>
    <row r="537" spans="1:10" x14ac:dyDescent="0.25">
      <c r="A537" s="56"/>
      <c r="B537" s="57"/>
      <c r="C537" s="111"/>
      <c r="D537" s="59"/>
      <c r="E537" s="271" t="str">
        <v/>
      </c>
      <c r="F537" s="43" t="str">
        <v/>
      </c>
      <c r="G537" s="33" t="str">
        <v/>
      </c>
      <c r="H537" s="43" t="e">
        <f ca="1"/>
        <v>#N/A</v>
      </c>
      <c r="I537" s="42" t="str">
        <f ca="1"/>
        <v/>
      </c>
      <c r="J537" s="54" t="s">
        <v>4</v>
      </c>
    </row>
    <row r="538" spans="1:10" x14ac:dyDescent="0.25">
      <c r="A538" s="56"/>
      <c r="B538" s="57"/>
      <c r="C538" s="111"/>
      <c r="D538" s="59"/>
      <c r="E538" s="271" t="str">
        <v/>
      </c>
      <c r="F538" s="43" t="str">
        <v/>
      </c>
      <c r="G538" s="33" t="str">
        <v/>
      </c>
      <c r="H538" s="43" t="e">
        <f ca="1"/>
        <v>#N/A</v>
      </c>
      <c r="I538" s="42" t="str">
        <f ca="1"/>
        <v/>
      </c>
      <c r="J538" s="54" t="s">
        <v>4</v>
      </c>
    </row>
    <row r="539" spans="1:10" x14ac:dyDescent="0.25">
      <c r="A539" s="56"/>
      <c r="B539" s="57"/>
      <c r="C539" s="111"/>
      <c r="D539" s="59"/>
      <c r="E539" s="271" t="str">
        <v/>
      </c>
      <c r="F539" s="43" t="str">
        <v/>
      </c>
      <c r="G539" s="33" t="str">
        <v/>
      </c>
      <c r="H539" s="43" t="e">
        <f ca="1"/>
        <v>#N/A</v>
      </c>
      <c r="I539" s="42" t="str">
        <f ca="1"/>
        <v/>
      </c>
      <c r="J539" s="54" t="s">
        <v>4</v>
      </c>
    </row>
    <row r="540" spans="1:10" x14ac:dyDescent="0.25">
      <c r="A540" s="56"/>
      <c r="B540" s="57"/>
      <c r="C540" s="111"/>
      <c r="D540" s="59"/>
      <c r="E540" s="271" t="str">
        <v/>
      </c>
      <c r="F540" s="43" t="str">
        <v/>
      </c>
      <c r="G540" s="33" t="str">
        <v/>
      </c>
      <c r="H540" s="43" t="e">
        <f ca="1"/>
        <v>#N/A</v>
      </c>
      <c r="I540" s="42" t="str">
        <f ca="1"/>
        <v/>
      </c>
      <c r="J540" s="54" t="s">
        <v>4</v>
      </c>
    </row>
    <row r="541" spans="1:10" x14ac:dyDescent="0.25">
      <c r="A541" s="56"/>
      <c r="B541" s="57"/>
      <c r="C541" s="111"/>
      <c r="D541" s="59"/>
      <c r="E541" s="271" t="str">
        <v/>
      </c>
      <c r="F541" s="43" t="str">
        <v/>
      </c>
      <c r="G541" s="33" t="str">
        <v/>
      </c>
      <c r="H541" s="43" t="e">
        <f ca="1"/>
        <v>#N/A</v>
      </c>
      <c r="I541" s="42" t="str">
        <f ca="1"/>
        <v/>
      </c>
      <c r="J541" s="54" t="s">
        <v>4</v>
      </c>
    </row>
    <row r="542" spans="1:10" x14ac:dyDescent="0.25">
      <c r="A542" s="56"/>
      <c r="B542" s="57"/>
      <c r="C542" s="111"/>
      <c r="D542" s="59"/>
      <c r="E542" s="271" t="str">
        <v/>
      </c>
      <c r="F542" s="43" t="str">
        <v/>
      </c>
      <c r="G542" s="33" t="str">
        <v/>
      </c>
      <c r="H542" s="43" t="e">
        <f ca="1"/>
        <v>#N/A</v>
      </c>
      <c r="I542" s="42" t="str">
        <f ca="1"/>
        <v/>
      </c>
      <c r="J542" s="54" t="s">
        <v>4</v>
      </c>
    </row>
    <row r="543" spans="1:10" x14ac:dyDescent="0.25">
      <c r="A543" s="56"/>
      <c r="B543" s="57"/>
      <c r="C543" s="111"/>
      <c r="D543" s="59"/>
      <c r="E543" s="271" t="str">
        <v/>
      </c>
      <c r="F543" s="43" t="str">
        <v/>
      </c>
      <c r="G543" s="33" t="str">
        <v/>
      </c>
      <c r="H543" s="43" t="e">
        <f ca="1"/>
        <v>#N/A</v>
      </c>
      <c r="I543" s="42" t="str">
        <f ca="1"/>
        <v/>
      </c>
      <c r="J543" s="54" t="s">
        <v>4</v>
      </c>
    </row>
    <row r="544" spans="1:10" x14ac:dyDescent="0.25">
      <c r="A544" s="56"/>
      <c r="B544" s="57"/>
      <c r="C544" s="111"/>
      <c r="D544" s="59"/>
      <c r="E544" s="271" t="str">
        <v/>
      </c>
      <c r="F544" s="43" t="str">
        <v/>
      </c>
      <c r="G544" s="33" t="str">
        <v/>
      </c>
      <c r="H544" s="43" t="e">
        <f ca="1"/>
        <v>#N/A</v>
      </c>
      <c r="I544" s="42" t="str">
        <f ca="1"/>
        <v/>
      </c>
      <c r="J544" s="54" t="s">
        <v>4</v>
      </c>
    </row>
    <row r="545" spans="1:10" x14ac:dyDescent="0.25">
      <c r="A545" s="56"/>
      <c r="B545" s="57"/>
      <c r="C545" s="111"/>
      <c r="D545" s="59"/>
      <c r="E545" s="271" t="str">
        <v/>
      </c>
      <c r="F545" s="43" t="str">
        <v/>
      </c>
      <c r="G545" s="33" t="str">
        <v/>
      </c>
      <c r="H545" s="43" t="e">
        <f ca="1"/>
        <v>#N/A</v>
      </c>
      <c r="I545" s="42" t="str">
        <f ca="1"/>
        <v/>
      </c>
      <c r="J545" s="54" t="s">
        <v>4</v>
      </c>
    </row>
    <row r="546" spans="1:10" x14ac:dyDescent="0.25">
      <c r="A546" s="56"/>
      <c r="B546" s="57"/>
      <c r="C546" s="111"/>
      <c r="D546" s="59"/>
      <c r="E546" s="271" t="str">
        <v/>
      </c>
      <c r="F546" s="43" t="str">
        <v/>
      </c>
      <c r="G546" s="33" t="str">
        <v/>
      </c>
      <c r="H546" s="43" t="e">
        <f ca="1"/>
        <v>#N/A</v>
      </c>
      <c r="I546" s="42" t="str">
        <f ca="1"/>
        <v/>
      </c>
      <c r="J546" s="54" t="s">
        <v>4</v>
      </c>
    </row>
    <row r="547" spans="1:10" x14ac:dyDescent="0.25">
      <c r="A547" s="56"/>
      <c r="B547" s="57"/>
      <c r="C547" s="111"/>
      <c r="D547" s="59"/>
      <c r="E547" s="271" t="str">
        <v/>
      </c>
      <c r="F547" s="43" t="str">
        <v/>
      </c>
      <c r="G547" s="33" t="str">
        <v/>
      </c>
      <c r="H547" s="43" t="e">
        <f ca="1"/>
        <v>#N/A</v>
      </c>
      <c r="I547" s="42" t="str">
        <f ca="1"/>
        <v/>
      </c>
      <c r="J547" s="54" t="s">
        <v>4</v>
      </c>
    </row>
    <row r="548" spans="1:10" x14ac:dyDescent="0.25">
      <c r="A548" s="56"/>
      <c r="B548" s="57"/>
      <c r="C548" s="111"/>
      <c r="D548" s="59"/>
      <c r="E548" s="271" t="str">
        <v/>
      </c>
      <c r="F548" s="43" t="str">
        <v/>
      </c>
      <c r="G548" s="33" t="str">
        <v/>
      </c>
      <c r="H548" s="43" t="e">
        <f ca="1"/>
        <v>#N/A</v>
      </c>
      <c r="I548" s="42" t="str">
        <f ca="1"/>
        <v/>
      </c>
      <c r="J548" s="54" t="s">
        <v>4</v>
      </c>
    </row>
    <row r="549" spans="1:10" x14ac:dyDescent="0.25">
      <c r="A549" s="56"/>
      <c r="B549" s="57"/>
      <c r="C549" s="111"/>
      <c r="D549" s="59"/>
      <c r="E549" s="271" t="str">
        <v/>
      </c>
      <c r="F549" s="43" t="str">
        <v/>
      </c>
      <c r="G549" s="33" t="str">
        <v/>
      </c>
      <c r="H549" s="43" t="e">
        <f ca="1"/>
        <v>#N/A</v>
      </c>
      <c r="I549" s="42" t="str">
        <f ca="1"/>
        <v/>
      </c>
      <c r="J549" s="54" t="s">
        <v>4</v>
      </c>
    </row>
    <row r="550" spans="1:10" x14ac:dyDescent="0.25">
      <c r="A550" s="56"/>
      <c r="B550" s="57"/>
      <c r="C550" s="111"/>
      <c r="D550" s="59"/>
      <c r="E550" s="271" t="str">
        <v/>
      </c>
      <c r="F550" s="43" t="str">
        <v/>
      </c>
      <c r="G550" s="33" t="str">
        <v/>
      </c>
      <c r="H550" s="43" t="e">
        <f ca="1"/>
        <v>#N/A</v>
      </c>
      <c r="I550" s="42" t="str">
        <f ca="1"/>
        <v/>
      </c>
      <c r="J550" s="54" t="s">
        <v>4</v>
      </c>
    </row>
    <row r="551" spans="1:10" x14ac:dyDescent="0.25">
      <c r="A551" s="56"/>
      <c r="B551" s="57"/>
      <c r="C551" s="111"/>
      <c r="D551" s="59"/>
      <c r="E551" s="271" t="str">
        <v/>
      </c>
      <c r="F551" s="43" t="str">
        <v/>
      </c>
      <c r="G551" s="33" t="str">
        <v/>
      </c>
      <c r="H551" s="43" t="e">
        <f ca="1"/>
        <v>#N/A</v>
      </c>
      <c r="I551" s="42" t="str">
        <f ca="1"/>
        <v/>
      </c>
      <c r="J551" s="54" t="s">
        <v>4</v>
      </c>
    </row>
    <row r="552" spans="1:10" x14ac:dyDescent="0.25">
      <c r="A552" s="56"/>
      <c r="B552" s="57"/>
      <c r="C552" s="111"/>
      <c r="D552" s="59"/>
      <c r="E552" s="271" t="str">
        <v/>
      </c>
      <c r="F552" s="43" t="str">
        <v/>
      </c>
      <c r="G552" s="33" t="str">
        <v/>
      </c>
      <c r="H552" s="43" t="e">
        <f ca="1"/>
        <v>#N/A</v>
      </c>
      <c r="I552" s="42" t="str">
        <f ca="1"/>
        <v/>
      </c>
      <c r="J552" s="54" t="s">
        <v>4</v>
      </c>
    </row>
    <row r="553" spans="1:10" x14ac:dyDescent="0.25">
      <c r="A553" s="56"/>
      <c r="B553" s="57"/>
      <c r="C553" s="111"/>
      <c r="D553" s="59"/>
      <c r="E553" s="271" t="str">
        <v/>
      </c>
      <c r="F553" s="43" t="str">
        <v/>
      </c>
      <c r="G553" s="33" t="str">
        <v/>
      </c>
      <c r="H553" s="43" t="e">
        <f ca="1"/>
        <v>#N/A</v>
      </c>
      <c r="I553" s="42" t="str">
        <f ca="1"/>
        <v/>
      </c>
      <c r="J553" s="54" t="s">
        <v>4</v>
      </c>
    </row>
    <row r="554" spans="1:10" x14ac:dyDescent="0.25">
      <c r="A554" s="56"/>
      <c r="B554" s="57"/>
      <c r="C554" s="111"/>
      <c r="D554" s="59"/>
      <c r="E554" s="271" t="str">
        <v/>
      </c>
      <c r="F554" s="43" t="str">
        <v/>
      </c>
      <c r="G554" s="33" t="str">
        <v/>
      </c>
      <c r="H554" s="43" t="e">
        <f ca="1"/>
        <v>#N/A</v>
      </c>
      <c r="I554" s="42" t="str">
        <f ca="1"/>
        <v/>
      </c>
      <c r="J554" s="54" t="s">
        <v>4</v>
      </c>
    </row>
    <row r="555" spans="1:10" x14ac:dyDescent="0.25">
      <c r="A555" s="56"/>
      <c r="B555" s="57"/>
      <c r="C555" s="111"/>
      <c r="D555" s="59"/>
      <c r="E555" s="271" t="str">
        <v/>
      </c>
      <c r="F555" s="43" t="str">
        <v/>
      </c>
      <c r="G555" s="33" t="str">
        <v/>
      </c>
      <c r="H555" s="43" t="e">
        <f ca="1"/>
        <v>#N/A</v>
      </c>
      <c r="I555" s="42" t="str">
        <f ca="1"/>
        <v/>
      </c>
      <c r="J555" s="54" t="s">
        <v>4</v>
      </c>
    </row>
    <row r="556" spans="1:10" x14ac:dyDescent="0.25">
      <c r="A556" s="56"/>
      <c r="B556" s="57"/>
      <c r="C556" s="111"/>
      <c r="D556" s="59"/>
      <c r="E556" s="271" t="str">
        <v/>
      </c>
      <c r="F556" s="43" t="str">
        <v/>
      </c>
      <c r="G556" s="33" t="str">
        <v/>
      </c>
      <c r="H556" s="43" t="e">
        <f ca="1"/>
        <v>#N/A</v>
      </c>
      <c r="I556" s="42" t="str">
        <f ca="1"/>
        <v/>
      </c>
      <c r="J556" s="54" t="s">
        <v>4</v>
      </c>
    </row>
    <row r="557" spans="1:10" x14ac:dyDescent="0.25">
      <c r="A557" s="56"/>
      <c r="B557" s="57"/>
      <c r="C557" s="111"/>
      <c r="D557" s="59"/>
      <c r="E557" s="271" t="str">
        <v/>
      </c>
      <c r="F557" s="43" t="str">
        <v/>
      </c>
      <c r="G557" s="33" t="str">
        <v/>
      </c>
      <c r="H557" s="43" t="e">
        <f ca="1"/>
        <v>#N/A</v>
      </c>
      <c r="I557" s="42" t="str">
        <f ca="1"/>
        <v/>
      </c>
      <c r="J557" s="54" t="s">
        <v>4</v>
      </c>
    </row>
    <row r="558" spans="1:10" x14ac:dyDescent="0.25">
      <c r="A558" s="56"/>
      <c r="B558" s="57"/>
      <c r="C558" s="111"/>
      <c r="D558" s="59"/>
      <c r="E558" s="271" t="str">
        <v/>
      </c>
      <c r="F558" s="43" t="str">
        <v/>
      </c>
      <c r="G558" s="33" t="str">
        <v/>
      </c>
      <c r="H558" s="43" t="e">
        <f ca="1"/>
        <v>#N/A</v>
      </c>
      <c r="I558" s="42" t="str">
        <f ca="1"/>
        <v/>
      </c>
      <c r="J558" s="54" t="s">
        <v>4</v>
      </c>
    </row>
    <row r="559" spans="1:10" x14ac:dyDescent="0.25">
      <c r="A559" s="56"/>
      <c r="B559" s="57"/>
      <c r="C559" s="111"/>
      <c r="D559" s="59"/>
      <c r="E559" s="271" t="str">
        <v/>
      </c>
      <c r="F559" s="43" t="str">
        <v/>
      </c>
      <c r="G559" s="33" t="str">
        <v/>
      </c>
      <c r="H559" s="43" t="e">
        <f ca="1"/>
        <v>#N/A</v>
      </c>
      <c r="I559" s="42" t="str">
        <f ca="1"/>
        <v/>
      </c>
      <c r="J559" s="54" t="s">
        <v>4</v>
      </c>
    </row>
    <row r="560" spans="1:10" x14ac:dyDescent="0.25">
      <c r="A560" s="56"/>
      <c r="B560" s="57"/>
      <c r="C560" s="111"/>
      <c r="D560" s="59"/>
      <c r="E560" s="271" t="str">
        <v/>
      </c>
      <c r="F560" s="43" t="str">
        <v/>
      </c>
      <c r="G560" s="33" t="str">
        <v/>
      </c>
      <c r="H560" s="43" t="e">
        <f ca="1"/>
        <v>#N/A</v>
      </c>
      <c r="I560" s="42" t="str">
        <f ca="1"/>
        <v/>
      </c>
      <c r="J560" s="54" t="s">
        <v>4</v>
      </c>
    </row>
    <row r="561" spans="1:10" x14ac:dyDescent="0.25">
      <c r="A561" s="56"/>
      <c r="B561" s="57"/>
      <c r="C561" s="111"/>
      <c r="D561" s="59"/>
      <c r="E561" s="271" t="str">
        <v/>
      </c>
      <c r="F561" s="43" t="str">
        <v/>
      </c>
      <c r="G561" s="33" t="str">
        <v/>
      </c>
      <c r="H561" s="43" t="e">
        <f ca="1"/>
        <v>#N/A</v>
      </c>
      <c r="I561" s="42" t="str">
        <f ca="1"/>
        <v/>
      </c>
      <c r="J561" s="54" t="s">
        <v>4</v>
      </c>
    </row>
    <row r="562" spans="1:10" x14ac:dyDescent="0.25">
      <c r="A562" s="56"/>
      <c r="B562" s="57"/>
      <c r="C562" s="111"/>
      <c r="D562" s="59"/>
      <c r="E562" s="271" t="str">
        <v/>
      </c>
      <c r="F562" s="43" t="str">
        <v/>
      </c>
      <c r="G562" s="33" t="str">
        <v/>
      </c>
      <c r="H562" s="43" t="e">
        <f ca="1"/>
        <v>#N/A</v>
      </c>
      <c r="I562" s="42" t="str">
        <f ca="1"/>
        <v/>
      </c>
      <c r="J562" s="54" t="s">
        <v>4</v>
      </c>
    </row>
    <row r="563" spans="1:10" x14ac:dyDescent="0.25">
      <c r="A563" s="56"/>
      <c r="B563" s="57"/>
      <c r="C563" s="111"/>
      <c r="D563" s="59"/>
      <c r="E563" s="271" t="str">
        <v/>
      </c>
      <c r="F563" s="43" t="str">
        <v/>
      </c>
      <c r="G563" s="33" t="str">
        <v/>
      </c>
      <c r="H563" s="43" t="e">
        <f ca="1"/>
        <v>#N/A</v>
      </c>
      <c r="I563" s="42" t="str">
        <f ca="1"/>
        <v/>
      </c>
      <c r="J563" s="54" t="s">
        <v>4</v>
      </c>
    </row>
    <row r="564" spans="1:10" x14ac:dyDescent="0.25">
      <c r="A564" s="56"/>
      <c r="B564" s="57"/>
      <c r="C564" s="111"/>
      <c r="D564" s="59"/>
      <c r="E564" s="271" t="str">
        <v/>
      </c>
      <c r="F564" s="43" t="str">
        <v/>
      </c>
      <c r="G564" s="33" t="str">
        <v/>
      </c>
      <c r="H564" s="43" t="e">
        <f ca="1"/>
        <v>#N/A</v>
      </c>
      <c r="I564" s="42" t="str">
        <f ca="1"/>
        <v/>
      </c>
      <c r="J564" s="54" t="s">
        <v>4</v>
      </c>
    </row>
    <row r="565" spans="1:10" x14ac:dyDescent="0.25">
      <c r="A565" s="56"/>
      <c r="B565" s="57"/>
      <c r="C565" s="111"/>
      <c r="D565" s="59"/>
      <c r="E565" s="271" t="str">
        <v/>
      </c>
      <c r="F565" s="43" t="str">
        <v/>
      </c>
      <c r="G565" s="33" t="str">
        <v/>
      </c>
      <c r="H565" s="43" t="e">
        <f ca="1"/>
        <v>#N/A</v>
      </c>
      <c r="I565" s="42" t="str">
        <f ca="1"/>
        <v/>
      </c>
      <c r="J565" s="54" t="s">
        <v>4</v>
      </c>
    </row>
    <row r="566" spans="1:10" x14ac:dyDescent="0.25">
      <c r="A566" s="56"/>
      <c r="B566" s="57"/>
      <c r="C566" s="111"/>
      <c r="D566" s="59"/>
      <c r="E566" s="271" t="str">
        <v/>
      </c>
      <c r="F566" s="43" t="str">
        <v/>
      </c>
      <c r="G566" s="33" t="str">
        <v/>
      </c>
      <c r="H566" s="43" t="e">
        <f ca="1"/>
        <v>#N/A</v>
      </c>
      <c r="I566" s="42" t="str">
        <f ca="1"/>
        <v/>
      </c>
      <c r="J566" s="54" t="s">
        <v>4</v>
      </c>
    </row>
    <row r="567" spans="1:10" x14ac:dyDescent="0.25">
      <c r="A567" s="56"/>
      <c r="B567" s="57"/>
      <c r="C567" s="111"/>
      <c r="D567" s="59"/>
      <c r="E567" s="271" t="str">
        <v/>
      </c>
      <c r="F567" s="43" t="str">
        <v/>
      </c>
      <c r="G567" s="33" t="str">
        <v/>
      </c>
      <c r="H567" s="43" t="e">
        <f ca="1"/>
        <v>#N/A</v>
      </c>
      <c r="I567" s="42" t="str">
        <f ca="1"/>
        <v/>
      </c>
      <c r="J567" s="54" t="s">
        <v>4</v>
      </c>
    </row>
    <row r="568" spans="1:10" x14ac:dyDescent="0.25">
      <c r="A568" s="56"/>
      <c r="B568" s="57"/>
      <c r="C568" s="111"/>
      <c r="D568" s="59"/>
      <c r="E568" s="271" t="str">
        <v/>
      </c>
      <c r="F568" s="43" t="str">
        <v/>
      </c>
      <c r="G568" s="33" t="str">
        <v/>
      </c>
      <c r="H568" s="43" t="e">
        <f ca="1"/>
        <v>#N/A</v>
      </c>
      <c r="I568" s="42" t="str">
        <f ca="1"/>
        <v/>
      </c>
      <c r="J568" s="54" t="s">
        <v>4</v>
      </c>
    </row>
    <row r="569" spans="1:10" x14ac:dyDescent="0.25">
      <c r="A569" s="56"/>
      <c r="B569" s="57"/>
      <c r="C569" s="111"/>
      <c r="D569" s="59"/>
      <c r="E569" s="271" t="str">
        <v/>
      </c>
      <c r="F569" s="43" t="str">
        <v/>
      </c>
      <c r="G569" s="33" t="str">
        <v/>
      </c>
      <c r="H569" s="43" t="e">
        <f ca="1"/>
        <v>#N/A</v>
      </c>
      <c r="I569" s="42" t="str">
        <f ca="1"/>
        <v/>
      </c>
      <c r="J569" s="54" t="s">
        <v>4</v>
      </c>
    </row>
    <row r="570" spans="1:10" x14ac:dyDescent="0.25">
      <c r="A570" s="56"/>
      <c r="B570" s="57"/>
      <c r="C570" s="111"/>
      <c r="D570" s="59"/>
      <c r="E570" s="271" t="str">
        <v/>
      </c>
      <c r="F570" s="43" t="str">
        <v/>
      </c>
      <c r="G570" s="33" t="str">
        <v/>
      </c>
      <c r="H570" s="43" t="e">
        <f ca="1"/>
        <v>#N/A</v>
      </c>
      <c r="I570" s="42" t="str">
        <f ca="1"/>
        <v/>
      </c>
      <c r="J570" s="54" t="s">
        <v>4</v>
      </c>
    </row>
    <row r="571" spans="1:10" x14ac:dyDescent="0.25">
      <c r="A571" s="56"/>
      <c r="B571" s="57"/>
      <c r="C571" s="111"/>
      <c r="D571" s="59"/>
      <c r="E571" s="271" t="str">
        <v/>
      </c>
      <c r="F571" s="43" t="str">
        <v/>
      </c>
      <c r="G571" s="33" t="str">
        <v/>
      </c>
      <c r="H571" s="43" t="e">
        <f ca="1"/>
        <v>#N/A</v>
      </c>
      <c r="I571" s="42" t="str">
        <f ca="1"/>
        <v/>
      </c>
      <c r="J571" s="54" t="s">
        <v>4</v>
      </c>
    </row>
    <row r="572" spans="1:10" x14ac:dyDescent="0.25">
      <c r="A572" s="56"/>
      <c r="B572" s="57"/>
      <c r="C572" s="111"/>
      <c r="D572" s="59"/>
      <c r="E572" s="271" t="str">
        <v/>
      </c>
      <c r="F572" s="43" t="str">
        <v/>
      </c>
      <c r="G572" s="33" t="str">
        <v/>
      </c>
      <c r="H572" s="43" t="e">
        <f ca="1"/>
        <v>#N/A</v>
      </c>
      <c r="I572" s="42" t="str">
        <f ca="1"/>
        <v/>
      </c>
      <c r="J572" s="54" t="s">
        <v>4</v>
      </c>
    </row>
    <row r="573" spans="1:10" x14ac:dyDescent="0.25">
      <c r="A573" s="56"/>
      <c r="B573" s="57"/>
      <c r="C573" s="111"/>
      <c r="D573" s="59"/>
      <c r="E573" s="271" t="str">
        <v/>
      </c>
      <c r="F573" s="43" t="str">
        <v/>
      </c>
      <c r="G573" s="33" t="str">
        <v/>
      </c>
      <c r="H573" s="43" t="e">
        <f ca="1"/>
        <v>#N/A</v>
      </c>
      <c r="I573" s="42" t="str">
        <f ca="1"/>
        <v/>
      </c>
      <c r="J573" s="54" t="s">
        <v>4</v>
      </c>
    </row>
    <row r="574" spans="1:10" x14ac:dyDescent="0.25">
      <c r="A574" s="56"/>
      <c r="B574" s="57"/>
      <c r="C574" s="111"/>
      <c r="D574" s="59"/>
      <c r="E574" s="271" t="str">
        <v/>
      </c>
      <c r="F574" s="43" t="str">
        <v/>
      </c>
      <c r="G574" s="33" t="str">
        <v/>
      </c>
      <c r="H574" s="43" t="e">
        <f ca="1"/>
        <v>#N/A</v>
      </c>
      <c r="I574" s="42" t="str">
        <f ca="1"/>
        <v/>
      </c>
      <c r="J574" s="54" t="s">
        <v>4</v>
      </c>
    </row>
    <row r="575" spans="1:10" x14ac:dyDescent="0.25">
      <c r="A575" s="56"/>
      <c r="B575" s="57"/>
      <c r="C575" s="111"/>
      <c r="D575" s="59"/>
      <c r="E575" s="271" t="str">
        <v/>
      </c>
      <c r="F575" s="43" t="str">
        <v/>
      </c>
      <c r="G575" s="33" t="str">
        <v/>
      </c>
      <c r="H575" s="43" t="e">
        <f ca="1"/>
        <v>#N/A</v>
      </c>
      <c r="I575" s="42" t="str">
        <f ca="1"/>
        <v/>
      </c>
      <c r="J575" s="54" t="s">
        <v>4</v>
      </c>
    </row>
    <row r="576" spans="1:10" x14ac:dyDescent="0.25">
      <c r="A576" s="56"/>
      <c r="B576" s="57"/>
      <c r="C576" s="111"/>
      <c r="D576" s="59"/>
      <c r="E576" s="271" t="str">
        <v/>
      </c>
      <c r="F576" s="43" t="str">
        <v/>
      </c>
      <c r="G576" s="33" t="str">
        <v/>
      </c>
      <c r="H576" s="43" t="e">
        <f ca="1"/>
        <v>#N/A</v>
      </c>
      <c r="I576" s="42" t="str">
        <f ca="1"/>
        <v/>
      </c>
      <c r="J576" s="54" t="s">
        <v>4</v>
      </c>
    </row>
    <row r="577" spans="1:10" x14ac:dyDescent="0.25">
      <c r="A577" s="56"/>
      <c r="B577" s="57"/>
      <c r="C577" s="111"/>
      <c r="D577" s="59"/>
      <c r="E577" s="271" t="str">
        <v/>
      </c>
      <c r="F577" s="43" t="str">
        <v/>
      </c>
      <c r="G577" s="33" t="str">
        <v/>
      </c>
      <c r="H577" s="43" t="e">
        <f ca="1"/>
        <v>#N/A</v>
      </c>
      <c r="I577" s="42" t="str">
        <f ca="1"/>
        <v/>
      </c>
      <c r="J577" s="54" t="s">
        <v>4</v>
      </c>
    </row>
    <row r="578" spans="1:10" x14ac:dyDescent="0.25">
      <c r="A578" s="56"/>
      <c r="B578" s="57"/>
      <c r="C578" s="111"/>
      <c r="D578" s="59"/>
      <c r="E578" s="271" t="str">
        <v/>
      </c>
      <c r="F578" s="43" t="str">
        <v/>
      </c>
      <c r="G578" s="33" t="str">
        <v/>
      </c>
      <c r="H578" s="43" t="e">
        <f ca="1"/>
        <v>#N/A</v>
      </c>
      <c r="I578" s="42" t="str">
        <f ca="1"/>
        <v/>
      </c>
      <c r="J578" s="54" t="s">
        <v>4</v>
      </c>
    </row>
    <row r="579" spans="1:10" x14ac:dyDescent="0.25">
      <c r="A579" s="56"/>
      <c r="B579" s="57"/>
      <c r="C579" s="111"/>
      <c r="D579" s="59"/>
      <c r="E579" s="271" t="str">
        <v/>
      </c>
      <c r="F579" s="43" t="str">
        <v/>
      </c>
      <c r="G579" s="33" t="str">
        <v/>
      </c>
      <c r="H579" s="43" t="e">
        <f ca="1"/>
        <v>#N/A</v>
      </c>
      <c r="I579" s="42" t="str">
        <f ca="1"/>
        <v/>
      </c>
      <c r="J579" s="54" t="s">
        <v>4</v>
      </c>
    </row>
    <row r="580" spans="1:10" x14ac:dyDescent="0.25">
      <c r="A580" s="56"/>
      <c r="B580" s="57"/>
      <c r="C580" s="111"/>
      <c r="D580" s="59"/>
      <c r="E580" s="271" t="str">
        <v/>
      </c>
      <c r="F580" s="43" t="str">
        <v/>
      </c>
      <c r="G580" s="33" t="str">
        <v/>
      </c>
      <c r="H580" s="43" t="e">
        <f ca="1"/>
        <v>#N/A</v>
      </c>
      <c r="I580" s="42" t="str">
        <f ca="1"/>
        <v/>
      </c>
      <c r="J580" s="54" t="s">
        <v>4</v>
      </c>
    </row>
    <row r="581" spans="1:10" x14ac:dyDescent="0.25">
      <c r="A581" s="56"/>
      <c r="B581" s="57"/>
      <c r="C581" s="111"/>
      <c r="D581" s="59"/>
      <c r="E581" s="271" t="str">
        <v/>
      </c>
      <c r="F581" s="43" t="str">
        <v/>
      </c>
      <c r="G581" s="33" t="str">
        <v/>
      </c>
      <c r="H581" s="43" t="e">
        <f ca="1"/>
        <v>#N/A</v>
      </c>
      <c r="I581" s="42" t="str">
        <f ca="1"/>
        <v/>
      </c>
      <c r="J581" s="54" t="s">
        <v>4</v>
      </c>
    </row>
    <row r="582" spans="1:10" x14ac:dyDescent="0.25">
      <c r="A582" s="56"/>
      <c r="B582" s="57"/>
      <c r="C582" s="111"/>
      <c r="D582" s="59"/>
      <c r="E582" s="271" t="str">
        <v/>
      </c>
      <c r="F582" s="43" t="str">
        <v/>
      </c>
      <c r="G582" s="33" t="str">
        <v/>
      </c>
      <c r="H582" s="43" t="e">
        <f ca="1"/>
        <v>#N/A</v>
      </c>
      <c r="I582" s="42" t="str">
        <f ca="1"/>
        <v/>
      </c>
      <c r="J582" s="54" t="s">
        <v>4</v>
      </c>
    </row>
    <row r="583" spans="1:10" x14ac:dyDescent="0.25">
      <c r="A583" s="56"/>
      <c r="B583" s="57"/>
      <c r="C583" s="111"/>
      <c r="D583" s="59"/>
      <c r="E583" s="271" t="str">
        <v/>
      </c>
      <c r="F583" s="43" t="str">
        <v/>
      </c>
      <c r="G583" s="33" t="str">
        <v/>
      </c>
      <c r="H583" s="43" t="e">
        <f ca="1"/>
        <v>#N/A</v>
      </c>
      <c r="I583" s="42" t="str">
        <f ca="1"/>
        <v/>
      </c>
      <c r="J583" s="54" t="s">
        <v>4</v>
      </c>
    </row>
    <row r="584" spans="1:10" x14ac:dyDescent="0.25">
      <c r="A584" s="56"/>
      <c r="B584" s="57"/>
      <c r="C584" s="111"/>
      <c r="D584" s="59"/>
      <c r="E584" s="271" t="str">
        <v/>
      </c>
      <c r="F584" s="43" t="str">
        <v/>
      </c>
      <c r="G584" s="33" t="str">
        <v/>
      </c>
      <c r="H584" s="43" t="e">
        <f ca="1"/>
        <v>#N/A</v>
      </c>
      <c r="I584" s="42" t="str">
        <f ca="1"/>
        <v/>
      </c>
      <c r="J584" s="54" t="s">
        <v>4</v>
      </c>
    </row>
    <row r="585" spans="1:10" x14ac:dyDescent="0.25">
      <c r="A585" s="56"/>
      <c r="B585" s="57"/>
      <c r="C585" s="111"/>
      <c r="D585" s="59"/>
      <c r="E585" s="271" t="str">
        <v/>
      </c>
      <c r="F585" s="43" t="str">
        <v/>
      </c>
      <c r="G585" s="33" t="str">
        <v/>
      </c>
      <c r="H585" s="43" t="e">
        <f ca="1"/>
        <v>#N/A</v>
      </c>
      <c r="I585" s="42" t="str">
        <f ca="1"/>
        <v/>
      </c>
      <c r="J585" s="54" t="s">
        <v>4</v>
      </c>
    </row>
    <row r="586" spans="1:10" x14ac:dyDescent="0.25">
      <c r="A586" s="56"/>
      <c r="B586" s="57"/>
      <c r="C586" s="111"/>
      <c r="D586" s="59"/>
      <c r="E586" s="271" t="str">
        <v/>
      </c>
      <c r="F586" s="43" t="str">
        <v/>
      </c>
      <c r="G586" s="33" t="str">
        <v/>
      </c>
      <c r="H586" s="43" t="e">
        <f ca="1"/>
        <v>#N/A</v>
      </c>
      <c r="I586" s="42" t="str">
        <f ca="1"/>
        <v/>
      </c>
      <c r="J586" s="54" t="s">
        <v>4</v>
      </c>
    </row>
    <row r="587" spans="1:10" x14ac:dyDescent="0.25">
      <c r="A587" s="56"/>
      <c r="B587" s="57"/>
      <c r="C587" s="111"/>
      <c r="D587" s="59"/>
      <c r="E587" s="271" t="str">
        <v/>
      </c>
      <c r="F587" s="43" t="str">
        <v/>
      </c>
      <c r="G587" s="33" t="str">
        <v/>
      </c>
      <c r="H587" s="43" t="e">
        <f ca="1"/>
        <v>#N/A</v>
      </c>
      <c r="I587" s="42" t="str">
        <f ca="1"/>
        <v/>
      </c>
      <c r="J587" s="54" t="s">
        <v>4</v>
      </c>
    </row>
    <row r="588" spans="1:10" x14ac:dyDescent="0.25">
      <c r="A588" s="56"/>
      <c r="B588" s="57"/>
      <c r="C588" s="111"/>
      <c r="D588" s="59"/>
      <c r="E588" s="271" t="str">
        <v/>
      </c>
      <c r="F588" s="43" t="str">
        <v/>
      </c>
      <c r="G588" s="33" t="str">
        <v/>
      </c>
      <c r="H588" s="43" t="e">
        <f ca="1"/>
        <v>#N/A</v>
      </c>
      <c r="I588" s="42" t="str">
        <f ca="1"/>
        <v/>
      </c>
      <c r="J588" s="54" t="s">
        <v>4</v>
      </c>
    </row>
    <row r="589" spans="1:10" x14ac:dyDescent="0.25">
      <c r="A589" s="56"/>
      <c r="B589" s="57"/>
      <c r="C589" s="111"/>
      <c r="D589" s="59"/>
      <c r="E589" s="271" t="str">
        <v/>
      </c>
      <c r="F589" s="43" t="str">
        <v/>
      </c>
      <c r="G589" s="33" t="str">
        <v/>
      </c>
      <c r="H589" s="43" t="e">
        <f ca="1"/>
        <v>#N/A</v>
      </c>
      <c r="I589" s="42" t="str">
        <f ca="1"/>
        <v/>
      </c>
      <c r="J589" s="54" t="s">
        <v>4</v>
      </c>
    </row>
    <row r="590" spans="1:10" x14ac:dyDescent="0.25">
      <c r="A590" s="56"/>
      <c r="B590" s="57"/>
      <c r="C590" s="111"/>
      <c r="D590" s="59"/>
      <c r="E590" s="271" t="str">
        <v/>
      </c>
      <c r="F590" s="43" t="str">
        <v/>
      </c>
      <c r="G590" s="33" t="str">
        <v/>
      </c>
      <c r="H590" s="43" t="e">
        <f ca="1"/>
        <v>#N/A</v>
      </c>
      <c r="I590" s="42" t="str">
        <f ca="1"/>
        <v/>
      </c>
      <c r="J590" s="54" t="s">
        <v>4</v>
      </c>
    </row>
    <row r="591" spans="1:10" x14ac:dyDescent="0.25">
      <c r="A591" s="56"/>
      <c r="B591" s="57"/>
      <c r="C591" s="111"/>
      <c r="D591" s="59"/>
      <c r="E591" s="271" t="str">
        <v/>
      </c>
      <c r="F591" s="43" t="str">
        <v/>
      </c>
      <c r="G591" s="33" t="str">
        <v/>
      </c>
      <c r="H591" s="43" t="e">
        <f ca="1"/>
        <v>#N/A</v>
      </c>
      <c r="I591" s="42" t="str">
        <f ca="1"/>
        <v/>
      </c>
      <c r="J591" s="54" t="s">
        <v>4</v>
      </c>
    </row>
    <row r="592" spans="1:10" x14ac:dyDescent="0.25">
      <c r="A592" s="56"/>
      <c r="B592" s="57"/>
      <c r="C592" s="111"/>
      <c r="D592" s="59"/>
      <c r="E592" s="271" t="str">
        <v/>
      </c>
      <c r="F592" s="43" t="str">
        <v/>
      </c>
      <c r="G592" s="33" t="str">
        <v/>
      </c>
      <c r="H592" s="43" t="e">
        <f ca="1"/>
        <v>#N/A</v>
      </c>
      <c r="I592" s="42" t="str">
        <f ca="1"/>
        <v/>
      </c>
      <c r="J592" s="54" t="s">
        <v>4</v>
      </c>
    </row>
    <row r="593" spans="1:10" x14ac:dyDescent="0.25">
      <c r="A593" s="56"/>
      <c r="B593" s="57"/>
      <c r="C593" s="111"/>
      <c r="D593" s="59"/>
      <c r="E593" s="271" t="str">
        <v/>
      </c>
      <c r="F593" s="43" t="str">
        <v/>
      </c>
      <c r="G593" s="33" t="str">
        <v/>
      </c>
      <c r="H593" s="43" t="e">
        <f ca="1"/>
        <v>#N/A</v>
      </c>
      <c r="I593" s="42" t="str">
        <f ca="1"/>
        <v/>
      </c>
      <c r="J593" s="54" t="s">
        <v>4</v>
      </c>
    </row>
    <row r="594" spans="1:10" x14ac:dyDescent="0.25">
      <c r="A594" s="56"/>
      <c r="B594" s="57"/>
      <c r="C594" s="111"/>
      <c r="D594" s="59"/>
      <c r="E594" s="271" t="str">
        <v/>
      </c>
      <c r="F594" s="43" t="str">
        <v/>
      </c>
      <c r="G594" s="33" t="str">
        <v/>
      </c>
      <c r="H594" s="43" t="e">
        <f ca="1"/>
        <v>#N/A</v>
      </c>
      <c r="I594" s="42" t="str">
        <f ca="1"/>
        <v/>
      </c>
      <c r="J594" s="54" t="s">
        <v>4</v>
      </c>
    </row>
    <row r="595" spans="1:10" x14ac:dyDescent="0.25">
      <c r="A595" s="56"/>
      <c r="B595" s="57"/>
      <c r="C595" s="111"/>
      <c r="D595" s="59"/>
      <c r="E595" s="271" t="str">
        <v/>
      </c>
      <c r="F595" s="43" t="str">
        <v/>
      </c>
      <c r="G595" s="33" t="str">
        <v/>
      </c>
      <c r="H595" s="43" t="e">
        <f ca="1"/>
        <v>#N/A</v>
      </c>
      <c r="I595" s="42" t="str">
        <f ca="1"/>
        <v/>
      </c>
      <c r="J595" s="54" t="s">
        <v>4</v>
      </c>
    </row>
    <row r="596" spans="1:10" x14ac:dyDescent="0.25">
      <c r="A596" s="56"/>
      <c r="B596" s="57"/>
      <c r="C596" s="111"/>
      <c r="D596" s="59"/>
      <c r="E596" s="271" t="str">
        <v/>
      </c>
      <c r="F596" s="43" t="str">
        <v/>
      </c>
      <c r="G596" s="33" t="str">
        <v/>
      </c>
      <c r="H596" s="43" t="e">
        <f ca="1"/>
        <v>#N/A</v>
      </c>
      <c r="I596" s="42" t="str">
        <f ca="1"/>
        <v/>
      </c>
      <c r="J596" s="54" t="s">
        <v>4</v>
      </c>
    </row>
    <row r="597" spans="1:10" x14ac:dyDescent="0.25">
      <c r="A597" s="56"/>
      <c r="B597" s="57"/>
      <c r="C597" s="111"/>
      <c r="D597" s="59"/>
      <c r="E597" s="271" t="str">
        <v/>
      </c>
      <c r="F597" s="43" t="str">
        <v/>
      </c>
      <c r="G597" s="33" t="str">
        <v/>
      </c>
      <c r="H597" s="43" t="e">
        <f ca="1"/>
        <v>#N/A</v>
      </c>
      <c r="I597" s="42" t="str">
        <f ca="1"/>
        <v/>
      </c>
      <c r="J597" s="54" t="s">
        <v>4</v>
      </c>
    </row>
    <row r="598" spans="1:10" x14ac:dyDescent="0.25">
      <c r="A598" s="56"/>
      <c r="B598" s="57"/>
      <c r="C598" s="111"/>
      <c r="D598" s="59"/>
      <c r="E598" s="271" t="str">
        <v/>
      </c>
      <c r="F598" s="43" t="str">
        <v/>
      </c>
      <c r="G598" s="33" t="str">
        <v/>
      </c>
      <c r="H598" s="43" t="e">
        <f ca="1"/>
        <v>#N/A</v>
      </c>
      <c r="I598" s="42" t="str">
        <f ca="1"/>
        <v/>
      </c>
      <c r="J598" s="54" t="s">
        <v>4</v>
      </c>
    </row>
    <row r="599" spans="1:10" x14ac:dyDescent="0.25">
      <c r="A599" s="56"/>
      <c r="B599" s="57"/>
      <c r="C599" s="111"/>
      <c r="D599" s="59"/>
      <c r="E599" s="271" t="str">
        <v/>
      </c>
      <c r="F599" s="43" t="str">
        <v/>
      </c>
      <c r="G599" s="33" t="str">
        <v/>
      </c>
      <c r="H599" s="43" t="e">
        <f ca="1"/>
        <v>#N/A</v>
      </c>
      <c r="I599" s="42" t="str">
        <f ca="1"/>
        <v/>
      </c>
      <c r="J599" s="54" t="s">
        <v>4</v>
      </c>
    </row>
    <row r="600" spans="1:10" x14ac:dyDescent="0.25">
      <c r="A600" s="56"/>
      <c r="B600" s="57"/>
      <c r="C600" s="111"/>
      <c r="D600" s="59"/>
      <c r="E600" s="271" t="str">
        <v/>
      </c>
      <c r="F600" s="43" t="str">
        <v/>
      </c>
      <c r="G600" s="33" t="str">
        <v/>
      </c>
      <c r="H600" s="43" t="e">
        <f ca="1"/>
        <v>#N/A</v>
      </c>
      <c r="I600" s="42" t="str">
        <f ca="1"/>
        <v/>
      </c>
      <c r="J600" s="54" t="s">
        <v>4</v>
      </c>
    </row>
    <row r="601" spans="1:10" x14ac:dyDescent="0.25">
      <c r="A601" s="56"/>
      <c r="B601" s="57"/>
      <c r="C601" s="111"/>
      <c r="D601" s="59"/>
      <c r="E601" s="271" t="str">
        <v/>
      </c>
      <c r="F601" s="43" t="str">
        <v/>
      </c>
      <c r="G601" s="33" t="str">
        <v/>
      </c>
      <c r="H601" s="43" t="e">
        <f ca="1"/>
        <v>#N/A</v>
      </c>
      <c r="I601" s="42" t="str">
        <f ca="1"/>
        <v/>
      </c>
      <c r="J601" s="54" t="s">
        <v>4</v>
      </c>
    </row>
    <row r="602" spans="1:10" x14ac:dyDescent="0.25">
      <c r="A602" s="56"/>
      <c r="B602" s="57"/>
      <c r="C602" s="111"/>
      <c r="D602" s="59"/>
      <c r="E602" s="271" t="str">
        <v/>
      </c>
      <c r="F602" s="43" t="str">
        <v/>
      </c>
      <c r="G602" s="33" t="str">
        <v/>
      </c>
      <c r="H602" s="43" t="e">
        <f ca="1"/>
        <v>#N/A</v>
      </c>
      <c r="I602" s="42" t="str">
        <f ca="1"/>
        <v/>
      </c>
      <c r="J602" s="54" t="s">
        <v>4</v>
      </c>
    </row>
    <row r="603" spans="1:10" x14ac:dyDescent="0.25">
      <c r="A603" s="56"/>
      <c r="B603" s="57"/>
      <c r="C603" s="111"/>
      <c r="D603" s="59"/>
      <c r="E603" s="271" t="str">
        <v/>
      </c>
      <c r="F603" s="43" t="str">
        <v/>
      </c>
      <c r="G603" s="33" t="str">
        <v/>
      </c>
      <c r="H603" s="43" t="e">
        <f ca="1"/>
        <v>#N/A</v>
      </c>
      <c r="I603" s="42" t="str">
        <f ca="1"/>
        <v/>
      </c>
      <c r="J603" s="54" t="s">
        <v>4</v>
      </c>
    </row>
    <row r="604" spans="1:10" x14ac:dyDescent="0.25">
      <c r="A604" s="56"/>
      <c r="B604" s="57"/>
      <c r="C604" s="111"/>
      <c r="D604" s="59"/>
      <c r="E604" s="271" t="str">
        <v/>
      </c>
      <c r="F604" s="43" t="str">
        <v/>
      </c>
      <c r="G604" s="33" t="str">
        <v/>
      </c>
      <c r="H604" s="43" t="e">
        <f ca="1"/>
        <v>#N/A</v>
      </c>
      <c r="I604" s="42" t="str">
        <f ca="1"/>
        <v/>
      </c>
      <c r="J604" s="54" t="s">
        <v>4</v>
      </c>
    </row>
    <row r="605" spans="1:10" x14ac:dyDescent="0.25">
      <c r="A605" s="56"/>
      <c r="B605" s="57"/>
      <c r="C605" s="111"/>
      <c r="D605" s="59"/>
      <c r="E605" s="271" t="str">
        <v/>
      </c>
      <c r="F605" s="43" t="str">
        <v/>
      </c>
      <c r="G605" s="33" t="str">
        <v/>
      </c>
      <c r="H605" s="43" t="e">
        <f ca="1"/>
        <v>#N/A</v>
      </c>
      <c r="I605" s="42" t="str">
        <f ca="1"/>
        <v/>
      </c>
      <c r="J605" s="54" t="s">
        <v>4</v>
      </c>
    </row>
    <row r="606" spans="1:10" x14ac:dyDescent="0.25">
      <c r="A606" s="56"/>
      <c r="B606" s="57"/>
      <c r="C606" s="111"/>
      <c r="D606" s="59"/>
      <c r="E606" s="271" t="str">
        <v/>
      </c>
      <c r="F606" s="43" t="str">
        <v/>
      </c>
      <c r="G606" s="33" t="str">
        <v/>
      </c>
      <c r="H606" s="43" t="e">
        <f ca="1"/>
        <v>#N/A</v>
      </c>
      <c r="I606" s="42" t="str">
        <f ca="1"/>
        <v/>
      </c>
      <c r="J606" s="54" t="s">
        <v>4</v>
      </c>
    </row>
    <row r="607" spans="1:10" x14ac:dyDescent="0.25">
      <c r="A607" s="56"/>
      <c r="B607" s="57"/>
      <c r="C607" s="111"/>
      <c r="D607" s="59"/>
      <c r="E607" s="271" t="str">
        <v/>
      </c>
      <c r="F607" s="43" t="str">
        <v/>
      </c>
      <c r="G607" s="33" t="str">
        <v/>
      </c>
      <c r="H607" s="43" t="e">
        <f ca="1"/>
        <v>#N/A</v>
      </c>
      <c r="I607" s="42" t="str">
        <f ca="1"/>
        <v/>
      </c>
      <c r="J607" s="54" t="s">
        <v>4</v>
      </c>
    </row>
    <row r="608" spans="1:10" x14ac:dyDescent="0.25">
      <c r="A608" s="56"/>
      <c r="B608" s="57"/>
      <c r="C608" s="111"/>
      <c r="D608" s="59"/>
      <c r="E608" s="271" t="str">
        <v/>
      </c>
      <c r="F608" s="43" t="str">
        <v/>
      </c>
      <c r="G608" s="33" t="str">
        <v/>
      </c>
      <c r="H608" s="43" t="e">
        <f ca="1"/>
        <v>#N/A</v>
      </c>
      <c r="I608" s="42" t="str">
        <f ca="1"/>
        <v/>
      </c>
      <c r="J608" s="54" t="s">
        <v>4</v>
      </c>
    </row>
    <row r="609" spans="1:10" x14ac:dyDescent="0.25">
      <c r="A609" s="56"/>
      <c r="B609" s="57"/>
      <c r="C609" s="111"/>
      <c r="D609" s="59"/>
      <c r="E609" s="271" t="str">
        <v/>
      </c>
      <c r="F609" s="43" t="str">
        <v/>
      </c>
      <c r="G609" s="33" t="str">
        <v/>
      </c>
      <c r="H609" s="43" t="e">
        <f ca="1"/>
        <v>#N/A</v>
      </c>
      <c r="I609" s="42" t="str">
        <f ca="1"/>
        <v/>
      </c>
      <c r="J609" s="54" t="s">
        <v>4</v>
      </c>
    </row>
    <row r="610" spans="1:10" x14ac:dyDescent="0.25">
      <c r="A610" s="56"/>
      <c r="B610" s="57"/>
      <c r="C610" s="111"/>
      <c r="D610" s="59"/>
      <c r="E610" s="271" t="str">
        <v/>
      </c>
      <c r="F610" s="43" t="str">
        <v/>
      </c>
      <c r="G610" s="33" t="str">
        <v/>
      </c>
      <c r="H610" s="43" t="e">
        <f ca="1"/>
        <v>#N/A</v>
      </c>
      <c r="I610" s="42" t="str">
        <f ca="1"/>
        <v/>
      </c>
      <c r="J610" s="54" t="s">
        <v>4</v>
      </c>
    </row>
    <row r="611" spans="1:10" x14ac:dyDescent="0.25">
      <c r="A611" s="56"/>
      <c r="B611" s="57"/>
      <c r="C611" s="111"/>
      <c r="D611" s="59"/>
      <c r="E611" s="271" t="str">
        <v/>
      </c>
      <c r="F611" s="43" t="str">
        <v/>
      </c>
      <c r="G611" s="33" t="str">
        <v/>
      </c>
      <c r="H611" s="43" t="e">
        <f ca="1"/>
        <v>#N/A</v>
      </c>
      <c r="I611" s="42" t="str">
        <f ca="1"/>
        <v/>
      </c>
      <c r="J611" s="54" t="s">
        <v>4</v>
      </c>
    </row>
    <row r="612" spans="1:10" x14ac:dyDescent="0.25">
      <c r="A612" s="56"/>
      <c r="B612" s="57"/>
      <c r="C612" s="111"/>
      <c r="D612" s="59"/>
      <c r="E612" s="271" t="str">
        <v/>
      </c>
      <c r="F612" s="43" t="str">
        <v/>
      </c>
      <c r="G612" s="33" t="str">
        <v/>
      </c>
      <c r="H612" s="43" t="e">
        <f ca="1"/>
        <v>#N/A</v>
      </c>
      <c r="I612" s="42" t="str">
        <f ca="1"/>
        <v/>
      </c>
      <c r="J612" s="54" t="s">
        <v>4</v>
      </c>
    </row>
    <row r="613" spans="1:10" x14ac:dyDescent="0.25">
      <c r="A613" s="56"/>
      <c r="B613" s="57"/>
      <c r="C613" s="111"/>
      <c r="D613" s="59"/>
      <c r="E613" s="271" t="str">
        <v/>
      </c>
      <c r="F613" s="43" t="str">
        <v/>
      </c>
      <c r="G613" s="33" t="str">
        <v/>
      </c>
      <c r="H613" s="43" t="e">
        <f ca="1"/>
        <v>#N/A</v>
      </c>
      <c r="I613" s="42" t="str">
        <f ca="1"/>
        <v/>
      </c>
      <c r="J613" s="54" t="s">
        <v>4</v>
      </c>
    </row>
    <row r="614" spans="1:10" x14ac:dyDescent="0.25">
      <c r="A614" s="56"/>
      <c r="B614" s="57"/>
      <c r="C614" s="111"/>
      <c r="D614" s="59"/>
      <c r="E614" s="271" t="str">
        <v/>
      </c>
      <c r="F614" s="43" t="str">
        <v/>
      </c>
      <c r="G614" s="33" t="str">
        <v/>
      </c>
      <c r="H614" s="43" t="e">
        <f ca="1"/>
        <v>#N/A</v>
      </c>
      <c r="I614" s="42" t="str">
        <f ca="1"/>
        <v/>
      </c>
      <c r="J614" s="54" t="s">
        <v>4</v>
      </c>
    </row>
    <row r="615" spans="1:10" x14ac:dyDescent="0.25">
      <c r="A615" s="56"/>
      <c r="B615" s="57"/>
      <c r="C615" s="111"/>
      <c r="D615" s="59"/>
      <c r="E615" s="271" t="str">
        <v/>
      </c>
      <c r="F615" s="43" t="str">
        <v/>
      </c>
      <c r="G615" s="33" t="str">
        <v/>
      </c>
      <c r="H615" s="43" t="e">
        <f ca="1"/>
        <v>#N/A</v>
      </c>
      <c r="I615" s="42" t="str">
        <f ca="1"/>
        <v/>
      </c>
      <c r="J615" s="54" t="s">
        <v>4</v>
      </c>
    </row>
    <row r="616" spans="1:10" x14ac:dyDescent="0.25">
      <c r="A616" s="56"/>
      <c r="B616" s="57"/>
      <c r="C616" s="111"/>
      <c r="D616" s="59"/>
      <c r="E616" s="271" t="str">
        <v/>
      </c>
      <c r="F616" s="43" t="str">
        <v/>
      </c>
      <c r="G616" s="33" t="str">
        <v/>
      </c>
      <c r="H616" s="43" t="e">
        <f ca="1"/>
        <v>#N/A</v>
      </c>
      <c r="I616" s="42" t="str">
        <f ca="1"/>
        <v/>
      </c>
      <c r="J616" s="54" t="s">
        <v>4</v>
      </c>
    </row>
    <row r="617" spans="1:10" x14ac:dyDescent="0.25">
      <c r="A617" s="56"/>
      <c r="B617" s="57"/>
      <c r="C617" s="111"/>
      <c r="D617" s="59"/>
      <c r="E617" s="271" t="str">
        <v/>
      </c>
      <c r="F617" s="43" t="str">
        <v/>
      </c>
      <c r="G617" s="33" t="str">
        <v/>
      </c>
      <c r="H617" s="43" t="e">
        <f ca="1"/>
        <v>#N/A</v>
      </c>
      <c r="I617" s="42" t="str">
        <f ca="1"/>
        <v/>
      </c>
      <c r="J617" s="54" t="s">
        <v>4</v>
      </c>
    </row>
    <row r="618" spans="1:10" x14ac:dyDescent="0.25">
      <c r="A618" s="56"/>
      <c r="B618" s="57"/>
      <c r="C618" s="111"/>
      <c r="D618" s="59"/>
      <c r="E618" s="271" t="str">
        <v/>
      </c>
      <c r="F618" s="43" t="str">
        <v/>
      </c>
      <c r="G618" s="33" t="str">
        <v/>
      </c>
      <c r="H618" s="43" t="e">
        <f ca="1"/>
        <v>#N/A</v>
      </c>
      <c r="I618" s="42" t="str">
        <f ca="1"/>
        <v/>
      </c>
      <c r="J618" s="54" t="s">
        <v>4</v>
      </c>
    </row>
    <row r="619" spans="1:10" x14ac:dyDescent="0.25">
      <c r="A619" s="56"/>
      <c r="B619" s="57"/>
      <c r="C619" s="111"/>
      <c r="D619" s="59"/>
      <c r="E619" s="271" t="str">
        <v/>
      </c>
      <c r="F619" s="43" t="str">
        <v/>
      </c>
      <c r="G619" s="33" t="str">
        <v/>
      </c>
      <c r="H619" s="43" t="e">
        <f ca="1"/>
        <v>#N/A</v>
      </c>
      <c r="I619" s="42" t="str">
        <f ca="1"/>
        <v/>
      </c>
      <c r="J619" s="54" t="s">
        <v>4</v>
      </c>
    </row>
    <row r="620" spans="1:10" x14ac:dyDescent="0.25">
      <c r="A620" s="56"/>
      <c r="B620" s="57"/>
      <c r="C620" s="111"/>
      <c r="D620" s="59"/>
      <c r="E620" s="271" t="str">
        <v/>
      </c>
      <c r="F620" s="43" t="str">
        <v/>
      </c>
      <c r="G620" s="33" t="str">
        <v/>
      </c>
      <c r="H620" s="43" t="e">
        <f ca="1"/>
        <v>#N/A</v>
      </c>
      <c r="I620" s="42" t="str">
        <f ca="1"/>
        <v/>
      </c>
      <c r="J620" s="54" t="s">
        <v>4</v>
      </c>
    </row>
    <row r="621" spans="1:10" x14ac:dyDescent="0.25">
      <c r="A621" s="56"/>
      <c r="B621" s="57"/>
      <c r="C621" s="111"/>
      <c r="D621" s="59"/>
      <c r="E621" s="271" t="str">
        <v/>
      </c>
      <c r="F621" s="43" t="str">
        <v/>
      </c>
      <c r="G621" s="33" t="str">
        <v/>
      </c>
      <c r="H621" s="43" t="e">
        <f ca="1"/>
        <v>#N/A</v>
      </c>
      <c r="I621" s="42" t="str">
        <f ca="1"/>
        <v/>
      </c>
      <c r="J621" s="54" t="s">
        <v>4</v>
      </c>
    </row>
    <row r="622" spans="1:10" x14ac:dyDescent="0.25">
      <c r="A622" s="56"/>
      <c r="B622" s="57"/>
      <c r="C622" s="111"/>
      <c r="D622" s="59"/>
      <c r="E622" s="271" t="str">
        <v/>
      </c>
      <c r="F622" s="43" t="str">
        <v/>
      </c>
      <c r="G622" s="33" t="str">
        <v/>
      </c>
      <c r="H622" s="43" t="e">
        <f ca="1"/>
        <v>#N/A</v>
      </c>
      <c r="I622" s="42" t="str">
        <f ca="1"/>
        <v/>
      </c>
      <c r="J622" s="54" t="s">
        <v>4</v>
      </c>
    </row>
    <row r="623" spans="1:10" x14ac:dyDescent="0.25">
      <c r="A623" s="56"/>
      <c r="B623" s="57"/>
      <c r="C623" s="111"/>
      <c r="D623" s="59"/>
      <c r="E623" s="271" t="str">
        <v/>
      </c>
      <c r="F623" s="43" t="str">
        <v/>
      </c>
      <c r="G623" s="33" t="str">
        <v/>
      </c>
      <c r="H623" s="43" t="e">
        <f ca="1"/>
        <v>#N/A</v>
      </c>
      <c r="I623" s="42" t="str">
        <f ca="1"/>
        <v/>
      </c>
      <c r="J623" s="54" t="s">
        <v>4</v>
      </c>
    </row>
    <row r="624" spans="1:10" x14ac:dyDescent="0.25">
      <c r="A624" s="56"/>
      <c r="B624" s="57"/>
      <c r="C624" s="111"/>
      <c r="D624" s="59"/>
      <c r="E624" s="271" t="str">
        <v/>
      </c>
      <c r="F624" s="43" t="str">
        <v/>
      </c>
      <c r="G624" s="33" t="str">
        <v/>
      </c>
      <c r="H624" s="43" t="e">
        <f ca="1"/>
        <v>#N/A</v>
      </c>
      <c r="I624" s="42" t="str">
        <f ca="1"/>
        <v/>
      </c>
      <c r="J624" s="54" t="s">
        <v>4</v>
      </c>
    </row>
    <row r="625" spans="1:10" x14ac:dyDescent="0.25">
      <c r="A625" s="56"/>
      <c r="B625" s="57"/>
      <c r="C625" s="111"/>
      <c r="D625" s="59"/>
      <c r="E625" s="271" t="str">
        <v/>
      </c>
      <c r="F625" s="43" t="str">
        <v/>
      </c>
      <c r="G625" s="33" t="str">
        <v/>
      </c>
      <c r="H625" s="43" t="e">
        <f ca="1"/>
        <v>#N/A</v>
      </c>
      <c r="I625" s="42" t="str">
        <f ca="1"/>
        <v/>
      </c>
      <c r="J625" s="54" t="s">
        <v>4</v>
      </c>
    </row>
    <row r="626" spans="1:10" x14ac:dyDescent="0.25">
      <c r="A626" s="56"/>
      <c r="B626" s="57"/>
      <c r="C626" s="111"/>
      <c r="D626" s="59"/>
      <c r="E626" s="271" t="str">
        <v/>
      </c>
      <c r="F626" s="43" t="str">
        <v/>
      </c>
      <c r="G626" s="33" t="str">
        <v/>
      </c>
      <c r="H626" s="43" t="e">
        <f ca="1"/>
        <v>#N/A</v>
      </c>
      <c r="I626" s="42" t="str">
        <f ca="1"/>
        <v/>
      </c>
      <c r="J626" s="54" t="s">
        <v>4</v>
      </c>
    </row>
    <row r="627" spans="1:10" x14ac:dyDescent="0.25">
      <c r="A627" s="56"/>
      <c r="B627" s="57"/>
      <c r="C627" s="111"/>
      <c r="D627" s="59"/>
      <c r="E627" s="271" t="str">
        <v/>
      </c>
      <c r="F627" s="43" t="str">
        <v/>
      </c>
      <c r="G627" s="33" t="str">
        <v/>
      </c>
      <c r="H627" s="43" t="e">
        <f ca="1"/>
        <v>#N/A</v>
      </c>
      <c r="I627" s="42" t="str">
        <f ca="1"/>
        <v/>
      </c>
      <c r="J627" s="54" t="s">
        <v>4</v>
      </c>
    </row>
    <row r="628" spans="1:10" x14ac:dyDescent="0.25">
      <c r="A628" s="56"/>
      <c r="B628" s="57"/>
      <c r="C628" s="111"/>
      <c r="D628" s="59"/>
      <c r="E628" s="271" t="str">
        <v/>
      </c>
      <c r="F628" s="43" t="str">
        <v/>
      </c>
      <c r="G628" s="33" t="str">
        <v/>
      </c>
      <c r="H628" s="43" t="e">
        <f ca="1"/>
        <v>#N/A</v>
      </c>
      <c r="I628" s="42" t="str">
        <f ca="1"/>
        <v/>
      </c>
      <c r="J628" s="54" t="s">
        <v>4</v>
      </c>
    </row>
    <row r="629" spans="1:10" x14ac:dyDescent="0.25">
      <c r="A629" s="56"/>
      <c r="B629" s="57"/>
      <c r="C629" s="111"/>
      <c r="D629" s="59"/>
      <c r="E629" s="271" t="str">
        <v/>
      </c>
      <c r="F629" s="43" t="str">
        <v/>
      </c>
      <c r="G629" s="33" t="str">
        <v/>
      </c>
      <c r="H629" s="43" t="e">
        <f ca="1"/>
        <v>#N/A</v>
      </c>
      <c r="I629" s="42" t="str">
        <f ca="1"/>
        <v/>
      </c>
      <c r="J629" s="54" t="s">
        <v>4</v>
      </c>
    </row>
    <row r="630" spans="1:10" x14ac:dyDescent="0.25">
      <c r="A630" s="56"/>
      <c r="B630" s="57"/>
      <c r="C630" s="111"/>
      <c r="D630" s="59"/>
      <c r="E630" s="271" t="str">
        <v/>
      </c>
      <c r="F630" s="43" t="str">
        <v/>
      </c>
      <c r="G630" s="33" t="str">
        <v/>
      </c>
      <c r="H630" s="43" t="e">
        <f ca="1"/>
        <v>#N/A</v>
      </c>
      <c r="I630" s="42" t="str">
        <f ca="1"/>
        <v/>
      </c>
      <c r="J630" s="54" t="s">
        <v>4</v>
      </c>
    </row>
    <row r="631" spans="1:10" x14ac:dyDescent="0.25">
      <c r="A631" s="56"/>
      <c r="B631" s="57"/>
      <c r="C631" s="111"/>
      <c r="D631" s="59"/>
      <c r="E631" s="271" t="str">
        <v/>
      </c>
      <c r="F631" s="43" t="str">
        <v/>
      </c>
      <c r="G631" s="33" t="str">
        <v/>
      </c>
      <c r="H631" s="43" t="e">
        <f ca="1"/>
        <v>#N/A</v>
      </c>
      <c r="I631" s="42" t="str">
        <f ca="1"/>
        <v/>
      </c>
      <c r="J631" s="54" t="s">
        <v>4</v>
      </c>
    </row>
    <row r="632" spans="1:10" x14ac:dyDescent="0.25">
      <c r="A632" s="56"/>
      <c r="B632" s="57"/>
      <c r="C632" s="111"/>
      <c r="D632" s="59"/>
      <c r="E632" s="271" t="str">
        <v/>
      </c>
      <c r="F632" s="43" t="str">
        <v/>
      </c>
      <c r="G632" s="33" t="str">
        <v/>
      </c>
      <c r="H632" s="43" t="e">
        <f ca="1"/>
        <v>#N/A</v>
      </c>
      <c r="I632" s="42" t="str">
        <f ca="1"/>
        <v/>
      </c>
      <c r="J632" s="54" t="s">
        <v>4</v>
      </c>
    </row>
    <row r="633" spans="1:10" x14ac:dyDescent="0.25">
      <c r="A633" s="56"/>
      <c r="B633" s="57"/>
      <c r="C633" s="111"/>
      <c r="D633" s="59"/>
      <c r="E633" s="271" t="str">
        <v/>
      </c>
      <c r="F633" s="43" t="str">
        <v/>
      </c>
      <c r="G633" s="33" t="str">
        <v/>
      </c>
      <c r="H633" s="43" t="e">
        <f ca="1"/>
        <v>#N/A</v>
      </c>
      <c r="I633" s="42" t="str">
        <f ca="1"/>
        <v/>
      </c>
      <c r="J633" s="54" t="s">
        <v>4</v>
      </c>
    </row>
    <row r="634" spans="1:10" x14ac:dyDescent="0.25">
      <c r="A634" s="56"/>
      <c r="B634" s="57"/>
      <c r="C634" s="111"/>
      <c r="D634" s="59"/>
      <c r="E634" s="271" t="str">
        <v/>
      </c>
      <c r="F634" s="43" t="str">
        <v/>
      </c>
      <c r="G634" s="33" t="str">
        <v/>
      </c>
      <c r="H634" s="43" t="e">
        <f ca="1"/>
        <v>#N/A</v>
      </c>
      <c r="I634" s="42" t="str">
        <f ca="1"/>
        <v/>
      </c>
      <c r="J634" s="54" t="s">
        <v>4</v>
      </c>
    </row>
    <row r="635" spans="1:10" x14ac:dyDescent="0.25">
      <c r="A635" s="56"/>
      <c r="B635" s="57"/>
      <c r="C635" s="111"/>
      <c r="D635" s="59"/>
      <c r="E635" s="271" t="str">
        <v/>
      </c>
      <c r="F635" s="43" t="str">
        <v/>
      </c>
      <c r="G635" s="33" t="str">
        <v/>
      </c>
      <c r="H635" s="43" t="e">
        <f ca="1"/>
        <v>#N/A</v>
      </c>
      <c r="I635" s="42" t="str">
        <f ca="1"/>
        <v/>
      </c>
      <c r="J635" s="54" t="s">
        <v>4</v>
      </c>
    </row>
    <row r="636" spans="1:10" x14ac:dyDescent="0.25">
      <c r="A636" s="56"/>
      <c r="B636" s="57"/>
      <c r="C636" s="111"/>
      <c r="D636" s="59"/>
      <c r="E636" s="271" t="str">
        <v/>
      </c>
      <c r="F636" s="43" t="str">
        <v/>
      </c>
      <c r="G636" s="33" t="str">
        <v/>
      </c>
      <c r="H636" s="43" t="e">
        <f ca="1"/>
        <v>#N/A</v>
      </c>
      <c r="I636" s="42" t="str">
        <f ca="1"/>
        <v/>
      </c>
      <c r="J636" s="54" t="s">
        <v>4</v>
      </c>
    </row>
    <row r="637" spans="1:10" x14ac:dyDescent="0.25">
      <c r="A637" s="56"/>
      <c r="B637" s="57"/>
      <c r="C637" s="111"/>
      <c r="D637" s="59"/>
      <c r="E637" s="271" t="str">
        <v/>
      </c>
      <c r="F637" s="43" t="str">
        <v/>
      </c>
      <c r="G637" s="33" t="str">
        <v/>
      </c>
      <c r="H637" s="43" t="e">
        <f ca="1"/>
        <v>#N/A</v>
      </c>
      <c r="I637" s="42" t="str">
        <f ca="1"/>
        <v/>
      </c>
      <c r="J637" s="54" t="s">
        <v>4</v>
      </c>
    </row>
    <row r="638" spans="1:10" x14ac:dyDescent="0.25">
      <c r="A638" s="56"/>
      <c r="B638" s="57"/>
      <c r="C638" s="111"/>
      <c r="D638" s="59"/>
      <c r="E638" s="271" t="str">
        <v/>
      </c>
      <c r="F638" s="43" t="str">
        <v/>
      </c>
      <c r="G638" s="33" t="str">
        <v/>
      </c>
      <c r="H638" s="43" t="e">
        <f ca="1"/>
        <v>#N/A</v>
      </c>
      <c r="I638" s="42" t="str">
        <f ca="1"/>
        <v/>
      </c>
      <c r="J638" s="54" t="s">
        <v>4</v>
      </c>
    </row>
    <row r="639" spans="1:10" x14ac:dyDescent="0.25">
      <c r="A639" s="56"/>
      <c r="B639" s="57"/>
      <c r="C639" s="111"/>
      <c r="D639" s="59"/>
      <c r="E639" s="271" t="str">
        <v/>
      </c>
      <c r="F639" s="43" t="str">
        <v/>
      </c>
      <c r="G639" s="33" t="str">
        <v/>
      </c>
      <c r="H639" s="43" t="e">
        <f ca="1"/>
        <v>#N/A</v>
      </c>
      <c r="I639" s="42" t="str">
        <f ca="1"/>
        <v/>
      </c>
      <c r="J639" s="54" t="s">
        <v>4</v>
      </c>
    </row>
    <row r="640" spans="1:10" x14ac:dyDescent="0.25">
      <c r="A640" s="56"/>
      <c r="B640" s="57"/>
      <c r="C640" s="111"/>
      <c r="D640" s="59"/>
      <c r="E640" s="271" t="str">
        <v/>
      </c>
      <c r="F640" s="43" t="str">
        <v/>
      </c>
      <c r="G640" s="33" t="str">
        <v/>
      </c>
      <c r="H640" s="43" t="e">
        <f ca="1"/>
        <v>#N/A</v>
      </c>
      <c r="I640" s="42" t="str">
        <f ca="1"/>
        <v/>
      </c>
      <c r="J640" s="54" t="s">
        <v>4</v>
      </c>
    </row>
    <row r="641" spans="1:10" x14ac:dyDescent="0.25">
      <c r="A641" s="56"/>
      <c r="B641" s="57"/>
      <c r="C641" s="111"/>
      <c r="D641" s="59"/>
      <c r="E641" s="271" t="str">
        <v/>
      </c>
      <c r="F641" s="43" t="str">
        <v/>
      </c>
      <c r="G641" s="33" t="str">
        <v/>
      </c>
      <c r="H641" s="43" t="e">
        <f ca="1"/>
        <v>#N/A</v>
      </c>
      <c r="I641" s="42" t="str">
        <f ca="1"/>
        <v/>
      </c>
      <c r="J641" s="54" t="s">
        <v>4</v>
      </c>
    </row>
    <row r="642" spans="1:10" x14ac:dyDescent="0.25">
      <c r="A642" s="56"/>
      <c r="B642" s="57"/>
      <c r="C642" s="111"/>
      <c r="D642" s="59"/>
      <c r="E642" s="271" t="str">
        <v/>
      </c>
      <c r="F642" s="43" t="str">
        <v/>
      </c>
      <c r="G642" s="33" t="str">
        <v/>
      </c>
      <c r="H642" s="43" t="e">
        <f ca="1"/>
        <v>#N/A</v>
      </c>
      <c r="I642" s="42" t="str">
        <f ca="1"/>
        <v/>
      </c>
      <c r="J642" s="54" t="s">
        <v>4</v>
      </c>
    </row>
    <row r="643" spans="1:10" x14ac:dyDescent="0.25">
      <c r="A643" s="56"/>
      <c r="B643" s="57"/>
      <c r="C643" s="111"/>
      <c r="D643" s="59"/>
      <c r="E643" s="271" t="str">
        <v/>
      </c>
      <c r="F643" s="43" t="str">
        <v/>
      </c>
      <c r="G643" s="33" t="str">
        <v/>
      </c>
      <c r="H643" s="43" t="e">
        <f ca="1"/>
        <v>#N/A</v>
      </c>
      <c r="I643" s="42" t="str">
        <f ca="1"/>
        <v/>
      </c>
      <c r="J643" s="54" t="s">
        <v>4</v>
      </c>
    </row>
    <row r="644" spans="1:10" x14ac:dyDescent="0.25">
      <c r="A644" s="56"/>
      <c r="B644" s="57"/>
      <c r="C644" s="111"/>
      <c r="D644" s="59"/>
      <c r="E644" s="271" t="str">
        <v/>
      </c>
      <c r="F644" s="43" t="str">
        <v/>
      </c>
      <c r="G644" s="33" t="str">
        <v/>
      </c>
      <c r="H644" s="43" t="e">
        <f ca="1"/>
        <v>#N/A</v>
      </c>
      <c r="I644" s="42" t="str">
        <f ca="1"/>
        <v/>
      </c>
      <c r="J644" s="54" t="s">
        <v>4</v>
      </c>
    </row>
    <row r="645" spans="1:10" x14ac:dyDescent="0.25">
      <c r="A645" s="56"/>
      <c r="B645" s="57"/>
      <c r="C645" s="111"/>
      <c r="D645" s="59"/>
      <c r="E645" s="271" t="str">
        <v/>
      </c>
      <c r="F645" s="43" t="str">
        <v/>
      </c>
      <c r="G645" s="33" t="str">
        <v/>
      </c>
      <c r="H645" s="43" t="e">
        <f ca="1"/>
        <v>#N/A</v>
      </c>
      <c r="I645" s="42" t="str">
        <f ca="1"/>
        <v/>
      </c>
      <c r="J645" s="54" t="s">
        <v>4</v>
      </c>
    </row>
    <row r="646" spans="1:10" x14ac:dyDescent="0.25">
      <c r="A646" s="56"/>
      <c r="B646" s="57"/>
      <c r="C646" s="111"/>
      <c r="D646" s="59"/>
      <c r="E646" s="271" t="str">
        <v/>
      </c>
      <c r="F646" s="43" t="str">
        <v/>
      </c>
      <c r="G646" s="33" t="str">
        <v/>
      </c>
      <c r="H646" s="43" t="e">
        <f ca="1"/>
        <v>#N/A</v>
      </c>
      <c r="I646" s="42" t="str">
        <f ca="1"/>
        <v/>
      </c>
      <c r="J646" s="54" t="s">
        <v>4</v>
      </c>
    </row>
    <row r="647" spans="1:10" x14ac:dyDescent="0.25">
      <c r="A647" s="56"/>
      <c r="B647" s="57"/>
      <c r="C647" s="111"/>
      <c r="D647" s="59"/>
      <c r="E647" s="271" t="str">
        <v/>
      </c>
      <c r="F647" s="43" t="str">
        <v/>
      </c>
      <c r="G647" s="33" t="str">
        <v/>
      </c>
      <c r="H647" s="43" t="e">
        <f ca="1"/>
        <v>#N/A</v>
      </c>
      <c r="I647" s="42" t="str">
        <f ca="1"/>
        <v/>
      </c>
      <c r="J647" s="54" t="s">
        <v>4</v>
      </c>
    </row>
    <row r="648" spans="1:10" x14ac:dyDescent="0.25">
      <c r="A648" s="56"/>
      <c r="B648" s="57"/>
      <c r="C648" s="111"/>
      <c r="D648" s="59"/>
      <c r="E648" s="271" t="str">
        <v/>
      </c>
      <c r="F648" s="43" t="str">
        <v/>
      </c>
      <c r="G648" s="33" t="str">
        <v/>
      </c>
      <c r="H648" s="43" t="e">
        <f ca="1"/>
        <v>#N/A</v>
      </c>
      <c r="I648" s="42" t="str">
        <f ca="1"/>
        <v/>
      </c>
      <c r="J648" s="54" t="s">
        <v>4</v>
      </c>
    </row>
    <row r="649" spans="1:10" x14ac:dyDescent="0.25">
      <c r="A649" s="56"/>
      <c r="B649" s="57"/>
      <c r="C649" s="111"/>
      <c r="D649" s="59"/>
      <c r="E649" s="271" t="str">
        <v/>
      </c>
      <c r="F649" s="43" t="str">
        <v/>
      </c>
      <c r="G649" s="33" t="str">
        <v/>
      </c>
      <c r="H649" s="43" t="e">
        <f ca="1"/>
        <v>#N/A</v>
      </c>
      <c r="I649" s="42" t="str">
        <f ca="1"/>
        <v/>
      </c>
      <c r="J649" s="54" t="s">
        <v>4</v>
      </c>
    </row>
    <row r="650" spans="1:10" x14ac:dyDescent="0.25">
      <c r="A650" s="56"/>
      <c r="B650" s="57"/>
      <c r="C650" s="111"/>
      <c r="D650" s="59"/>
      <c r="E650" s="271" t="str">
        <v/>
      </c>
      <c r="F650" s="43" t="str">
        <v/>
      </c>
      <c r="G650" s="33" t="str">
        <v/>
      </c>
      <c r="H650" s="43" t="e">
        <f ca="1"/>
        <v>#N/A</v>
      </c>
      <c r="I650" s="42" t="str">
        <f ca="1"/>
        <v/>
      </c>
      <c r="J650" s="54" t="s">
        <v>4</v>
      </c>
    </row>
    <row r="651" spans="1:10" x14ac:dyDescent="0.25">
      <c r="A651" s="56"/>
      <c r="B651" s="57"/>
      <c r="C651" s="111"/>
      <c r="D651" s="59"/>
      <c r="E651" s="271" t="str">
        <v/>
      </c>
      <c r="F651" s="43" t="str">
        <v/>
      </c>
      <c r="G651" s="33" t="str">
        <v/>
      </c>
      <c r="H651" s="43" t="e">
        <f ca="1"/>
        <v>#N/A</v>
      </c>
      <c r="I651" s="42" t="str">
        <f ca="1"/>
        <v/>
      </c>
      <c r="J651" s="54" t="s">
        <v>4</v>
      </c>
    </row>
    <row r="652" spans="1:10" x14ac:dyDescent="0.25">
      <c r="A652" s="56"/>
      <c r="B652" s="57"/>
      <c r="C652" s="111"/>
      <c r="D652" s="59"/>
      <c r="E652" s="271" t="str">
        <v/>
      </c>
      <c r="F652" s="43" t="str">
        <v/>
      </c>
      <c r="G652" s="33" t="str">
        <v/>
      </c>
      <c r="H652" s="43" t="e">
        <f ca="1"/>
        <v>#N/A</v>
      </c>
      <c r="I652" s="42" t="str">
        <f ca="1"/>
        <v/>
      </c>
      <c r="J652" s="54" t="s">
        <v>4</v>
      </c>
    </row>
    <row r="653" spans="1:10" x14ac:dyDescent="0.25">
      <c r="A653" s="56"/>
      <c r="B653" s="57"/>
      <c r="C653" s="111"/>
      <c r="D653" s="59"/>
      <c r="E653" s="271" t="str">
        <v/>
      </c>
      <c r="F653" s="43" t="str">
        <v/>
      </c>
      <c r="G653" s="33" t="str">
        <v/>
      </c>
      <c r="H653" s="43" t="e">
        <f ca="1"/>
        <v>#N/A</v>
      </c>
      <c r="I653" s="42" t="str">
        <f ca="1"/>
        <v/>
      </c>
      <c r="J653" s="54" t="s">
        <v>4</v>
      </c>
    </row>
    <row r="654" spans="1:10" x14ac:dyDescent="0.25">
      <c r="A654" s="56"/>
      <c r="B654" s="57"/>
      <c r="C654" s="111"/>
      <c r="D654" s="59"/>
      <c r="E654" s="271" t="str">
        <v/>
      </c>
      <c r="F654" s="43" t="str">
        <v/>
      </c>
      <c r="G654" s="33" t="str">
        <v/>
      </c>
      <c r="H654" s="43" t="e">
        <f ca="1"/>
        <v>#N/A</v>
      </c>
      <c r="I654" s="42" t="str">
        <f ca="1"/>
        <v/>
      </c>
      <c r="J654" s="54" t="s">
        <v>4</v>
      </c>
    </row>
    <row r="655" spans="1:10" x14ac:dyDescent="0.25">
      <c r="A655" s="56"/>
      <c r="B655" s="57"/>
      <c r="C655" s="111"/>
      <c r="D655" s="59"/>
      <c r="E655" s="271" t="str">
        <v/>
      </c>
      <c r="F655" s="43" t="str">
        <v/>
      </c>
      <c r="G655" s="33" t="str">
        <v/>
      </c>
      <c r="H655" s="43" t="e">
        <f ca="1"/>
        <v>#N/A</v>
      </c>
      <c r="I655" s="42" t="str">
        <f ca="1"/>
        <v/>
      </c>
      <c r="J655" s="54" t="s">
        <v>4</v>
      </c>
    </row>
    <row r="656" spans="1:10" x14ac:dyDescent="0.25">
      <c r="A656" s="56"/>
      <c r="B656" s="57"/>
      <c r="C656" s="111"/>
      <c r="D656" s="59"/>
      <c r="E656" s="271" t="str">
        <v/>
      </c>
      <c r="F656" s="43" t="str">
        <v/>
      </c>
      <c r="G656" s="33" t="str">
        <v/>
      </c>
      <c r="H656" s="43" t="e">
        <f ca="1"/>
        <v>#N/A</v>
      </c>
      <c r="I656" s="42" t="str">
        <f ca="1"/>
        <v/>
      </c>
      <c r="J656" s="54" t="s">
        <v>4</v>
      </c>
    </row>
    <row r="657" spans="1:10" x14ac:dyDescent="0.25">
      <c r="A657" s="56"/>
      <c r="B657" s="57"/>
      <c r="C657" s="111"/>
      <c r="D657" s="59"/>
      <c r="E657" s="271" t="str">
        <v/>
      </c>
      <c r="F657" s="43" t="str">
        <v/>
      </c>
      <c r="G657" s="33" t="str">
        <v/>
      </c>
      <c r="H657" s="43" t="e">
        <f ca="1"/>
        <v>#N/A</v>
      </c>
      <c r="I657" s="42" t="str">
        <f ca="1"/>
        <v/>
      </c>
      <c r="J657" s="54" t="s">
        <v>4</v>
      </c>
    </row>
    <row r="658" spans="1:10" x14ac:dyDescent="0.25">
      <c r="A658" s="56"/>
      <c r="B658" s="57"/>
      <c r="C658" s="111"/>
      <c r="D658" s="59"/>
      <c r="E658" s="271" t="str">
        <v/>
      </c>
      <c r="F658" s="43" t="str">
        <v/>
      </c>
      <c r="G658" s="33" t="str">
        <v/>
      </c>
      <c r="H658" s="43" t="e">
        <f ca="1"/>
        <v>#N/A</v>
      </c>
      <c r="I658" s="42" t="str">
        <f ca="1"/>
        <v/>
      </c>
      <c r="J658" s="54" t="s">
        <v>4</v>
      </c>
    </row>
    <row r="659" spans="1:10" x14ac:dyDescent="0.25">
      <c r="A659" s="56"/>
      <c r="B659" s="57"/>
      <c r="C659" s="111"/>
      <c r="D659" s="59"/>
      <c r="E659" s="271" t="str">
        <v/>
      </c>
      <c r="F659" s="43" t="str">
        <v/>
      </c>
      <c r="G659" s="33" t="str">
        <v/>
      </c>
      <c r="H659" s="43" t="e">
        <f ca="1"/>
        <v>#N/A</v>
      </c>
      <c r="I659" s="42" t="str">
        <f ca="1"/>
        <v/>
      </c>
      <c r="J659" s="54" t="s">
        <v>4</v>
      </c>
    </row>
    <row r="660" spans="1:10" x14ac:dyDescent="0.25">
      <c r="A660" s="56"/>
      <c r="B660" s="57"/>
      <c r="C660" s="111"/>
      <c r="D660" s="59"/>
      <c r="E660" s="271" t="str">
        <v/>
      </c>
      <c r="F660" s="43" t="str">
        <v/>
      </c>
      <c r="G660" s="33" t="str">
        <v/>
      </c>
      <c r="H660" s="43" t="e">
        <f ca="1"/>
        <v>#N/A</v>
      </c>
      <c r="I660" s="42" t="str">
        <f ca="1"/>
        <v/>
      </c>
      <c r="J660" s="54" t="s">
        <v>4</v>
      </c>
    </row>
    <row r="661" spans="1:10" x14ac:dyDescent="0.25">
      <c r="A661" s="56"/>
      <c r="B661" s="57"/>
      <c r="C661" s="111"/>
      <c r="D661" s="59"/>
      <c r="E661" s="271" t="str">
        <v/>
      </c>
      <c r="F661" s="43" t="str">
        <v/>
      </c>
      <c r="G661" s="33" t="str">
        <v/>
      </c>
      <c r="H661" s="43" t="e">
        <f ca="1"/>
        <v>#N/A</v>
      </c>
      <c r="I661" s="42" t="str">
        <f ca="1"/>
        <v/>
      </c>
      <c r="J661" s="54" t="s">
        <v>4</v>
      </c>
    </row>
    <row r="662" spans="1:10" x14ac:dyDescent="0.25">
      <c r="A662" s="56"/>
      <c r="B662" s="57"/>
      <c r="C662" s="111"/>
      <c r="D662" s="59"/>
      <c r="E662" s="271" t="str">
        <v/>
      </c>
      <c r="F662" s="43" t="str">
        <v/>
      </c>
      <c r="G662" s="33" t="str">
        <v/>
      </c>
      <c r="H662" s="43" t="e">
        <f ca="1"/>
        <v>#N/A</v>
      </c>
      <c r="I662" s="42" t="str">
        <f ca="1"/>
        <v/>
      </c>
      <c r="J662" s="54" t="s">
        <v>4</v>
      </c>
    </row>
    <row r="663" spans="1:10" x14ac:dyDescent="0.25">
      <c r="A663" s="56"/>
      <c r="B663" s="57"/>
      <c r="C663" s="111"/>
      <c r="D663" s="59"/>
      <c r="E663" s="271" t="str">
        <v/>
      </c>
      <c r="F663" s="43" t="str">
        <v/>
      </c>
      <c r="G663" s="33" t="str">
        <v/>
      </c>
      <c r="H663" s="43" t="e">
        <f ca="1"/>
        <v>#N/A</v>
      </c>
      <c r="I663" s="42" t="str">
        <f ca="1"/>
        <v/>
      </c>
      <c r="J663" s="54" t="s">
        <v>4</v>
      </c>
    </row>
    <row r="664" spans="1:10" x14ac:dyDescent="0.25">
      <c r="A664" s="56"/>
      <c r="B664" s="57"/>
      <c r="C664" s="111"/>
      <c r="D664" s="59"/>
      <c r="E664" s="271" t="str">
        <v/>
      </c>
      <c r="F664" s="43" t="str">
        <v/>
      </c>
      <c r="G664" s="33" t="str">
        <v/>
      </c>
      <c r="H664" s="43" t="e">
        <f ca="1"/>
        <v>#N/A</v>
      </c>
      <c r="I664" s="42" t="str">
        <f ca="1"/>
        <v/>
      </c>
      <c r="J664" s="54" t="s">
        <v>4</v>
      </c>
    </row>
    <row r="665" spans="1:10" x14ac:dyDescent="0.25">
      <c r="A665" s="56"/>
      <c r="B665" s="57"/>
      <c r="C665" s="111"/>
      <c r="D665" s="59"/>
      <c r="E665" s="271" t="str">
        <v/>
      </c>
      <c r="F665" s="43" t="str">
        <v/>
      </c>
      <c r="G665" s="33" t="str">
        <v/>
      </c>
      <c r="H665" s="43" t="e">
        <f ca="1"/>
        <v>#N/A</v>
      </c>
      <c r="I665" s="42" t="str">
        <f ca="1"/>
        <v/>
      </c>
      <c r="J665" s="54" t="s">
        <v>4</v>
      </c>
    </row>
    <row r="666" spans="1:10" x14ac:dyDescent="0.25">
      <c r="A666" s="56"/>
      <c r="B666" s="57"/>
      <c r="C666" s="111"/>
      <c r="D666" s="59"/>
      <c r="E666" s="271" t="str">
        <v/>
      </c>
      <c r="F666" s="43" t="str">
        <v/>
      </c>
      <c r="G666" s="33" t="str">
        <v/>
      </c>
      <c r="H666" s="43" t="e">
        <f ca="1"/>
        <v>#N/A</v>
      </c>
      <c r="I666" s="42" t="str">
        <f ca="1"/>
        <v/>
      </c>
      <c r="J666" s="54" t="s">
        <v>4</v>
      </c>
    </row>
    <row r="667" spans="1:10" x14ac:dyDescent="0.25">
      <c r="A667" s="56"/>
      <c r="B667" s="57"/>
      <c r="C667" s="111"/>
      <c r="D667" s="59"/>
      <c r="E667" s="271" t="str">
        <v/>
      </c>
      <c r="F667" s="43" t="str">
        <v/>
      </c>
      <c r="G667" s="33" t="str">
        <v/>
      </c>
      <c r="H667" s="43" t="e">
        <f ca="1"/>
        <v>#N/A</v>
      </c>
      <c r="I667" s="42" t="str">
        <f ca="1"/>
        <v/>
      </c>
      <c r="J667" s="54" t="s">
        <v>4</v>
      </c>
    </row>
    <row r="668" spans="1:10" x14ac:dyDescent="0.25">
      <c r="A668" s="56"/>
      <c r="B668" s="57"/>
      <c r="C668" s="111"/>
      <c r="D668" s="59"/>
      <c r="E668" s="271" t="str">
        <v/>
      </c>
      <c r="F668" s="43" t="str">
        <v/>
      </c>
      <c r="G668" s="33" t="str">
        <v/>
      </c>
      <c r="H668" s="43" t="e">
        <f ca="1"/>
        <v>#N/A</v>
      </c>
      <c r="I668" s="42" t="str">
        <f ca="1"/>
        <v/>
      </c>
      <c r="J668" s="54" t="s">
        <v>4</v>
      </c>
    </row>
    <row r="669" spans="1:10" x14ac:dyDescent="0.25">
      <c r="A669" s="56"/>
      <c r="B669" s="57"/>
      <c r="C669" s="111"/>
      <c r="D669" s="59"/>
      <c r="E669" s="271" t="str">
        <v/>
      </c>
      <c r="F669" s="43" t="str">
        <v/>
      </c>
      <c r="G669" s="33" t="str">
        <v/>
      </c>
      <c r="H669" s="43" t="e">
        <f ca="1"/>
        <v>#N/A</v>
      </c>
      <c r="I669" s="42" t="str">
        <f ca="1"/>
        <v/>
      </c>
      <c r="J669" s="54" t="s">
        <v>4</v>
      </c>
    </row>
    <row r="670" spans="1:10" x14ac:dyDescent="0.25">
      <c r="A670" s="56"/>
      <c r="B670" s="57"/>
      <c r="C670" s="111"/>
      <c r="D670" s="59"/>
      <c r="E670" s="271" t="str">
        <v/>
      </c>
      <c r="F670" s="43" t="str">
        <v/>
      </c>
      <c r="G670" s="33" t="str">
        <v/>
      </c>
      <c r="H670" s="43" t="e">
        <f ca="1"/>
        <v>#N/A</v>
      </c>
      <c r="I670" s="42" t="str">
        <f ca="1"/>
        <v/>
      </c>
      <c r="J670" s="54" t="s">
        <v>4</v>
      </c>
    </row>
    <row r="671" spans="1:10" x14ac:dyDescent="0.25">
      <c r="A671" s="56"/>
      <c r="B671" s="57"/>
      <c r="C671" s="111"/>
      <c r="D671" s="59"/>
      <c r="E671" s="271" t="str">
        <v/>
      </c>
      <c r="F671" s="43" t="str">
        <v/>
      </c>
      <c r="G671" s="33" t="str">
        <v/>
      </c>
      <c r="H671" s="43" t="e">
        <f ca="1"/>
        <v>#N/A</v>
      </c>
      <c r="I671" s="42" t="str">
        <f ca="1"/>
        <v/>
      </c>
      <c r="J671" s="54" t="s">
        <v>4</v>
      </c>
    </row>
    <row r="672" spans="1:10" x14ac:dyDescent="0.25">
      <c r="A672" s="56"/>
      <c r="B672" s="57"/>
      <c r="C672" s="111"/>
      <c r="D672" s="59"/>
      <c r="E672" s="271" t="str">
        <v/>
      </c>
      <c r="F672" s="43" t="str">
        <v/>
      </c>
      <c r="G672" s="33" t="str">
        <v/>
      </c>
      <c r="H672" s="43" t="e">
        <f ca="1"/>
        <v>#N/A</v>
      </c>
      <c r="I672" s="42" t="str">
        <f ca="1"/>
        <v/>
      </c>
      <c r="J672" s="54" t="s">
        <v>4</v>
      </c>
    </row>
    <row r="673" spans="1:10" x14ac:dyDescent="0.25">
      <c r="A673" s="56"/>
      <c r="B673" s="57"/>
      <c r="C673" s="111"/>
      <c r="D673" s="59"/>
      <c r="E673" s="271" t="str">
        <v/>
      </c>
      <c r="F673" s="43" t="str">
        <v/>
      </c>
      <c r="G673" s="33" t="str">
        <v/>
      </c>
      <c r="H673" s="43" t="e">
        <f ca="1"/>
        <v>#N/A</v>
      </c>
      <c r="I673" s="42" t="str">
        <f ca="1"/>
        <v/>
      </c>
      <c r="J673" s="54" t="s">
        <v>4</v>
      </c>
    </row>
    <row r="674" spans="1:10" x14ac:dyDescent="0.25">
      <c r="A674" s="56"/>
      <c r="B674" s="57"/>
      <c r="C674" s="111"/>
      <c r="D674" s="59"/>
      <c r="E674" s="271" t="str">
        <v/>
      </c>
      <c r="F674" s="43" t="str">
        <v/>
      </c>
      <c r="G674" s="33" t="str">
        <v/>
      </c>
      <c r="H674" s="43" t="e">
        <f ca="1"/>
        <v>#N/A</v>
      </c>
      <c r="I674" s="42" t="str">
        <f ca="1"/>
        <v/>
      </c>
      <c r="J674" s="54" t="s">
        <v>4</v>
      </c>
    </row>
    <row r="675" spans="1:10" x14ac:dyDescent="0.25">
      <c r="A675" s="56"/>
      <c r="B675" s="57"/>
      <c r="C675" s="111"/>
      <c r="D675" s="59"/>
      <c r="E675" s="271" t="str">
        <v/>
      </c>
      <c r="F675" s="43" t="str">
        <v/>
      </c>
      <c r="G675" s="33" t="str">
        <v/>
      </c>
      <c r="H675" s="43" t="e">
        <f ca="1"/>
        <v>#N/A</v>
      </c>
      <c r="I675" s="42" t="str">
        <f ca="1"/>
        <v/>
      </c>
      <c r="J675" s="54" t="s">
        <v>4</v>
      </c>
    </row>
    <row r="676" spans="1:10" x14ac:dyDescent="0.25">
      <c r="A676" s="56"/>
      <c r="B676" s="57"/>
      <c r="C676" s="111"/>
      <c r="D676" s="59"/>
      <c r="E676" s="271" t="str">
        <v/>
      </c>
      <c r="F676" s="43" t="str">
        <v/>
      </c>
      <c r="G676" s="33" t="str">
        <v/>
      </c>
      <c r="H676" s="43" t="e">
        <f ca="1"/>
        <v>#N/A</v>
      </c>
      <c r="I676" s="42" t="str">
        <f ca="1"/>
        <v/>
      </c>
      <c r="J676" s="54" t="s">
        <v>4</v>
      </c>
    </row>
    <row r="677" spans="1:10" x14ac:dyDescent="0.25">
      <c r="A677" s="56"/>
      <c r="B677" s="57"/>
      <c r="C677" s="111"/>
      <c r="D677" s="59"/>
      <c r="E677" s="271" t="str">
        <v/>
      </c>
      <c r="F677" s="43" t="str">
        <v/>
      </c>
      <c r="G677" s="33" t="str">
        <v/>
      </c>
      <c r="H677" s="43" t="e">
        <f ca="1"/>
        <v>#N/A</v>
      </c>
      <c r="I677" s="42" t="str">
        <f ca="1"/>
        <v/>
      </c>
      <c r="J677" s="54" t="s">
        <v>4</v>
      </c>
    </row>
    <row r="678" spans="1:10" x14ac:dyDescent="0.25">
      <c r="A678" s="56"/>
      <c r="B678" s="57"/>
      <c r="C678" s="111"/>
      <c r="D678" s="59"/>
      <c r="E678" s="271" t="str">
        <v/>
      </c>
      <c r="F678" s="43" t="str">
        <v/>
      </c>
      <c r="G678" s="33" t="str">
        <v/>
      </c>
      <c r="H678" s="43" t="e">
        <f ca="1"/>
        <v>#N/A</v>
      </c>
      <c r="I678" s="42" t="str">
        <f ca="1"/>
        <v/>
      </c>
      <c r="J678" s="54" t="s">
        <v>4</v>
      </c>
    </row>
    <row r="679" spans="1:10" x14ac:dyDescent="0.25">
      <c r="A679" s="56"/>
      <c r="B679" s="57"/>
      <c r="C679" s="111"/>
      <c r="D679" s="59"/>
      <c r="E679" s="271" t="str">
        <v/>
      </c>
      <c r="F679" s="43" t="str">
        <v/>
      </c>
      <c r="G679" s="33" t="str">
        <v/>
      </c>
      <c r="H679" s="43" t="e">
        <f ca="1"/>
        <v>#N/A</v>
      </c>
      <c r="I679" s="42" t="str">
        <f ca="1"/>
        <v/>
      </c>
      <c r="J679" s="54" t="s">
        <v>4</v>
      </c>
    </row>
    <row r="680" spans="1:10" x14ac:dyDescent="0.25">
      <c r="A680" s="56"/>
      <c r="B680" s="57"/>
      <c r="C680" s="111"/>
      <c r="D680" s="59"/>
      <c r="E680" s="271" t="str">
        <v/>
      </c>
      <c r="F680" s="43" t="str">
        <v/>
      </c>
      <c r="G680" s="33" t="str">
        <v/>
      </c>
      <c r="H680" s="43" t="e">
        <f ca="1"/>
        <v>#N/A</v>
      </c>
      <c r="I680" s="42" t="str">
        <f ca="1"/>
        <v/>
      </c>
      <c r="J680" s="54" t="s">
        <v>4</v>
      </c>
    </row>
    <row r="681" spans="1:10" x14ac:dyDescent="0.25">
      <c r="A681" s="56"/>
      <c r="B681" s="57"/>
      <c r="C681" s="111"/>
      <c r="D681" s="59"/>
      <c r="E681" s="271" t="str">
        <v/>
      </c>
      <c r="F681" s="43" t="str">
        <v/>
      </c>
      <c r="G681" s="33" t="str">
        <v/>
      </c>
      <c r="H681" s="43" t="e">
        <f ca="1"/>
        <v>#N/A</v>
      </c>
      <c r="I681" s="42" t="str">
        <f ca="1"/>
        <v/>
      </c>
      <c r="J681" s="54" t="s">
        <v>4</v>
      </c>
    </row>
    <row r="682" spans="1:10" x14ac:dyDescent="0.25">
      <c r="A682" s="56"/>
      <c r="B682" s="57"/>
      <c r="C682" s="111"/>
      <c r="D682" s="59"/>
      <c r="E682" s="271" t="str">
        <v/>
      </c>
      <c r="F682" s="43" t="str">
        <v/>
      </c>
      <c r="G682" s="33" t="str">
        <v/>
      </c>
      <c r="H682" s="43" t="e">
        <f ca="1"/>
        <v>#N/A</v>
      </c>
      <c r="I682" s="42" t="str">
        <f ca="1"/>
        <v/>
      </c>
      <c r="J682" s="54" t="s">
        <v>4</v>
      </c>
    </row>
    <row r="683" spans="1:10" x14ac:dyDescent="0.25">
      <c r="A683" s="56"/>
      <c r="B683" s="57"/>
      <c r="C683" s="111"/>
      <c r="D683" s="59"/>
      <c r="E683" s="271" t="str">
        <v/>
      </c>
      <c r="F683" s="43" t="str">
        <v/>
      </c>
      <c r="G683" s="33" t="str">
        <v/>
      </c>
      <c r="H683" s="43" t="e">
        <f ca="1"/>
        <v>#N/A</v>
      </c>
      <c r="I683" s="42" t="str">
        <f ca="1"/>
        <v/>
      </c>
      <c r="J683" s="54" t="s">
        <v>4</v>
      </c>
    </row>
    <row r="684" spans="1:10" x14ac:dyDescent="0.25">
      <c r="A684" s="56"/>
      <c r="B684" s="57"/>
      <c r="C684" s="111"/>
      <c r="D684" s="59"/>
      <c r="E684" s="271" t="str">
        <v/>
      </c>
      <c r="F684" s="43" t="str">
        <v/>
      </c>
      <c r="G684" s="33" t="str">
        <v/>
      </c>
      <c r="H684" s="43" t="e">
        <f ca="1"/>
        <v>#N/A</v>
      </c>
      <c r="I684" s="42" t="str">
        <f ca="1"/>
        <v/>
      </c>
      <c r="J684" s="54" t="s">
        <v>4</v>
      </c>
    </row>
    <row r="685" spans="1:10" x14ac:dyDescent="0.25">
      <c r="A685" s="56"/>
      <c r="B685" s="57"/>
      <c r="C685" s="111"/>
      <c r="D685" s="59"/>
      <c r="E685" s="271" t="str">
        <v/>
      </c>
      <c r="F685" s="43" t="str">
        <v/>
      </c>
      <c r="G685" s="33" t="str">
        <v/>
      </c>
      <c r="H685" s="43" t="e">
        <f ca="1"/>
        <v>#N/A</v>
      </c>
      <c r="I685" s="42" t="str">
        <f ca="1"/>
        <v/>
      </c>
      <c r="J685" s="54" t="s">
        <v>4</v>
      </c>
    </row>
    <row r="686" spans="1:10" x14ac:dyDescent="0.25">
      <c r="A686" s="56"/>
      <c r="B686" s="57"/>
      <c r="C686" s="111"/>
      <c r="D686" s="59"/>
      <c r="E686" s="271" t="str">
        <v/>
      </c>
      <c r="F686" s="43" t="str">
        <v/>
      </c>
      <c r="G686" s="33" t="str">
        <v/>
      </c>
      <c r="H686" s="43" t="e">
        <f ca="1"/>
        <v>#N/A</v>
      </c>
      <c r="I686" s="42" t="str">
        <f ca="1"/>
        <v/>
      </c>
      <c r="J686" s="54" t="s">
        <v>4</v>
      </c>
    </row>
    <row r="687" spans="1:10" x14ac:dyDescent="0.25">
      <c r="A687" s="56"/>
      <c r="B687" s="57"/>
      <c r="C687" s="111"/>
      <c r="D687" s="59"/>
      <c r="E687" s="271" t="str">
        <v/>
      </c>
      <c r="F687" s="43" t="str">
        <v/>
      </c>
      <c r="G687" s="33" t="str">
        <v/>
      </c>
      <c r="H687" s="43" t="e">
        <f ca="1"/>
        <v>#N/A</v>
      </c>
      <c r="I687" s="42" t="str">
        <f ca="1"/>
        <v/>
      </c>
      <c r="J687" s="54" t="s">
        <v>4</v>
      </c>
    </row>
    <row r="688" spans="1:10" x14ac:dyDescent="0.25">
      <c r="A688" s="56"/>
      <c r="B688" s="57"/>
      <c r="C688" s="111"/>
      <c r="D688" s="59"/>
      <c r="E688" s="271" t="str">
        <v/>
      </c>
      <c r="F688" s="43" t="str">
        <v/>
      </c>
      <c r="G688" s="33" t="str">
        <v/>
      </c>
      <c r="H688" s="43" t="e">
        <f ca="1"/>
        <v>#N/A</v>
      </c>
      <c r="I688" s="42" t="str">
        <f ca="1"/>
        <v/>
      </c>
      <c r="J688" s="54" t="s">
        <v>4</v>
      </c>
    </row>
    <row r="689" spans="1:10" x14ac:dyDescent="0.25">
      <c r="A689" s="56"/>
      <c r="B689" s="57"/>
      <c r="C689" s="111"/>
      <c r="D689" s="59"/>
      <c r="E689" s="271" t="str">
        <v/>
      </c>
      <c r="F689" s="43" t="str">
        <v/>
      </c>
      <c r="G689" s="33" t="str">
        <v/>
      </c>
      <c r="H689" s="43" t="e">
        <f ca="1"/>
        <v>#N/A</v>
      </c>
      <c r="I689" s="42" t="str">
        <f ca="1"/>
        <v/>
      </c>
      <c r="J689" s="54" t="s">
        <v>4</v>
      </c>
    </row>
    <row r="690" spans="1:10" x14ac:dyDescent="0.25">
      <c r="A690" s="56"/>
      <c r="B690" s="57"/>
      <c r="C690" s="111"/>
      <c r="D690" s="59"/>
      <c r="E690" s="271" t="str">
        <v/>
      </c>
      <c r="F690" s="43" t="str">
        <v/>
      </c>
      <c r="G690" s="33" t="str">
        <v/>
      </c>
      <c r="H690" s="43" t="e">
        <f ca="1"/>
        <v>#N/A</v>
      </c>
      <c r="I690" s="42" t="str">
        <f ca="1"/>
        <v/>
      </c>
      <c r="J690" s="54" t="s">
        <v>4</v>
      </c>
    </row>
    <row r="691" spans="1:10" x14ac:dyDescent="0.25">
      <c r="A691" s="56"/>
      <c r="B691" s="57"/>
      <c r="C691" s="111"/>
      <c r="D691" s="59"/>
      <c r="E691" s="271" t="str">
        <v/>
      </c>
      <c r="F691" s="43" t="str">
        <v/>
      </c>
      <c r="G691" s="33" t="str">
        <v/>
      </c>
      <c r="H691" s="43" t="e">
        <f ca="1"/>
        <v>#N/A</v>
      </c>
      <c r="I691" s="42" t="str">
        <f ca="1"/>
        <v/>
      </c>
      <c r="J691" s="54" t="s">
        <v>4</v>
      </c>
    </row>
    <row r="692" spans="1:10" x14ac:dyDescent="0.25">
      <c r="A692" s="56"/>
      <c r="B692" s="57"/>
      <c r="C692" s="111"/>
      <c r="D692" s="59"/>
      <c r="E692" s="271" t="str">
        <v/>
      </c>
      <c r="F692" s="43" t="str">
        <v/>
      </c>
      <c r="G692" s="33" t="str">
        <v/>
      </c>
      <c r="H692" s="43" t="e">
        <f ca="1"/>
        <v>#N/A</v>
      </c>
      <c r="I692" s="42" t="str">
        <f ca="1"/>
        <v/>
      </c>
      <c r="J692" s="54" t="s">
        <v>4</v>
      </c>
    </row>
    <row r="693" spans="1:10" x14ac:dyDescent="0.25">
      <c r="A693" s="56"/>
      <c r="B693" s="57"/>
      <c r="C693" s="111"/>
      <c r="D693" s="59"/>
      <c r="E693" s="271" t="str">
        <v/>
      </c>
      <c r="F693" s="43" t="str">
        <v/>
      </c>
      <c r="G693" s="33" t="str">
        <v/>
      </c>
      <c r="H693" s="43" t="e">
        <f ca="1"/>
        <v>#N/A</v>
      </c>
      <c r="I693" s="42" t="str">
        <f ca="1"/>
        <v/>
      </c>
      <c r="J693" s="54" t="s">
        <v>4</v>
      </c>
    </row>
    <row r="694" spans="1:10" x14ac:dyDescent="0.25">
      <c r="A694" s="56"/>
      <c r="B694" s="57"/>
      <c r="C694" s="111"/>
      <c r="D694" s="59"/>
      <c r="E694" s="271" t="str">
        <v/>
      </c>
      <c r="F694" s="43" t="str">
        <v/>
      </c>
      <c r="G694" s="33" t="str">
        <v/>
      </c>
      <c r="H694" s="43" t="e">
        <f ca="1"/>
        <v>#N/A</v>
      </c>
      <c r="I694" s="42" t="str">
        <f ca="1"/>
        <v/>
      </c>
      <c r="J694" s="54" t="s">
        <v>4</v>
      </c>
    </row>
    <row r="695" spans="1:10" x14ac:dyDescent="0.25">
      <c r="A695" s="56"/>
      <c r="B695" s="57"/>
      <c r="C695" s="111"/>
      <c r="D695" s="59"/>
      <c r="E695" s="271" t="str">
        <v/>
      </c>
      <c r="F695" s="43" t="str">
        <v/>
      </c>
      <c r="G695" s="33" t="str">
        <v/>
      </c>
      <c r="H695" s="43" t="e">
        <f ca="1"/>
        <v>#N/A</v>
      </c>
      <c r="I695" s="42" t="str">
        <f ca="1"/>
        <v/>
      </c>
      <c r="J695" s="54" t="s">
        <v>4</v>
      </c>
    </row>
    <row r="696" spans="1:10" x14ac:dyDescent="0.25">
      <c r="A696" s="56"/>
      <c r="B696" s="57"/>
      <c r="C696" s="111"/>
      <c r="D696" s="59"/>
      <c r="E696" s="271" t="str">
        <v/>
      </c>
      <c r="F696" s="43" t="str">
        <v/>
      </c>
      <c r="G696" s="33" t="str">
        <v/>
      </c>
      <c r="H696" s="43" t="e">
        <f ca="1"/>
        <v>#N/A</v>
      </c>
      <c r="I696" s="42" t="str">
        <f ca="1"/>
        <v/>
      </c>
      <c r="J696" s="54" t="s">
        <v>4</v>
      </c>
    </row>
    <row r="697" spans="1:10" x14ac:dyDescent="0.25">
      <c r="A697" s="56"/>
      <c r="B697" s="57"/>
      <c r="C697" s="111"/>
      <c r="D697" s="59"/>
      <c r="E697" s="271" t="str">
        <v/>
      </c>
      <c r="F697" s="43" t="str">
        <v/>
      </c>
      <c r="G697" s="33" t="str">
        <v/>
      </c>
      <c r="H697" s="43" t="e">
        <f ca="1"/>
        <v>#N/A</v>
      </c>
      <c r="I697" s="42" t="str">
        <f ca="1"/>
        <v/>
      </c>
      <c r="J697" s="54" t="s">
        <v>4</v>
      </c>
    </row>
    <row r="698" spans="1:10" x14ac:dyDescent="0.25">
      <c r="A698" s="56"/>
      <c r="B698" s="57"/>
      <c r="C698" s="111"/>
      <c r="D698" s="59"/>
      <c r="E698" s="271" t="str">
        <v/>
      </c>
      <c r="F698" s="43" t="str">
        <v/>
      </c>
      <c r="G698" s="33" t="str">
        <v/>
      </c>
      <c r="H698" s="43" t="e">
        <f ca="1"/>
        <v>#N/A</v>
      </c>
      <c r="I698" s="42" t="str">
        <f ca="1"/>
        <v/>
      </c>
      <c r="J698" s="54" t="s">
        <v>4</v>
      </c>
    </row>
    <row r="699" spans="1:10" x14ac:dyDescent="0.25">
      <c r="A699" s="56"/>
      <c r="B699" s="57"/>
      <c r="C699" s="111"/>
      <c r="D699" s="59"/>
      <c r="E699" s="271" t="str">
        <v/>
      </c>
      <c r="F699" s="43" t="str">
        <v/>
      </c>
      <c r="G699" s="33" t="str">
        <v/>
      </c>
      <c r="H699" s="43" t="e">
        <f ca="1"/>
        <v>#N/A</v>
      </c>
      <c r="I699" s="42" t="str">
        <f ca="1"/>
        <v/>
      </c>
      <c r="J699" s="54" t="s">
        <v>4</v>
      </c>
    </row>
    <row r="700" spans="1:10" x14ac:dyDescent="0.25">
      <c r="A700" s="56"/>
      <c r="B700" s="57"/>
      <c r="C700" s="111"/>
      <c r="D700" s="59"/>
      <c r="E700" s="271" t="str">
        <v/>
      </c>
      <c r="F700" s="43" t="str">
        <v/>
      </c>
      <c r="G700" s="33" t="str">
        <v/>
      </c>
      <c r="H700" s="43" t="e">
        <f ca="1"/>
        <v>#N/A</v>
      </c>
      <c r="I700" s="42" t="str">
        <f ca="1"/>
        <v/>
      </c>
      <c r="J700" s="54" t="s">
        <v>4</v>
      </c>
    </row>
    <row r="701" spans="1:10" x14ac:dyDescent="0.25">
      <c r="A701" s="56"/>
      <c r="B701" s="57"/>
      <c r="C701" s="111"/>
      <c r="D701" s="59"/>
      <c r="E701" s="271" t="str">
        <v/>
      </c>
      <c r="F701" s="43" t="str">
        <v/>
      </c>
      <c r="G701" s="33" t="str">
        <v/>
      </c>
      <c r="H701" s="43" t="e">
        <f ca="1"/>
        <v>#N/A</v>
      </c>
      <c r="I701" s="42" t="str">
        <f ca="1"/>
        <v/>
      </c>
      <c r="J701" s="54" t="s">
        <v>4</v>
      </c>
    </row>
    <row r="702" spans="1:10" x14ac:dyDescent="0.25">
      <c r="A702" s="56"/>
      <c r="B702" s="57"/>
      <c r="C702" s="111"/>
      <c r="D702" s="59"/>
      <c r="E702" s="271" t="str">
        <v/>
      </c>
      <c r="F702" s="43" t="str">
        <v/>
      </c>
      <c r="G702" s="33" t="str">
        <v/>
      </c>
      <c r="H702" s="43" t="e">
        <f ca="1"/>
        <v>#N/A</v>
      </c>
      <c r="I702" s="42" t="str">
        <f ca="1"/>
        <v/>
      </c>
      <c r="J702" s="54" t="s">
        <v>4</v>
      </c>
    </row>
    <row r="703" spans="1:10" x14ac:dyDescent="0.25">
      <c r="A703" s="56"/>
      <c r="B703" s="57"/>
      <c r="C703" s="111"/>
      <c r="D703" s="59"/>
      <c r="E703" s="271" t="str">
        <v/>
      </c>
      <c r="F703" s="43" t="str">
        <v/>
      </c>
      <c r="G703" s="33" t="str">
        <v/>
      </c>
      <c r="H703" s="43" t="e">
        <f ca="1"/>
        <v>#N/A</v>
      </c>
      <c r="I703" s="42" t="str">
        <f ca="1"/>
        <v/>
      </c>
      <c r="J703" s="54" t="s">
        <v>4</v>
      </c>
    </row>
    <row r="704" spans="1:10" x14ac:dyDescent="0.25">
      <c r="A704" s="56"/>
      <c r="B704" s="57"/>
      <c r="C704" s="111"/>
      <c r="D704" s="59"/>
      <c r="E704" s="271" t="str">
        <v/>
      </c>
      <c r="F704" s="43" t="str">
        <v/>
      </c>
      <c r="G704" s="33" t="str">
        <v/>
      </c>
      <c r="H704" s="43" t="e">
        <f ca="1"/>
        <v>#N/A</v>
      </c>
      <c r="I704" s="42" t="str">
        <f ca="1"/>
        <v/>
      </c>
      <c r="J704" s="54" t="s">
        <v>4</v>
      </c>
    </row>
    <row r="705" spans="1:10" x14ac:dyDescent="0.25">
      <c r="A705" s="56"/>
      <c r="B705" s="57"/>
      <c r="C705" s="111"/>
      <c r="D705" s="59"/>
      <c r="E705" s="271" t="str">
        <v/>
      </c>
      <c r="F705" s="43" t="str">
        <v/>
      </c>
      <c r="G705" s="33" t="str">
        <v/>
      </c>
      <c r="H705" s="43" t="e">
        <f ca="1"/>
        <v>#N/A</v>
      </c>
      <c r="I705" s="42" t="str">
        <f ca="1"/>
        <v/>
      </c>
      <c r="J705" s="54" t="s">
        <v>4</v>
      </c>
    </row>
    <row r="706" spans="1:10" x14ac:dyDescent="0.25">
      <c r="A706" s="56"/>
      <c r="B706" s="57"/>
      <c r="C706" s="111"/>
      <c r="D706" s="59"/>
      <c r="E706" s="271" t="str">
        <v/>
      </c>
      <c r="F706" s="43" t="str">
        <v/>
      </c>
      <c r="G706" s="33" t="str">
        <v/>
      </c>
      <c r="H706" s="43" t="e">
        <f ca="1"/>
        <v>#N/A</v>
      </c>
      <c r="I706" s="42" t="str">
        <f ca="1"/>
        <v/>
      </c>
      <c r="J706" s="54" t="s">
        <v>4</v>
      </c>
    </row>
    <row r="707" spans="1:10" x14ac:dyDescent="0.25">
      <c r="A707" s="56"/>
      <c r="B707" s="57"/>
      <c r="C707" s="111"/>
      <c r="D707" s="59"/>
      <c r="E707" s="271" t="str">
        <v/>
      </c>
      <c r="F707" s="43" t="str">
        <v/>
      </c>
      <c r="G707" s="33" t="str">
        <v/>
      </c>
      <c r="H707" s="43" t="e">
        <f ca="1"/>
        <v>#N/A</v>
      </c>
      <c r="I707" s="42" t="str">
        <f ca="1"/>
        <v/>
      </c>
      <c r="J707" s="54" t="s">
        <v>4</v>
      </c>
    </row>
    <row r="708" spans="1:10" x14ac:dyDescent="0.25">
      <c r="A708" s="56"/>
      <c r="B708" s="57"/>
      <c r="C708" s="111"/>
      <c r="D708" s="59"/>
      <c r="E708" s="271" t="str">
        <v/>
      </c>
      <c r="F708" s="43" t="str">
        <v/>
      </c>
      <c r="G708" s="33" t="str">
        <v/>
      </c>
      <c r="H708" s="43" t="e">
        <f ca="1"/>
        <v>#N/A</v>
      </c>
      <c r="I708" s="42" t="str">
        <f ca="1"/>
        <v/>
      </c>
      <c r="J708" s="54" t="s">
        <v>4</v>
      </c>
    </row>
    <row r="709" spans="1:10" x14ac:dyDescent="0.25">
      <c r="A709" s="56"/>
      <c r="B709" s="57"/>
      <c r="C709" s="111"/>
      <c r="D709" s="59"/>
      <c r="E709" s="271" t="str">
        <v/>
      </c>
      <c r="F709" s="43" t="str">
        <v/>
      </c>
      <c r="G709" s="33" t="str">
        <v/>
      </c>
      <c r="H709" s="43" t="e">
        <f ca="1"/>
        <v>#N/A</v>
      </c>
      <c r="I709" s="42" t="str">
        <f ca="1"/>
        <v/>
      </c>
      <c r="J709" s="54" t="s">
        <v>4</v>
      </c>
    </row>
    <row r="710" spans="1:10" x14ac:dyDescent="0.25">
      <c r="A710" s="56"/>
      <c r="B710" s="57"/>
      <c r="C710" s="111"/>
      <c r="D710" s="59"/>
      <c r="E710" s="271" t="str">
        <v/>
      </c>
      <c r="F710" s="43" t="str">
        <v/>
      </c>
      <c r="G710" s="33" t="str">
        <v/>
      </c>
      <c r="H710" s="43" t="e">
        <f ca="1"/>
        <v>#N/A</v>
      </c>
      <c r="I710" s="42" t="str">
        <f ca="1"/>
        <v/>
      </c>
      <c r="J710" s="54" t="s">
        <v>4</v>
      </c>
    </row>
    <row r="711" spans="1:10" x14ac:dyDescent="0.25">
      <c r="A711" s="56"/>
      <c r="B711" s="57"/>
      <c r="C711" s="111"/>
      <c r="D711" s="59"/>
      <c r="E711" s="271" t="str">
        <v/>
      </c>
      <c r="F711" s="43" t="str">
        <v/>
      </c>
      <c r="G711" s="33" t="str">
        <v/>
      </c>
      <c r="H711" s="43" t="e">
        <f ca="1"/>
        <v>#N/A</v>
      </c>
      <c r="I711" s="42" t="str">
        <f ca="1"/>
        <v/>
      </c>
      <c r="J711" s="54" t="s">
        <v>4</v>
      </c>
    </row>
    <row r="712" spans="1:10" x14ac:dyDescent="0.25">
      <c r="A712" s="56"/>
      <c r="B712" s="57"/>
      <c r="C712" s="111"/>
      <c r="D712" s="59"/>
      <c r="E712" s="271" t="str">
        <v/>
      </c>
      <c r="F712" s="43" t="str">
        <v/>
      </c>
      <c r="G712" s="33" t="str">
        <v/>
      </c>
      <c r="H712" s="43" t="e">
        <f ca="1"/>
        <v>#N/A</v>
      </c>
      <c r="I712" s="42" t="str">
        <f ca="1"/>
        <v/>
      </c>
      <c r="J712" s="54" t="s">
        <v>4</v>
      </c>
    </row>
    <row r="713" spans="1:10" x14ac:dyDescent="0.25">
      <c r="A713" s="56"/>
      <c r="B713" s="57"/>
      <c r="C713" s="111"/>
      <c r="D713" s="59"/>
      <c r="E713" s="271" t="str">
        <v/>
      </c>
      <c r="F713" s="43" t="str">
        <v/>
      </c>
      <c r="G713" s="33" t="str">
        <v/>
      </c>
      <c r="H713" s="43" t="e">
        <f ca="1"/>
        <v>#N/A</v>
      </c>
      <c r="I713" s="42" t="str">
        <f ca="1"/>
        <v/>
      </c>
      <c r="J713" s="54" t="s">
        <v>4</v>
      </c>
    </row>
    <row r="714" spans="1:10" x14ac:dyDescent="0.25">
      <c r="A714" s="56"/>
      <c r="B714" s="57"/>
      <c r="C714" s="111"/>
      <c r="D714" s="59"/>
      <c r="E714" s="271" t="str">
        <v/>
      </c>
      <c r="F714" s="43" t="str">
        <v/>
      </c>
      <c r="G714" s="33" t="str">
        <v/>
      </c>
      <c r="H714" s="43" t="e">
        <f ca="1"/>
        <v>#N/A</v>
      </c>
      <c r="I714" s="42" t="str">
        <f ca="1"/>
        <v/>
      </c>
      <c r="J714" s="54" t="s">
        <v>4</v>
      </c>
    </row>
    <row r="715" spans="1:10" x14ac:dyDescent="0.25">
      <c r="A715" s="56"/>
      <c r="B715" s="57"/>
      <c r="C715" s="111"/>
      <c r="D715" s="59"/>
      <c r="E715" s="271" t="str">
        <v/>
      </c>
      <c r="F715" s="43" t="str">
        <v/>
      </c>
      <c r="G715" s="33" t="str">
        <v/>
      </c>
      <c r="H715" s="43" t="e">
        <f ca="1"/>
        <v>#N/A</v>
      </c>
      <c r="I715" s="42" t="str">
        <f ca="1"/>
        <v/>
      </c>
      <c r="J715" s="54" t="s">
        <v>4</v>
      </c>
    </row>
    <row r="716" spans="1:10" x14ac:dyDescent="0.25">
      <c r="A716" s="56"/>
      <c r="B716" s="57"/>
      <c r="C716" s="111"/>
      <c r="D716" s="59"/>
      <c r="E716" s="271" t="str">
        <v/>
      </c>
      <c r="F716" s="43" t="str">
        <v/>
      </c>
      <c r="G716" s="33" t="str">
        <v/>
      </c>
      <c r="H716" s="43" t="e">
        <f ca="1"/>
        <v>#N/A</v>
      </c>
      <c r="I716" s="42" t="str">
        <f ca="1"/>
        <v/>
      </c>
      <c r="J716" s="54" t="s">
        <v>4</v>
      </c>
    </row>
    <row r="717" spans="1:10" x14ac:dyDescent="0.25">
      <c r="A717" s="56"/>
      <c r="B717" s="57"/>
      <c r="C717" s="111"/>
      <c r="D717" s="59"/>
      <c r="E717" s="271" t="str">
        <v/>
      </c>
      <c r="F717" s="43" t="str">
        <v/>
      </c>
      <c r="G717" s="33" t="str">
        <v/>
      </c>
      <c r="H717" s="43" t="e">
        <f ca="1"/>
        <v>#N/A</v>
      </c>
      <c r="I717" s="42" t="str">
        <f ca="1"/>
        <v/>
      </c>
      <c r="J717" s="54" t="s">
        <v>4</v>
      </c>
    </row>
    <row r="718" spans="1:10" x14ac:dyDescent="0.25">
      <c r="A718" s="56"/>
      <c r="B718" s="57"/>
      <c r="C718" s="111"/>
      <c r="D718" s="59"/>
      <c r="E718" s="271" t="str">
        <v/>
      </c>
      <c r="F718" s="43" t="str">
        <v/>
      </c>
      <c r="G718" s="33" t="str">
        <v/>
      </c>
      <c r="H718" s="43" t="e">
        <f ca="1"/>
        <v>#N/A</v>
      </c>
      <c r="I718" s="42" t="str">
        <f ca="1"/>
        <v/>
      </c>
      <c r="J718" s="54" t="s">
        <v>4</v>
      </c>
    </row>
    <row r="719" spans="1:10" x14ac:dyDescent="0.25">
      <c r="A719" s="56"/>
      <c r="B719" s="57"/>
      <c r="C719" s="111"/>
      <c r="D719" s="59"/>
      <c r="E719" s="271" t="str">
        <v/>
      </c>
      <c r="F719" s="43" t="str">
        <v/>
      </c>
      <c r="G719" s="33" t="str">
        <v/>
      </c>
      <c r="H719" s="43" t="e">
        <f ca="1"/>
        <v>#N/A</v>
      </c>
      <c r="I719" s="42" t="str">
        <f ca="1"/>
        <v/>
      </c>
      <c r="J719" s="54" t="s">
        <v>4</v>
      </c>
    </row>
    <row r="720" spans="1:10" x14ac:dyDescent="0.25">
      <c r="A720" s="56"/>
      <c r="B720" s="57"/>
      <c r="C720" s="111"/>
      <c r="D720" s="59"/>
      <c r="E720" s="271" t="str">
        <v/>
      </c>
      <c r="F720" s="43" t="str">
        <v/>
      </c>
      <c r="G720" s="33" t="str">
        <v/>
      </c>
      <c r="H720" s="43" t="e">
        <f ca="1"/>
        <v>#N/A</v>
      </c>
      <c r="I720" s="42" t="str">
        <f ca="1"/>
        <v/>
      </c>
      <c r="J720" s="54" t="s">
        <v>4</v>
      </c>
    </row>
    <row r="721" spans="1:10" x14ac:dyDescent="0.25">
      <c r="A721" s="56"/>
      <c r="B721" s="57"/>
      <c r="C721" s="111"/>
      <c r="D721" s="59"/>
      <c r="E721" s="271" t="str">
        <v/>
      </c>
      <c r="F721" s="43" t="str">
        <v/>
      </c>
      <c r="G721" s="33" t="str">
        <v/>
      </c>
      <c r="H721" s="43" t="e">
        <f ca="1"/>
        <v>#N/A</v>
      </c>
      <c r="I721" s="42" t="str">
        <f ca="1"/>
        <v/>
      </c>
      <c r="J721" s="54" t="s">
        <v>4</v>
      </c>
    </row>
    <row r="722" spans="1:10" x14ac:dyDescent="0.25">
      <c r="A722" s="56"/>
      <c r="B722" s="57"/>
      <c r="C722" s="111"/>
      <c r="D722" s="59"/>
      <c r="E722" s="271" t="str">
        <v/>
      </c>
      <c r="F722" s="43" t="str">
        <v/>
      </c>
      <c r="G722" s="33" t="str">
        <v/>
      </c>
      <c r="H722" s="43" t="e">
        <f ca="1"/>
        <v>#N/A</v>
      </c>
      <c r="I722" s="42" t="str">
        <f ca="1"/>
        <v/>
      </c>
      <c r="J722" s="54" t="s">
        <v>4</v>
      </c>
    </row>
    <row r="723" spans="1:10" x14ac:dyDescent="0.25">
      <c r="A723" s="56"/>
      <c r="B723" s="57"/>
      <c r="C723" s="111"/>
      <c r="D723" s="59"/>
      <c r="E723" s="271" t="str">
        <v/>
      </c>
      <c r="F723" s="43" t="str">
        <v/>
      </c>
      <c r="G723" s="33" t="str">
        <v/>
      </c>
      <c r="H723" s="43" t="e">
        <f ca="1"/>
        <v>#N/A</v>
      </c>
      <c r="I723" s="42" t="str">
        <f ca="1"/>
        <v/>
      </c>
      <c r="J723" s="54" t="s">
        <v>4</v>
      </c>
    </row>
    <row r="724" spans="1:10" x14ac:dyDescent="0.25">
      <c r="A724" s="56"/>
      <c r="B724" s="57"/>
      <c r="C724" s="111"/>
      <c r="D724" s="59"/>
      <c r="E724" s="271" t="str">
        <v/>
      </c>
      <c r="F724" s="43" t="str">
        <v/>
      </c>
      <c r="G724" s="33" t="str">
        <v/>
      </c>
      <c r="H724" s="43" t="e">
        <f ca="1"/>
        <v>#N/A</v>
      </c>
      <c r="I724" s="42" t="str">
        <f ca="1"/>
        <v/>
      </c>
      <c r="J724" s="54" t="s">
        <v>4</v>
      </c>
    </row>
    <row r="725" spans="1:10" x14ac:dyDescent="0.25">
      <c r="A725" s="56"/>
      <c r="B725" s="57"/>
      <c r="C725" s="111"/>
      <c r="D725" s="59"/>
      <c r="E725" s="271" t="str">
        <v/>
      </c>
      <c r="F725" s="43" t="str">
        <v/>
      </c>
      <c r="G725" s="33" t="str">
        <v/>
      </c>
      <c r="H725" s="43" t="e">
        <f ca="1"/>
        <v>#N/A</v>
      </c>
      <c r="I725" s="42" t="str">
        <f ca="1"/>
        <v/>
      </c>
      <c r="J725" s="54" t="s">
        <v>4</v>
      </c>
    </row>
    <row r="726" spans="1:10" x14ac:dyDescent="0.25">
      <c r="A726" s="56"/>
      <c r="B726" s="57"/>
      <c r="C726" s="111"/>
      <c r="D726" s="59"/>
      <c r="E726" s="271" t="str">
        <v/>
      </c>
      <c r="F726" s="43" t="str">
        <v/>
      </c>
      <c r="G726" s="33" t="str">
        <v/>
      </c>
      <c r="H726" s="43" t="e">
        <f ca="1"/>
        <v>#N/A</v>
      </c>
      <c r="I726" s="42" t="str">
        <f ca="1"/>
        <v/>
      </c>
      <c r="J726" s="54" t="s">
        <v>4</v>
      </c>
    </row>
    <row r="727" spans="1:10" x14ac:dyDescent="0.25">
      <c r="A727" s="56"/>
      <c r="B727" s="57"/>
      <c r="C727" s="111"/>
      <c r="D727" s="59"/>
      <c r="E727" s="271" t="str">
        <v/>
      </c>
      <c r="F727" s="43" t="str">
        <v/>
      </c>
      <c r="G727" s="33" t="str">
        <v/>
      </c>
      <c r="H727" s="43" t="e">
        <f ca="1"/>
        <v>#N/A</v>
      </c>
      <c r="I727" s="42" t="str">
        <f ca="1"/>
        <v/>
      </c>
      <c r="J727" s="54" t="s">
        <v>4</v>
      </c>
    </row>
    <row r="728" spans="1:10" x14ac:dyDescent="0.25">
      <c r="A728" s="56"/>
      <c r="B728" s="57"/>
      <c r="C728" s="111"/>
      <c r="D728" s="59"/>
      <c r="E728" s="271" t="str">
        <v/>
      </c>
      <c r="F728" s="43" t="str">
        <v/>
      </c>
      <c r="G728" s="33" t="str">
        <v/>
      </c>
      <c r="H728" s="43" t="e">
        <f ca="1"/>
        <v>#N/A</v>
      </c>
      <c r="I728" s="42" t="str">
        <f ca="1"/>
        <v/>
      </c>
      <c r="J728" s="54" t="s">
        <v>4</v>
      </c>
    </row>
    <row r="729" spans="1:10" x14ac:dyDescent="0.25">
      <c r="A729" s="56"/>
      <c r="B729" s="57"/>
      <c r="C729" s="111"/>
      <c r="D729" s="59"/>
      <c r="E729" s="271" t="str">
        <v/>
      </c>
      <c r="F729" s="43" t="str">
        <v/>
      </c>
      <c r="G729" s="33" t="str">
        <v/>
      </c>
      <c r="H729" s="43" t="e">
        <f ca="1"/>
        <v>#N/A</v>
      </c>
      <c r="I729" s="42" t="str">
        <f ca="1"/>
        <v/>
      </c>
      <c r="J729" s="54" t="s">
        <v>4</v>
      </c>
    </row>
    <row r="730" spans="1:10" x14ac:dyDescent="0.25">
      <c r="A730" s="56"/>
      <c r="B730" s="57"/>
      <c r="C730" s="111"/>
      <c r="D730" s="59"/>
      <c r="E730" s="271" t="str">
        <v/>
      </c>
      <c r="F730" s="43" t="str">
        <v/>
      </c>
      <c r="G730" s="33" t="str">
        <v/>
      </c>
      <c r="H730" s="43" t="e">
        <f ca="1"/>
        <v>#N/A</v>
      </c>
      <c r="I730" s="42" t="str">
        <f ca="1"/>
        <v/>
      </c>
      <c r="J730" s="54" t="s">
        <v>4</v>
      </c>
    </row>
    <row r="731" spans="1:10" x14ac:dyDescent="0.25">
      <c r="A731" s="56"/>
      <c r="B731" s="57"/>
      <c r="C731" s="111"/>
      <c r="D731" s="59"/>
      <c r="E731" s="271" t="str">
        <v/>
      </c>
      <c r="F731" s="43" t="str">
        <v/>
      </c>
      <c r="G731" s="33" t="str">
        <v/>
      </c>
      <c r="H731" s="43" t="e">
        <f ca="1"/>
        <v>#N/A</v>
      </c>
      <c r="I731" s="42" t="str">
        <f ca="1"/>
        <v/>
      </c>
      <c r="J731" s="54" t="s">
        <v>4</v>
      </c>
    </row>
    <row r="732" spans="1:10" x14ac:dyDescent="0.25">
      <c r="A732" s="56"/>
      <c r="B732" s="57"/>
      <c r="C732" s="111"/>
      <c r="D732" s="59"/>
      <c r="E732" s="271" t="str">
        <v/>
      </c>
      <c r="F732" s="43" t="str">
        <v/>
      </c>
      <c r="G732" s="33" t="str">
        <v/>
      </c>
      <c r="H732" s="43" t="e">
        <f ca="1"/>
        <v>#N/A</v>
      </c>
      <c r="I732" s="42" t="str">
        <f ca="1"/>
        <v/>
      </c>
      <c r="J732" s="54" t="s">
        <v>4</v>
      </c>
    </row>
    <row r="733" spans="1:10" x14ac:dyDescent="0.25">
      <c r="A733" s="56"/>
      <c r="B733" s="57"/>
      <c r="C733" s="111"/>
      <c r="D733" s="59"/>
      <c r="E733" s="271" t="str">
        <v/>
      </c>
      <c r="F733" s="43" t="str">
        <v/>
      </c>
      <c r="G733" s="33" t="str">
        <v/>
      </c>
      <c r="H733" s="43" t="e">
        <f ca="1"/>
        <v>#N/A</v>
      </c>
      <c r="I733" s="42" t="str">
        <f ca="1"/>
        <v/>
      </c>
      <c r="J733" s="54" t="s">
        <v>4</v>
      </c>
    </row>
    <row r="734" spans="1:10" x14ac:dyDescent="0.25">
      <c r="A734" s="56"/>
      <c r="B734" s="57"/>
      <c r="C734" s="111"/>
      <c r="D734" s="59"/>
      <c r="E734" s="271" t="str">
        <v/>
      </c>
      <c r="F734" s="43" t="str">
        <v/>
      </c>
      <c r="G734" s="33" t="str">
        <v/>
      </c>
      <c r="H734" s="43" t="e">
        <f ca="1"/>
        <v>#N/A</v>
      </c>
      <c r="I734" s="42" t="str">
        <f ca="1"/>
        <v/>
      </c>
      <c r="J734" s="54" t="s">
        <v>4</v>
      </c>
    </row>
    <row r="735" spans="1:10" x14ac:dyDescent="0.25">
      <c r="A735" s="56"/>
      <c r="B735" s="57"/>
      <c r="C735" s="111"/>
      <c r="D735" s="59"/>
      <c r="E735" s="271" t="str">
        <v/>
      </c>
      <c r="F735" s="43" t="str">
        <v/>
      </c>
      <c r="G735" s="33" t="str">
        <v/>
      </c>
      <c r="H735" s="43" t="e">
        <f ca="1"/>
        <v>#N/A</v>
      </c>
      <c r="I735" s="42" t="str">
        <f ca="1"/>
        <v/>
      </c>
      <c r="J735" s="54" t="s">
        <v>4</v>
      </c>
    </row>
    <row r="736" spans="1:10" x14ac:dyDescent="0.25">
      <c r="A736" s="56"/>
      <c r="B736" s="57"/>
      <c r="C736" s="111"/>
      <c r="D736" s="59"/>
      <c r="E736" s="271" t="str">
        <v/>
      </c>
      <c r="F736" s="43" t="str">
        <v/>
      </c>
      <c r="G736" s="33" t="str">
        <v/>
      </c>
      <c r="H736" s="43" t="e">
        <f ca="1"/>
        <v>#N/A</v>
      </c>
      <c r="I736" s="42" t="str">
        <f ca="1"/>
        <v/>
      </c>
      <c r="J736" s="54" t="s">
        <v>4</v>
      </c>
    </row>
    <row r="737" spans="1:10" x14ac:dyDescent="0.25">
      <c r="A737" s="56"/>
      <c r="B737" s="57"/>
      <c r="C737" s="111"/>
      <c r="D737" s="59"/>
      <c r="E737" s="271" t="str">
        <v/>
      </c>
      <c r="F737" s="43" t="str">
        <v/>
      </c>
      <c r="G737" s="33" t="str">
        <v/>
      </c>
      <c r="H737" s="43" t="e">
        <f ca="1"/>
        <v>#N/A</v>
      </c>
      <c r="I737" s="42" t="str">
        <f ca="1"/>
        <v/>
      </c>
      <c r="J737" s="54" t="s">
        <v>4</v>
      </c>
    </row>
    <row r="738" spans="1:10" x14ac:dyDescent="0.25">
      <c r="A738" s="56"/>
      <c r="B738" s="57"/>
      <c r="C738" s="111"/>
      <c r="D738" s="59"/>
      <c r="E738" s="271" t="str">
        <v/>
      </c>
      <c r="F738" s="43" t="str">
        <v/>
      </c>
      <c r="G738" s="33" t="str">
        <v/>
      </c>
      <c r="H738" s="43" t="e">
        <f ca="1"/>
        <v>#N/A</v>
      </c>
      <c r="I738" s="42" t="str">
        <f ca="1"/>
        <v/>
      </c>
      <c r="J738" s="54" t="s">
        <v>4</v>
      </c>
    </row>
    <row r="739" spans="1:10" x14ac:dyDescent="0.25">
      <c r="A739" s="56"/>
      <c r="B739" s="57"/>
      <c r="C739" s="111"/>
      <c r="D739" s="59"/>
      <c r="E739" s="271" t="str">
        <v/>
      </c>
      <c r="F739" s="43" t="str">
        <v/>
      </c>
      <c r="G739" s="33" t="str">
        <v/>
      </c>
      <c r="H739" s="43" t="e">
        <f ca="1"/>
        <v>#N/A</v>
      </c>
      <c r="I739" s="42" t="str">
        <f ca="1"/>
        <v/>
      </c>
      <c r="J739" s="54" t="s">
        <v>4</v>
      </c>
    </row>
    <row r="740" spans="1:10" x14ac:dyDescent="0.25">
      <c r="A740" s="56"/>
      <c r="B740" s="57"/>
      <c r="C740" s="111"/>
      <c r="D740" s="59"/>
      <c r="E740" s="271" t="str">
        <v/>
      </c>
      <c r="F740" s="43" t="str">
        <v/>
      </c>
      <c r="G740" s="33" t="str">
        <v/>
      </c>
      <c r="H740" s="43" t="e">
        <f ca="1"/>
        <v>#N/A</v>
      </c>
      <c r="I740" s="42" t="str">
        <f ca="1"/>
        <v/>
      </c>
      <c r="J740" s="54" t="s">
        <v>4</v>
      </c>
    </row>
    <row r="741" spans="1:10" x14ac:dyDescent="0.25">
      <c r="A741" s="56"/>
      <c r="B741" s="57"/>
      <c r="C741" s="111"/>
      <c r="D741" s="59"/>
      <c r="E741" s="271" t="str">
        <v/>
      </c>
      <c r="F741" s="43" t="str">
        <v/>
      </c>
      <c r="G741" s="33" t="str">
        <v/>
      </c>
      <c r="H741" s="43" t="e">
        <f ca="1"/>
        <v>#N/A</v>
      </c>
      <c r="I741" s="42" t="str">
        <f ca="1"/>
        <v/>
      </c>
      <c r="J741" s="54" t="s">
        <v>4</v>
      </c>
    </row>
    <row r="742" spans="1:10" x14ac:dyDescent="0.25">
      <c r="A742" s="56"/>
      <c r="B742" s="57"/>
      <c r="C742" s="111"/>
      <c r="D742" s="59"/>
      <c r="E742" s="271" t="str">
        <v/>
      </c>
      <c r="F742" s="43" t="str">
        <v/>
      </c>
      <c r="G742" s="33" t="str">
        <v/>
      </c>
      <c r="H742" s="43" t="e">
        <f ca="1"/>
        <v>#N/A</v>
      </c>
      <c r="I742" s="42" t="str">
        <f ca="1"/>
        <v/>
      </c>
      <c r="J742" s="54" t="s">
        <v>4</v>
      </c>
    </row>
    <row r="743" spans="1:10" x14ac:dyDescent="0.25">
      <c r="A743" s="56"/>
      <c r="B743" s="57"/>
      <c r="C743" s="111"/>
      <c r="D743" s="59"/>
      <c r="E743" s="271" t="str">
        <v/>
      </c>
      <c r="F743" s="43" t="str">
        <v/>
      </c>
      <c r="G743" s="33" t="str">
        <v/>
      </c>
      <c r="H743" s="43" t="e">
        <f ca="1"/>
        <v>#N/A</v>
      </c>
      <c r="I743" s="42" t="str">
        <f ca="1"/>
        <v/>
      </c>
      <c r="J743" s="54" t="s">
        <v>4</v>
      </c>
    </row>
    <row r="744" spans="1:10" x14ac:dyDescent="0.25">
      <c r="A744" s="56"/>
      <c r="B744" s="57"/>
      <c r="C744" s="111"/>
      <c r="D744" s="59"/>
      <c r="E744" s="271" t="str">
        <v/>
      </c>
      <c r="F744" s="43" t="str">
        <v/>
      </c>
      <c r="G744" s="33" t="str">
        <v/>
      </c>
      <c r="H744" s="43" t="e">
        <f ca="1"/>
        <v>#N/A</v>
      </c>
      <c r="I744" s="42" t="str">
        <f ca="1"/>
        <v/>
      </c>
      <c r="J744" s="54" t="s">
        <v>4</v>
      </c>
    </row>
    <row r="745" spans="1:10" x14ac:dyDescent="0.25">
      <c r="A745" s="56"/>
      <c r="B745" s="57"/>
      <c r="C745" s="111"/>
      <c r="D745" s="59"/>
      <c r="E745" s="271" t="str">
        <v/>
      </c>
      <c r="F745" s="43" t="str">
        <v/>
      </c>
      <c r="G745" s="33" t="str">
        <v/>
      </c>
      <c r="H745" s="43" t="e">
        <f ca="1"/>
        <v>#N/A</v>
      </c>
      <c r="I745" s="42" t="str">
        <f ca="1"/>
        <v/>
      </c>
      <c r="J745" s="54" t="s">
        <v>4</v>
      </c>
    </row>
    <row r="746" spans="1:10" x14ac:dyDescent="0.25">
      <c r="A746" s="56"/>
      <c r="B746" s="57"/>
      <c r="C746" s="111"/>
      <c r="D746" s="59"/>
      <c r="E746" s="271" t="str">
        <v/>
      </c>
      <c r="F746" s="43" t="str">
        <v/>
      </c>
      <c r="G746" s="33" t="str">
        <v/>
      </c>
      <c r="H746" s="43" t="e">
        <f ca="1"/>
        <v>#N/A</v>
      </c>
      <c r="I746" s="42" t="str">
        <f ca="1"/>
        <v/>
      </c>
      <c r="J746" s="54" t="s">
        <v>4</v>
      </c>
    </row>
    <row r="747" spans="1:10" x14ac:dyDescent="0.25">
      <c r="A747" s="56"/>
      <c r="B747" s="57"/>
      <c r="C747" s="111"/>
      <c r="D747" s="59"/>
      <c r="E747" s="271" t="str">
        <v/>
      </c>
      <c r="F747" s="43" t="str">
        <v/>
      </c>
      <c r="G747" s="33" t="str">
        <v/>
      </c>
      <c r="H747" s="43" t="e">
        <f ca="1"/>
        <v>#N/A</v>
      </c>
      <c r="I747" s="42" t="str">
        <f ca="1"/>
        <v/>
      </c>
      <c r="J747" s="54" t="s">
        <v>4</v>
      </c>
    </row>
    <row r="748" spans="1:10" x14ac:dyDescent="0.25">
      <c r="A748" s="56"/>
      <c r="B748" s="57"/>
      <c r="C748" s="111"/>
      <c r="D748" s="59"/>
      <c r="E748" s="271" t="str">
        <v/>
      </c>
      <c r="F748" s="43" t="str">
        <v/>
      </c>
      <c r="G748" s="33" t="str">
        <v/>
      </c>
      <c r="H748" s="43" t="e">
        <f ca="1"/>
        <v>#N/A</v>
      </c>
      <c r="I748" s="42" t="str">
        <f ca="1"/>
        <v/>
      </c>
      <c r="J748" s="54" t="s">
        <v>4</v>
      </c>
    </row>
    <row r="749" spans="1:10" x14ac:dyDescent="0.25">
      <c r="A749" s="56"/>
      <c r="B749" s="57"/>
      <c r="C749" s="111"/>
      <c r="D749" s="59"/>
      <c r="E749" s="271" t="str">
        <v/>
      </c>
      <c r="F749" s="43" t="str">
        <v/>
      </c>
      <c r="G749" s="33" t="str">
        <v/>
      </c>
      <c r="H749" s="43" t="e">
        <f ca="1"/>
        <v>#N/A</v>
      </c>
      <c r="I749" s="42" t="str">
        <f ca="1"/>
        <v/>
      </c>
      <c r="J749" s="54" t="s">
        <v>4</v>
      </c>
    </row>
    <row r="750" spans="1:10" x14ac:dyDescent="0.25">
      <c r="A750" s="56"/>
      <c r="B750" s="57"/>
      <c r="C750" s="111"/>
      <c r="D750" s="59"/>
      <c r="E750" s="271" t="str">
        <v/>
      </c>
      <c r="F750" s="43" t="str">
        <v/>
      </c>
      <c r="G750" s="33" t="str">
        <v/>
      </c>
      <c r="H750" s="43" t="e">
        <f ca="1"/>
        <v>#N/A</v>
      </c>
      <c r="I750" s="42" t="str">
        <f ca="1"/>
        <v/>
      </c>
      <c r="J750" s="54" t="s">
        <v>4</v>
      </c>
    </row>
    <row r="751" spans="1:10" x14ac:dyDescent="0.25">
      <c r="A751" s="56"/>
      <c r="B751" s="57"/>
      <c r="C751" s="111"/>
      <c r="D751" s="59"/>
      <c r="E751" s="271" t="str">
        <v/>
      </c>
      <c r="F751" s="43" t="str">
        <v/>
      </c>
      <c r="G751" s="33" t="str">
        <v/>
      </c>
      <c r="H751" s="43" t="e">
        <f ca="1"/>
        <v>#N/A</v>
      </c>
      <c r="I751" s="42" t="str">
        <f ca="1"/>
        <v/>
      </c>
      <c r="J751" s="54" t="s">
        <v>4</v>
      </c>
    </row>
    <row r="752" spans="1:10" x14ac:dyDescent="0.25">
      <c r="A752" s="56"/>
      <c r="B752" s="57"/>
      <c r="C752" s="111"/>
      <c r="D752" s="59"/>
      <c r="E752" s="271" t="str">
        <v/>
      </c>
      <c r="F752" s="43" t="str">
        <v/>
      </c>
      <c r="G752" s="33" t="str">
        <v/>
      </c>
      <c r="H752" s="43" t="e">
        <f ca="1"/>
        <v>#N/A</v>
      </c>
      <c r="I752" s="42" t="str">
        <f ca="1"/>
        <v/>
      </c>
      <c r="J752" s="54" t="s">
        <v>4</v>
      </c>
    </row>
    <row r="753" spans="1:10" x14ac:dyDescent="0.25">
      <c r="A753" s="56"/>
      <c r="B753" s="57"/>
      <c r="C753" s="111"/>
      <c r="D753" s="59"/>
      <c r="E753" s="271" t="str">
        <v/>
      </c>
      <c r="F753" s="43" t="str">
        <v/>
      </c>
      <c r="G753" s="33" t="str">
        <v/>
      </c>
      <c r="H753" s="43" t="e">
        <f ca="1"/>
        <v>#N/A</v>
      </c>
      <c r="I753" s="42" t="str">
        <f ca="1"/>
        <v/>
      </c>
      <c r="J753" s="54" t="s">
        <v>4</v>
      </c>
    </row>
    <row r="754" spans="1:10" x14ac:dyDescent="0.25">
      <c r="A754" s="56"/>
      <c r="B754" s="57"/>
      <c r="C754" s="111"/>
      <c r="D754" s="59"/>
      <c r="E754" s="271" t="str">
        <v/>
      </c>
      <c r="F754" s="43" t="str">
        <v/>
      </c>
      <c r="G754" s="33" t="str">
        <v/>
      </c>
      <c r="H754" s="43" t="e">
        <f ca="1"/>
        <v>#N/A</v>
      </c>
      <c r="I754" s="42" t="str">
        <f ca="1"/>
        <v/>
      </c>
      <c r="J754" s="54" t="s">
        <v>4</v>
      </c>
    </row>
    <row r="755" spans="1:10" x14ac:dyDescent="0.25">
      <c r="A755" s="56"/>
      <c r="B755" s="57"/>
      <c r="C755" s="111"/>
      <c r="D755" s="59"/>
      <c r="E755" s="271" t="str">
        <v/>
      </c>
      <c r="F755" s="43" t="str">
        <v/>
      </c>
      <c r="G755" s="33" t="str">
        <v/>
      </c>
      <c r="H755" s="43" t="e">
        <f ca="1"/>
        <v>#N/A</v>
      </c>
      <c r="I755" s="42" t="str">
        <f ca="1"/>
        <v/>
      </c>
      <c r="J755" s="54" t="s">
        <v>4</v>
      </c>
    </row>
    <row r="756" spans="1:10" x14ac:dyDescent="0.25">
      <c r="A756" s="56"/>
      <c r="B756" s="57"/>
      <c r="C756" s="111"/>
      <c r="D756" s="59"/>
      <c r="E756" s="271" t="str">
        <v/>
      </c>
      <c r="F756" s="43" t="str">
        <v/>
      </c>
      <c r="G756" s="33" t="str">
        <v/>
      </c>
      <c r="H756" s="43" t="e">
        <f ca="1"/>
        <v>#N/A</v>
      </c>
      <c r="I756" s="42" t="str">
        <f ca="1"/>
        <v/>
      </c>
      <c r="J756" s="54" t="s">
        <v>4</v>
      </c>
    </row>
    <row r="757" spans="1:10" x14ac:dyDescent="0.25">
      <c r="A757" s="56"/>
      <c r="B757" s="57"/>
      <c r="C757" s="111"/>
      <c r="D757" s="59"/>
      <c r="E757" s="271" t="str">
        <v/>
      </c>
      <c r="F757" s="43" t="str">
        <v/>
      </c>
      <c r="G757" s="33" t="str">
        <v/>
      </c>
      <c r="H757" s="43" t="e">
        <f ca="1"/>
        <v>#N/A</v>
      </c>
      <c r="I757" s="42" t="str">
        <f ca="1"/>
        <v/>
      </c>
      <c r="J757" s="54" t="s">
        <v>4</v>
      </c>
    </row>
    <row r="758" spans="1:10" x14ac:dyDescent="0.25">
      <c r="A758" s="56"/>
      <c r="B758" s="57"/>
      <c r="C758" s="111"/>
      <c r="D758" s="59"/>
      <c r="E758" s="271" t="str">
        <v/>
      </c>
      <c r="F758" s="43" t="str">
        <v/>
      </c>
      <c r="G758" s="33" t="str">
        <v/>
      </c>
      <c r="H758" s="43" t="e">
        <f ca="1"/>
        <v>#N/A</v>
      </c>
      <c r="I758" s="42" t="str">
        <f ca="1"/>
        <v/>
      </c>
      <c r="J758" s="54" t="s">
        <v>4</v>
      </c>
    </row>
    <row r="759" spans="1:10" x14ac:dyDescent="0.25">
      <c r="A759" s="56"/>
      <c r="B759" s="57"/>
      <c r="C759" s="111"/>
      <c r="D759" s="59"/>
      <c r="E759" s="271" t="str">
        <v/>
      </c>
      <c r="F759" s="43" t="str">
        <v/>
      </c>
      <c r="G759" s="33" t="str">
        <v/>
      </c>
      <c r="H759" s="43" t="e">
        <f ca="1"/>
        <v>#N/A</v>
      </c>
      <c r="I759" s="42" t="str">
        <f ca="1"/>
        <v/>
      </c>
      <c r="J759" s="54" t="s">
        <v>4</v>
      </c>
    </row>
    <row r="760" spans="1:10" x14ac:dyDescent="0.25">
      <c r="A760" s="56"/>
      <c r="B760" s="57"/>
      <c r="C760" s="111"/>
      <c r="D760" s="59"/>
      <c r="E760" s="271" t="str">
        <v/>
      </c>
      <c r="F760" s="43" t="str">
        <v/>
      </c>
      <c r="G760" s="33" t="str">
        <v/>
      </c>
      <c r="H760" s="43" t="e">
        <f ca="1"/>
        <v>#N/A</v>
      </c>
      <c r="I760" s="42" t="str">
        <f ca="1"/>
        <v/>
      </c>
      <c r="J760" s="54" t="s">
        <v>4</v>
      </c>
    </row>
    <row r="761" spans="1:10" x14ac:dyDescent="0.25">
      <c r="A761" s="56"/>
      <c r="B761" s="57"/>
      <c r="C761" s="111"/>
      <c r="D761" s="59"/>
      <c r="E761" s="271" t="str">
        <v/>
      </c>
      <c r="F761" s="43" t="str">
        <v/>
      </c>
      <c r="G761" s="33" t="str">
        <v/>
      </c>
      <c r="H761" s="43" t="e">
        <f ca="1"/>
        <v>#N/A</v>
      </c>
      <c r="I761" s="42" t="str">
        <f ca="1"/>
        <v/>
      </c>
      <c r="J761" s="54" t="s">
        <v>4</v>
      </c>
    </row>
    <row r="762" spans="1:10" x14ac:dyDescent="0.25">
      <c r="A762" s="56"/>
      <c r="B762" s="57"/>
      <c r="C762" s="111"/>
      <c r="D762" s="59"/>
      <c r="E762" s="271" t="str">
        <v/>
      </c>
      <c r="F762" s="43" t="str">
        <v/>
      </c>
      <c r="G762" s="33" t="str">
        <v/>
      </c>
      <c r="H762" s="43" t="e">
        <f ca="1"/>
        <v>#N/A</v>
      </c>
      <c r="I762" s="42" t="str">
        <f ca="1"/>
        <v/>
      </c>
      <c r="J762" s="54" t="s">
        <v>4</v>
      </c>
    </row>
    <row r="763" spans="1:10" x14ac:dyDescent="0.25">
      <c r="A763" s="56"/>
      <c r="B763" s="57"/>
      <c r="C763" s="111"/>
      <c r="D763" s="59"/>
      <c r="E763" s="271" t="str">
        <v/>
      </c>
      <c r="F763" s="43" t="str">
        <v/>
      </c>
      <c r="G763" s="33" t="str">
        <v/>
      </c>
      <c r="H763" s="43" t="e">
        <f ca="1"/>
        <v>#N/A</v>
      </c>
      <c r="I763" s="42" t="str">
        <f ca="1"/>
        <v/>
      </c>
      <c r="J763" s="54" t="s">
        <v>4</v>
      </c>
    </row>
    <row r="764" spans="1:10" x14ac:dyDescent="0.25">
      <c r="A764" s="56"/>
      <c r="B764" s="57"/>
      <c r="C764" s="111"/>
      <c r="D764" s="59"/>
      <c r="E764" s="271" t="str">
        <v/>
      </c>
      <c r="F764" s="43" t="str">
        <v/>
      </c>
      <c r="G764" s="33" t="str">
        <v/>
      </c>
      <c r="H764" s="43" t="e">
        <f ca="1"/>
        <v>#N/A</v>
      </c>
      <c r="I764" s="42" t="str">
        <f ca="1"/>
        <v/>
      </c>
      <c r="J764" s="54" t="s">
        <v>4</v>
      </c>
    </row>
    <row r="765" spans="1:10" x14ac:dyDescent="0.25">
      <c r="A765" s="56"/>
      <c r="B765" s="57"/>
      <c r="C765" s="111"/>
      <c r="D765" s="59"/>
      <c r="E765" s="271" t="str">
        <v/>
      </c>
      <c r="F765" s="43" t="str">
        <v/>
      </c>
      <c r="G765" s="33" t="str">
        <v/>
      </c>
      <c r="H765" s="43" t="e">
        <f ca="1"/>
        <v>#N/A</v>
      </c>
      <c r="I765" s="42" t="str">
        <f ca="1"/>
        <v/>
      </c>
      <c r="J765" s="54" t="s">
        <v>4</v>
      </c>
    </row>
    <row r="766" spans="1:10" x14ac:dyDescent="0.25">
      <c r="A766" s="56"/>
      <c r="B766" s="57"/>
      <c r="C766" s="111"/>
      <c r="D766" s="59"/>
      <c r="E766" s="271" t="str">
        <v/>
      </c>
      <c r="F766" s="43" t="str">
        <v/>
      </c>
      <c r="G766" s="33" t="str">
        <v/>
      </c>
      <c r="H766" s="43" t="e">
        <f ca="1"/>
        <v>#N/A</v>
      </c>
      <c r="I766" s="42" t="str">
        <f ca="1"/>
        <v/>
      </c>
      <c r="J766" s="54" t="s">
        <v>4</v>
      </c>
    </row>
    <row r="767" spans="1:10" x14ac:dyDescent="0.25">
      <c r="A767" s="56"/>
      <c r="B767" s="57"/>
      <c r="C767" s="111"/>
      <c r="D767" s="59"/>
      <c r="E767" s="271" t="str">
        <v/>
      </c>
      <c r="F767" s="43" t="str">
        <v/>
      </c>
      <c r="G767" s="33" t="str">
        <v/>
      </c>
      <c r="H767" s="43" t="e">
        <f ca="1"/>
        <v>#N/A</v>
      </c>
      <c r="I767" s="42" t="str">
        <f ca="1"/>
        <v/>
      </c>
      <c r="J767" s="54" t="s">
        <v>4</v>
      </c>
    </row>
    <row r="768" spans="1:10" x14ac:dyDescent="0.25">
      <c r="A768" s="56"/>
      <c r="B768" s="57"/>
      <c r="C768" s="111"/>
      <c r="D768" s="59"/>
      <c r="E768" s="271" t="str">
        <v/>
      </c>
      <c r="F768" s="43" t="str">
        <v/>
      </c>
      <c r="G768" s="33" t="str">
        <v/>
      </c>
      <c r="H768" s="43" t="e">
        <f ca="1"/>
        <v>#N/A</v>
      </c>
      <c r="I768" s="42" t="str">
        <f ca="1"/>
        <v/>
      </c>
      <c r="J768" s="54" t="s">
        <v>4</v>
      </c>
    </row>
    <row r="769" spans="1:10" x14ac:dyDescent="0.25">
      <c r="A769" s="56"/>
      <c r="B769" s="57"/>
      <c r="C769" s="111"/>
      <c r="D769" s="59"/>
      <c r="E769" s="271" t="str">
        <v/>
      </c>
      <c r="F769" s="43" t="str">
        <v/>
      </c>
      <c r="G769" s="33" t="str">
        <v/>
      </c>
      <c r="H769" s="43" t="e">
        <f ca="1"/>
        <v>#N/A</v>
      </c>
      <c r="I769" s="42" t="str">
        <f ca="1"/>
        <v/>
      </c>
      <c r="J769" s="54" t="s">
        <v>4</v>
      </c>
    </row>
    <row r="770" spans="1:10" x14ac:dyDescent="0.25">
      <c r="A770" s="56"/>
      <c r="B770" s="57"/>
      <c r="C770" s="111"/>
      <c r="D770" s="59"/>
      <c r="E770" s="271" t="str">
        <v/>
      </c>
      <c r="F770" s="43" t="str">
        <v/>
      </c>
      <c r="G770" s="33" t="str">
        <v/>
      </c>
      <c r="H770" s="43" t="e">
        <f ca="1"/>
        <v>#N/A</v>
      </c>
      <c r="I770" s="42" t="str">
        <f ca="1"/>
        <v/>
      </c>
      <c r="J770" s="54" t="s">
        <v>4</v>
      </c>
    </row>
    <row r="771" spans="1:10" x14ac:dyDescent="0.25">
      <c r="A771" s="56"/>
      <c r="B771" s="57"/>
      <c r="C771" s="111"/>
      <c r="D771" s="59"/>
      <c r="E771" s="271" t="str">
        <v/>
      </c>
      <c r="F771" s="43" t="str">
        <v/>
      </c>
      <c r="G771" s="33" t="str">
        <v/>
      </c>
      <c r="H771" s="43" t="e">
        <f ca="1"/>
        <v>#N/A</v>
      </c>
      <c r="I771" s="42" t="str">
        <f ca="1"/>
        <v/>
      </c>
      <c r="J771" s="54" t="s">
        <v>4</v>
      </c>
    </row>
    <row r="772" spans="1:10" x14ac:dyDescent="0.25">
      <c r="A772" s="56"/>
      <c r="B772" s="57"/>
      <c r="C772" s="111"/>
      <c r="D772" s="59"/>
      <c r="E772" s="271" t="str">
        <v/>
      </c>
      <c r="F772" s="43" t="str">
        <v/>
      </c>
      <c r="G772" s="33" t="str">
        <v/>
      </c>
      <c r="H772" s="43" t="e">
        <f ca="1"/>
        <v>#N/A</v>
      </c>
      <c r="I772" s="42" t="str">
        <f ca="1"/>
        <v/>
      </c>
      <c r="J772" s="54" t="s">
        <v>4</v>
      </c>
    </row>
    <row r="773" spans="1:10" x14ac:dyDescent="0.25">
      <c r="A773" s="56"/>
      <c r="B773" s="57"/>
      <c r="C773" s="111"/>
      <c r="D773" s="59"/>
      <c r="E773" s="271" t="str">
        <v/>
      </c>
      <c r="F773" s="43" t="str">
        <v/>
      </c>
      <c r="G773" s="33" t="str">
        <v/>
      </c>
      <c r="H773" s="43" t="e">
        <f ca="1"/>
        <v>#N/A</v>
      </c>
      <c r="I773" s="42" t="str">
        <f ca="1"/>
        <v/>
      </c>
      <c r="J773" s="54" t="s">
        <v>4</v>
      </c>
    </row>
    <row r="774" spans="1:10" x14ac:dyDescent="0.25">
      <c r="A774" s="56"/>
      <c r="B774" s="57"/>
      <c r="C774" s="111"/>
      <c r="D774" s="59"/>
      <c r="E774" s="271" t="str">
        <v/>
      </c>
      <c r="F774" s="43" t="str">
        <v/>
      </c>
      <c r="G774" s="33" t="str">
        <v/>
      </c>
      <c r="H774" s="43" t="e">
        <f ca="1"/>
        <v>#N/A</v>
      </c>
      <c r="I774" s="42" t="str">
        <f ca="1"/>
        <v/>
      </c>
      <c r="J774" s="54" t="s">
        <v>4</v>
      </c>
    </row>
    <row r="775" spans="1:10" x14ac:dyDescent="0.25">
      <c r="A775" s="56"/>
      <c r="B775" s="57"/>
      <c r="C775" s="111"/>
      <c r="D775" s="59"/>
      <c r="E775" s="271" t="str">
        <v/>
      </c>
      <c r="F775" s="43" t="str">
        <v/>
      </c>
      <c r="G775" s="33" t="str">
        <v/>
      </c>
      <c r="H775" s="43" t="e">
        <f ca="1"/>
        <v>#N/A</v>
      </c>
      <c r="I775" s="42" t="str">
        <f ca="1"/>
        <v/>
      </c>
      <c r="J775" s="54" t="s">
        <v>4</v>
      </c>
    </row>
    <row r="776" spans="1:10" x14ac:dyDescent="0.25">
      <c r="A776" s="56"/>
      <c r="B776" s="57"/>
      <c r="C776" s="111"/>
      <c r="D776" s="59"/>
      <c r="E776" s="271" t="str">
        <v/>
      </c>
      <c r="F776" s="43" t="str">
        <v/>
      </c>
      <c r="G776" s="33" t="str">
        <v/>
      </c>
      <c r="H776" s="43" t="e">
        <f ca="1"/>
        <v>#N/A</v>
      </c>
      <c r="I776" s="42" t="str">
        <f ca="1"/>
        <v/>
      </c>
      <c r="J776" s="54" t="s">
        <v>4</v>
      </c>
    </row>
    <row r="777" spans="1:10" x14ac:dyDescent="0.25">
      <c r="A777" s="56"/>
      <c r="B777" s="57"/>
      <c r="C777" s="111"/>
      <c r="D777" s="59"/>
      <c r="E777" s="271" t="str">
        <v/>
      </c>
      <c r="F777" s="43" t="str">
        <v/>
      </c>
      <c r="G777" s="33" t="str">
        <v/>
      </c>
      <c r="H777" s="43" t="e">
        <f ca="1"/>
        <v>#N/A</v>
      </c>
      <c r="I777" s="42" t="str">
        <f ca="1"/>
        <v/>
      </c>
      <c r="J777" s="54" t="s">
        <v>4</v>
      </c>
    </row>
    <row r="778" spans="1:10" x14ac:dyDescent="0.25">
      <c r="A778" s="56"/>
      <c r="B778" s="57"/>
      <c r="C778" s="111"/>
      <c r="D778" s="59"/>
      <c r="E778" s="271" t="str">
        <v/>
      </c>
      <c r="F778" s="43" t="str">
        <v/>
      </c>
      <c r="G778" s="33" t="str">
        <v/>
      </c>
      <c r="H778" s="43" t="e">
        <f ca="1"/>
        <v>#N/A</v>
      </c>
      <c r="I778" s="42" t="str">
        <f ca="1"/>
        <v/>
      </c>
      <c r="J778" s="54" t="s">
        <v>4</v>
      </c>
    </row>
    <row r="779" spans="1:10" x14ac:dyDescent="0.25">
      <c r="A779" s="56"/>
      <c r="B779" s="57"/>
      <c r="C779" s="111"/>
      <c r="D779" s="59"/>
      <c r="E779" s="271" t="str">
        <v/>
      </c>
      <c r="F779" s="43" t="str">
        <v/>
      </c>
      <c r="G779" s="33" t="str">
        <v/>
      </c>
      <c r="H779" s="43" t="e">
        <f ca="1"/>
        <v>#N/A</v>
      </c>
      <c r="I779" s="42" t="str">
        <f ca="1"/>
        <v/>
      </c>
      <c r="J779" s="54" t="s">
        <v>4</v>
      </c>
    </row>
    <row r="780" spans="1:10" x14ac:dyDescent="0.25">
      <c r="A780" s="56"/>
      <c r="B780" s="57"/>
      <c r="C780" s="111"/>
      <c r="D780" s="59"/>
      <c r="E780" s="271" t="str">
        <v/>
      </c>
      <c r="F780" s="43" t="str">
        <v/>
      </c>
      <c r="G780" s="33" t="str">
        <v/>
      </c>
      <c r="H780" s="43" t="e">
        <f ca="1"/>
        <v>#N/A</v>
      </c>
      <c r="I780" s="42" t="str">
        <f ca="1"/>
        <v/>
      </c>
      <c r="J780" s="54" t="s">
        <v>4</v>
      </c>
    </row>
    <row r="781" spans="1:10" x14ac:dyDescent="0.25">
      <c r="A781" s="56"/>
      <c r="B781" s="57"/>
      <c r="C781" s="111"/>
      <c r="D781" s="59"/>
      <c r="E781" s="271" t="str">
        <v/>
      </c>
      <c r="F781" s="43" t="str">
        <v/>
      </c>
      <c r="G781" s="33" t="str">
        <v/>
      </c>
      <c r="H781" s="43" t="e">
        <f ca="1"/>
        <v>#N/A</v>
      </c>
      <c r="I781" s="42" t="str">
        <f ca="1"/>
        <v/>
      </c>
      <c r="J781" s="54" t="s">
        <v>4</v>
      </c>
    </row>
    <row r="782" spans="1:10" x14ac:dyDescent="0.25">
      <c r="A782" s="56"/>
      <c r="B782" s="57"/>
      <c r="C782" s="111"/>
      <c r="D782" s="59"/>
      <c r="E782" s="271" t="str">
        <v/>
      </c>
      <c r="F782" s="43" t="str">
        <v/>
      </c>
      <c r="G782" s="33" t="str">
        <v/>
      </c>
      <c r="H782" s="43" t="e">
        <f ca="1"/>
        <v>#N/A</v>
      </c>
      <c r="I782" s="42" t="str">
        <f ca="1"/>
        <v/>
      </c>
      <c r="J782" s="54" t="s">
        <v>4</v>
      </c>
    </row>
    <row r="783" spans="1:10" x14ac:dyDescent="0.25">
      <c r="A783" s="56"/>
      <c r="B783" s="57"/>
      <c r="C783" s="111"/>
      <c r="D783" s="59"/>
      <c r="E783" s="271" t="str">
        <v/>
      </c>
      <c r="F783" s="43" t="str">
        <v/>
      </c>
      <c r="G783" s="33" t="str">
        <v/>
      </c>
      <c r="H783" s="43" t="e">
        <f ca="1"/>
        <v>#N/A</v>
      </c>
      <c r="I783" s="42" t="str">
        <f ca="1"/>
        <v/>
      </c>
      <c r="J783" s="54" t="s">
        <v>4</v>
      </c>
    </row>
    <row r="784" spans="1:10" x14ac:dyDescent="0.25">
      <c r="A784" s="56"/>
      <c r="B784" s="57"/>
      <c r="C784" s="111"/>
      <c r="D784" s="59"/>
      <c r="E784" s="271" t="str">
        <v/>
      </c>
      <c r="F784" s="43" t="str">
        <v/>
      </c>
      <c r="G784" s="33" t="str">
        <v/>
      </c>
      <c r="H784" s="43" t="e">
        <f ca="1"/>
        <v>#N/A</v>
      </c>
      <c r="I784" s="42" t="str">
        <f ca="1"/>
        <v/>
      </c>
      <c r="J784" s="54" t="s">
        <v>4</v>
      </c>
    </row>
    <row r="785" spans="1:10" x14ac:dyDescent="0.25">
      <c r="A785" s="56"/>
      <c r="B785" s="57"/>
      <c r="C785" s="111"/>
      <c r="D785" s="59"/>
      <c r="E785" s="271" t="str">
        <v/>
      </c>
      <c r="F785" s="43" t="str">
        <v/>
      </c>
      <c r="G785" s="33" t="str">
        <v/>
      </c>
      <c r="H785" s="43" t="e">
        <f ca="1"/>
        <v>#N/A</v>
      </c>
      <c r="I785" s="42" t="str">
        <f ca="1"/>
        <v/>
      </c>
      <c r="J785" s="54" t="s">
        <v>4</v>
      </c>
    </row>
    <row r="786" spans="1:10" x14ac:dyDescent="0.25">
      <c r="A786" s="56"/>
      <c r="B786" s="57"/>
      <c r="C786" s="111"/>
      <c r="D786" s="59"/>
      <c r="E786" s="271" t="str">
        <v/>
      </c>
      <c r="F786" s="43" t="str">
        <v/>
      </c>
      <c r="G786" s="33" t="str">
        <v/>
      </c>
      <c r="H786" s="43" t="e">
        <f ca="1"/>
        <v>#N/A</v>
      </c>
      <c r="I786" s="42" t="str">
        <f ca="1"/>
        <v/>
      </c>
      <c r="J786" s="54" t="s">
        <v>4</v>
      </c>
    </row>
    <row r="787" spans="1:10" x14ac:dyDescent="0.25">
      <c r="A787" s="56"/>
      <c r="B787" s="57"/>
      <c r="C787" s="111"/>
      <c r="D787" s="59"/>
      <c r="E787" s="271" t="str">
        <v/>
      </c>
      <c r="F787" s="43" t="str">
        <v/>
      </c>
      <c r="G787" s="33" t="str">
        <v/>
      </c>
      <c r="H787" s="43" t="e">
        <f ca="1"/>
        <v>#N/A</v>
      </c>
      <c r="I787" s="42" t="str">
        <f ca="1"/>
        <v/>
      </c>
      <c r="J787" s="54" t="s">
        <v>4</v>
      </c>
    </row>
    <row r="788" spans="1:10" x14ac:dyDescent="0.25">
      <c r="A788" s="56"/>
      <c r="B788" s="57"/>
      <c r="C788" s="111"/>
      <c r="D788" s="59"/>
      <c r="E788" s="271" t="str">
        <v/>
      </c>
      <c r="F788" s="43" t="str">
        <v/>
      </c>
      <c r="G788" s="33" t="str">
        <v/>
      </c>
      <c r="H788" s="43" t="e">
        <f ca="1"/>
        <v>#N/A</v>
      </c>
      <c r="I788" s="42" t="str">
        <f ca="1"/>
        <v/>
      </c>
      <c r="J788" s="54" t="s">
        <v>4</v>
      </c>
    </row>
    <row r="789" spans="1:10" x14ac:dyDescent="0.25">
      <c r="A789" s="56"/>
      <c r="B789" s="57"/>
      <c r="C789" s="111"/>
      <c r="D789" s="59"/>
      <c r="E789" s="271" t="str">
        <v/>
      </c>
      <c r="F789" s="43" t="str">
        <v/>
      </c>
      <c r="G789" s="33" t="str">
        <v/>
      </c>
      <c r="H789" s="43" t="e">
        <f ca="1"/>
        <v>#N/A</v>
      </c>
      <c r="I789" s="42" t="str">
        <f ca="1"/>
        <v/>
      </c>
      <c r="J789" s="54" t="s">
        <v>4</v>
      </c>
    </row>
    <row r="790" spans="1:10" x14ac:dyDescent="0.25">
      <c r="A790" s="56"/>
      <c r="B790" s="57"/>
      <c r="C790" s="111"/>
      <c r="D790" s="59"/>
      <c r="E790" s="271" t="str">
        <v/>
      </c>
      <c r="F790" s="43" t="str">
        <v/>
      </c>
      <c r="G790" s="33" t="str">
        <v/>
      </c>
      <c r="H790" s="43" t="e">
        <f ca="1"/>
        <v>#N/A</v>
      </c>
      <c r="I790" s="42" t="str">
        <f ca="1"/>
        <v/>
      </c>
      <c r="J790" s="54" t="s">
        <v>4</v>
      </c>
    </row>
    <row r="791" spans="1:10" x14ac:dyDescent="0.25">
      <c r="A791" s="56"/>
      <c r="B791" s="57"/>
      <c r="C791" s="111"/>
      <c r="D791" s="59"/>
      <c r="E791" s="271" t="str">
        <v/>
      </c>
      <c r="F791" s="43" t="str">
        <v/>
      </c>
      <c r="G791" s="33" t="str">
        <v/>
      </c>
      <c r="H791" s="43" t="e">
        <f ca="1"/>
        <v>#N/A</v>
      </c>
      <c r="I791" s="42" t="str">
        <f ca="1"/>
        <v/>
      </c>
      <c r="J791" s="54" t="s">
        <v>4</v>
      </c>
    </row>
    <row r="792" spans="1:10" x14ac:dyDescent="0.25">
      <c r="A792" s="56"/>
      <c r="B792" s="57"/>
      <c r="C792" s="111"/>
      <c r="D792" s="59"/>
      <c r="E792" s="271" t="str">
        <v/>
      </c>
      <c r="F792" s="43" t="str">
        <v/>
      </c>
      <c r="G792" s="33" t="str">
        <v/>
      </c>
      <c r="H792" s="43" t="e">
        <f ca="1"/>
        <v>#N/A</v>
      </c>
      <c r="I792" s="42" t="str">
        <f ca="1"/>
        <v/>
      </c>
      <c r="J792" s="54" t="s">
        <v>4</v>
      </c>
    </row>
    <row r="793" spans="1:10" x14ac:dyDescent="0.25">
      <c r="A793" s="56"/>
      <c r="B793" s="57"/>
      <c r="C793" s="111"/>
      <c r="D793" s="59"/>
      <c r="E793" s="271" t="str">
        <v/>
      </c>
      <c r="F793" s="43" t="str">
        <v/>
      </c>
      <c r="G793" s="33" t="str">
        <v/>
      </c>
      <c r="H793" s="43" t="e">
        <f ca="1"/>
        <v>#N/A</v>
      </c>
      <c r="I793" s="42" t="str">
        <f ca="1"/>
        <v/>
      </c>
      <c r="J793" s="54" t="s">
        <v>4</v>
      </c>
    </row>
    <row r="794" spans="1:10" x14ac:dyDescent="0.25">
      <c r="A794" s="56"/>
      <c r="B794" s="57"/>
      <c r="C794" s="111"/>
      <c r="D794" s="59"/>
      <c r="E794" s="271" t="str">
        <v/>
      </c>
      <c r="F794" s="43" t="str">
        <v/>
      </c>
      <c r="G794" s="33" t="str">
        <v/>
      </c>
      <c r="H794" s="43" t="e">
        <f ca="1"/>
        <v>#N/A</v>
      </c>
      <c r="I794" s="42" t="str">
        <f ca="1"/>
        <v/>
      </c>
      <c r="J794" s="54" t="s">
        <v>4</v>
      </c>
    </row>
    <row r="795" spans="1:10" x14ac:dyDescent="0.25">
      <c r="A795" s="56"/>
      <c r="B795" s="57"/>
      <c r="C795" s="111"/>
      <c r="D795" s="59"/>
      <c r="E795" s="271" t="str">
        <v/>
      </c>
      <c r="F795" s="43" t="str">
        <v/>
      </c>
      <c r="G795" s="33" t="str">
        <v/>
      </c>
      <c r="H795" s="43" t="e">
        <f ca="1"/>
        <v>#N/A</v>
      </c>
      <c r="I795" s="42" t="str">
        <f ca="1"/>
        <v/>
      </c>
      <c r="J795" s="54" t="s">
        <v>4</v>
      </c>
    </row>
    <row r="796" spans="1:10" x14ac:dyDescent="0.25">
      <c r="A796" s="56"/>
      <c r="B796" s="57"/>
      <c r="C796" s="111"/>
      <c r="D796" s="59"/>
      <c r="E796" s="271" t="str">
        <v/>
      </c>
      <c r="F796" s="43" t="str">
        <v/>
      </c>
      <c r="G796" s="33" t="str">
        <v/>
      </c>
      <c r="H796" s="43" t="e">
        <f ca="1"/>
        <v>#N/A</v>
      </c>
      <c r="I796" s="42" t="str">
        <f ca="1"/>
        <v/>
      </c>
      <c r="J796" s="54" t="s">
        <v>4</v>
      </c>
    </row>
    <row r="797" spans="1:10" x14ac:dyDescent="0.25">
      <c r="A797" s="56"/>
      <c r="B797" s="57"/>
      <c r="C797" s="111"/>
      <c r="D797" s="59"/>
      <c r="E797" s="271" t="str">
        <v/>
      </c>
      <c r="F797" s="43" t="str">
        <v/>
      </c>
      <c r="G797" s="33" t="str">
        <v/>
      </c>
      <c r="H797" s="43" t="e">
        <f ca="1"/>
        <v>#N/A</v>
      </c>
      <c r="I797" s="42" t="str">
        <f ca="1"/>
        <v/>
      </c>
      <c r="J797" s="54" t="s">
        <v>4</v>
      </c>
    </row>
    <row r="798" spans="1:10" x14ac:dyDescent="0.25">
      <c r="A798" s="56"/>
      <c r="B798" s="57"/>
      <c r="C798" s="111"/>
      <c r="D798" s="59"/>
      <c r="E798" s="271" t="str">
        <v/>
      </c>
      <c r="F798" s="43" t="str">
        <v/>
      </c>
      <c r="G798" s="33" t="str">
        <v/>
      </c>
      <c r="H798" s="43" t="e">
        <f ca="1"/>
        <v>#N/A</v>
      </c>
      <c r="I798" s="42" t="str">
        <f ca="1"/>
        <v/>
      </c>
      <c r="J798" s="54" t="s">
        <v>4</v>
      </c>
    </row>
    <row r="799" spans="1:10" x14ac:dyDescent="0.25">
      <c r="A799" s="56"/>
      <c r="B799" s="57"/>
      <c r="C799" s="111"/>
      <c r="D799" s="59"/>
      <c r="E799" s="271" t="str">
        <v/>
      </c>
      <c r="F799" s="43" t="str">
        <v/>
      </c>
      <c r="G799" s="33" t="str">
        <v/>
      </c>
      <c r="H799" s="43" t="e">
        <f ca="1"/>
        <v>#N/A</v>
      </c>
      <c r="I799" s="42" t="str">
        <f ca="1"/>
        <v/>
      </c>
      <c r="J799" s="54" t="s">
        <v>4</v>
      </c>
    </row>
    <row r="800" spans="1:10" x14ac:dyDescent="0.25">
      <c r="A800" s="56"/>
      <c r="B800" s="57"/>
      <c r="C800" s="111"/>
      <c r="D800" s="59"/>
      <c r="E800" s="271" t="str">
        <v/>
      </c>
      <c r="F800" s="43" t="str">
        <v/>
      </c>
      <c r="G800" s="33" t="str">
        <v/>
      </c>
      <c r="H800" s="43" t="e">
        <f ca="1"/>
        <v>#N/A</v>
      </c>
      <c r="I800" s="42" t="str">
        <f ca="1"/>
        <v/>
      </c>
      <c r="J800" s="54" t="s">
        <v>4</v>
      </c>
    </row>
    <row r="801" spans="1:10" x14ac:dyDescent="0.25">
      <c r="A801" s="56"/>
      <c r="B801" s="57"/>
      <c r="C801" s="111"/>
      <c r="D801" s="59"/>
      <c r="E801" s="271" t="str">
        <v/>
      </c>
      <c r="F801" s="43" t="str">
        <v/>
      </c>
      <c r="G801" s="33" t="str">
        <v/>
      </c>
      <c r="H801" s="43" t="e">
        <f ca="1"/>
        <v>#N/A</v>
      </c>
      <c r="I801" s="42" t="str">
        <f ca="1"/>
        <v/>
      </c>
      <c r="J801" s="54" t="s">
        <v>4</v>
      </c>
    </row>
    <row r="802" spans="1:10" x14ac:dyDescent="0.25">
      <c r="A802" s="56"/>
      <c r="B802" s="57"/>
      <c r="C802" s="111"/>
      <c r="D802" s="59"/>
      <c r="E802" s="271" t="str">
        <v/>
      </c>
      <c r="F802" s="43" t="str">
        <v/>
      </c>
      <c r="G802" s="33" t="str">
        <v/>
      </c>
      <c r="H802" s="43" t="e">
        <f ca="1"/>
        <v>#N/A</v>
      </c>
      <c r="I802" s="42" t="str">
        <f ca="1"/>
        <v/>
      </c>
      <c r="J802" s="54" t="s">
        <v>4</v>
      </c>
    </row>
    <row r="803" spans="1:10" x14ac:dyDescent="0.25">
      <c r="A803" s="56"/>
      <c r="B803" s="57"/>
      <c r="C803" s="111"/>
      <c r="D803" s="59"/>
      <c r="E803" s="271" t="str">
        <v/>
      </c>
      <c r="F803" s="43" t="str">
        <v/>
      </c>
      <c r="G803" s="33" t="str">
        <v/>
      </c>
      <c r="H803" s="43" t="e">
        <f ca="1"/>
        <v>#N/A</v>
      </c>
      <c r="I803" s="42" t="str">
        <f ca="1"/>
        <v/>
      </c>
      <c r="J803" s="54" t="s">
        <v>4</v>
      </c>
    </row>
    <row r="804" spans="1:10" x14ac:dyDescent="0.25">
      <c r="A804" s="56"/>
      <c r="B804" s="57"/>
      <c r="C804" s="111"/>
      <c r="D804" s="59"/>
      <c r="E804" s="271" t="str">
        <v/>
      </c>
      <c r="F804" s="43" t="str">
        <v/>
      </c>
      <c r="G804" s="33" t="str">
        <v/>
      </c>
      <c r="H804" s="43" t="e">
        <f ca="1"/>
        <v>#N/A</v>
      </c>
      <c r="I804" s="42" t="str">
        <f ca="1"/>
        <v/>
      </c>
      <c r="J804" s="54" t="s">
        <v>4</v>
      </c>
    </row>
    <row r="805" spans="1:10" x14ac:dyDescent="0.25">
      <c r="A805" s="56"/>
      <c r="B805" s="57"/>
      <c r="C805" s="111"/>
      <c r="D805" s="59"/>
      <c r="E805" s="271" t="str">
        <v/>
      </c>
      <c r="F805" s="43" t="str">
        <v/>
      </c>
      <c r="G805" s="33" t="str">
        <v/>
      </c>
      <c r="H805" s="43" t="e">
        <f ca="1"/>
        <v>#N/A</v>
      </c>
      <c r="I805" s="42" t="str">
        <f ca="1"/>
        <v/>
      </c>
      <c r="J805" s="54" t="s">
        <v>4</v>
      </c>
    </row>
    <row r="806" spans="1:10" x14ac:dyDescent="0.25">
      <c r="A806" s="56"/>
      <c r="B806" s="57"/>
      <c r="C806" s="111"/>
      <c r="D806" s="59"/>
      <c r="E806" s="271" t="str">
        <v/>
      </c>
      <c r="F806" s="43" t="str">
        <v/>
      </c>
      <c r="G806" s="33" t="str">
        <v/>
      </c>
      <c r="H806" s="43" t="e">
        <f ca="1"/>
        <v>#N/A</v>
      </c>
      <c r="I806" s="42" t="str">
        <f ca="1"/>
        <v/>
      </c>
      <c r="J806" s="54" t="s">
        <v>4</v>
      </c>
    </row>
    <row r="807" spans="1:10" x14ac:dyDescent="0.25">
      <c r="A807" s="56"/>
      <c r="B807" s="57"/>
      <c r="C807" s="111"/>
      <c r="D807" s="59"/>
      <c r="E807" s="271" t="str">
        <v/>
      </c>
      <c r="F807" s="43" t="str">
        <v/>
      </c>
      <c r="G807" s="33" t="str">
        <v/>
      </c>
      <c r="H807" s="43" t="e">
        <f ca="1"/>
        <v>#N/A</v>
      </c>
      <c r="I807" s="42" t="str">
        <f ca="1"/>
        <v/>
      </c>
      <c r="J807" s="54" t="s">
        <v>4</v>
      </c>
    </row>
    <row r="808" spans="1:10" x14ac:dyDescent="0.25">
      <c r="A808" s="56"/>
      <c r="B808" s="57"/>
      <c r="C808" s="111"/>
      <c r="D808" s="59"/>
      <c r="E808" s="271" t="str">
        <v/>
      </c>
      <c r="F808" s="43" t="str">
        <v/>
      </c>
      <c r="G808" s="33" t="str">
        <v/>
      </c>
      <c r="H808" s="43" t="e">
        <f ca="1"/>
        <v>#N/A</v>
      </c>
      <c r="I808" s="42" t="str">
        <f ca="1"/>
        <v/>
      </c>
      <c r="J808" s="54" t="s">
        <v>4</v>
      </c>
    </row>
    <row r="809" spans="1:10" x14ac:dyDescent="0.25">
      <c r="A809" s="56"/>
      <c r="B809" s="57"/>
      <c r="C809" s="111"/>
      <c r="D809" s="59"/>
      <c r="E809" s="271" t="str">
        <v/>
      </c>
      <c r="F809" s="43" t="str">
        <v/>
      </c>
      <c r="G809" s="33" t="str">
        <v/>
      </c>
      <c r="H809" s="43" t="e">
        <f ca="1"/>
        <v>#N/A</v>
      </c>
      <c r="I809" s="42" t="str">
        <f ca="1"/>
        <v/>
      </c>
      <c r="J809" s="54" t="s">
        <v>4</v>
      </c>
    </row>
    <row r="810" spans="1:10" x14ac:dyDescent="0.25">
      <c r="A810" s="56"/>
      <c r="B810" s="57"/>
      <c r="C810" s="111"/>
      <c r="D810" s="59"/>
      <c r="E810" s="271" t="str">
        <v/>
      </c>
      <c r="F810" s="43" t="str">
        <v/>
      </c>
      <c r="G810" s="33" t="str">
        <v/>
      </c>
      <c r="H810" s="43" t="e">
        <f ca="1"/>
        <v>#N/A</v>
      </c>
      <c r="I810" s="42" t="str">
        <f ca="1"/>
        <v/>
      </c>
      <c r="J810" s="54" t="s">
        <v>4</v>
      </c>
    </row>
    <row r="811" spans="1:10" x14ac:dyDescent="0.25">
      <c r="A811" s="56"/>
      <c r="B811" s="57"/>
      <c r="C811" s="111"/>
      <c r="D811" s="59"/>
      <c r="E811" s="271" t="str">
        <v/>
      </c>
      <c r="F811" s="43" t="str">
        <v/>
      </c>
      <c r="G811" s="33" t="str">
        <v/>
      </c>
      <c r="H811" s="43" t="e">
        <f ca="1"/>
        <v>#N/A</v>
      </c>
      <c r="I811" s="42" t="str">
        <f ca="1"/>
        <v/>
      </c>
      <c r="J811" s="54" t="s">
        <v>4</v>
      </c>
    </row>
    <row r="812" spans="1:10" x14ac:dyDescent="0.25">
      <c r="A812" s="56"/>
      <c r="B812" s="57"/>
      <c r="C812" s="111"/>
      <c r="D812" s="59"/>
      <c r="E812" s="271" t="str">
        <v/>
      </c>
      <c r="F812" s="43" t="str">
        <v/>
      </c>
      <c r="G812" s="33" t="str">
        <v/>
      </c>
      <c r="H812" s="43" t="e">
        <f ca="1"/>
        <v>#N/A</v>
      </c>
      <c r="I812" s="42" t="str">
        <f ca="1"/>
        <v/>
      </c>
      <c r="J812" s="54" t="s">
        <v>4</v>
      </c>
    </row>
    <row r="813" spans="1:10" x14ac:dyDescent="0.25">
      <c r="A813" s="56"/>
      <c r="B813" s="57"/>
      <c r="C813" s="111"/>
      <c r="D813" s="59"/>
      <c r="E813" s="271" t="str">
        <v/>
      </c>
      <c r="F813" s="43" t="str">
        <v/>
      </c>
      <c r="G813" s="33" t="str">
        <v/>
      </c>
      <c r="H813" s="43" t="e">
        <f ca="1"/>
        <v>#N/A</v>
      </c>
      <c r="I813" s="42" t="str">
        <f ca="1"/>
        <v/>
      </c>
      <c r="J813" s="54" t="s">
        <v>4</v>
      </c>
    </row>
    <row r="814" spans="1:10" x14ac:dyDescent="0.25">
      <c r="A814" s="56"/>
      <c r="B814" s="57"/>
      <c r="C814" s="111"/>
      <c r="D814" s="59"/>
      <c r="E814" s="271" t="str">
        <v/>
      </c>
      <c r="F814" s="43" t="str">
        <v/>
      </c>
      <c r="G814" s="33" t="str">
        <v/>
      </c>
      <c r="H814" s="43" t="e">
        <f ca="1"/>
        <v>#N/A</v>
      </c>
      <c r="I814" s="42" t="str">
        <f ca="1"/>
        <v/>
      </c>
      <c r="J814" s="54" t="s">
        <v>4</v>
      </c>
    </row>
    <row r="815" spans="1:10" x14ac:dyDescent="0.25">
      <c r="A815" s="56"/>
      <c r="B815" s="57"/>
      <c r="C815" s="111"/>
      <c r="D815" s="59"/>
      <c r="E815" s="271" t="str">
        <v/>
      </c>
      <c r="F815" s="43" t="str">
        <v/>
      </c>
      <c r="G815" s="33" t="str">
        <v/>
      </c>
      <c r="H815" s="43" t="e">
        <f ca="1"/>
        <v>#N/A</v>
      </c>
      <c r="I815" s="42" t="str">
        <f ca="1"/>
        <v/>
      </c>
      <c r="J815" s="54" t="s">
        <v>4</v>
      </c>
    </row>
    <row r="816" spans="1:10" x14ac:dyDescent="0.25">
      <c r="A816" s="56"/>
      <c r="B816" s="57"/>
      <c r="C816" s="111"/>
      <c r="D816" s="59"/>
      <c r="E816" s="271" t="str">
        <v/>
      </c>
      <c r="F816" s="43" t="str">
        <v/>
      </c>
      <c r="G816" s="33" t="str">
        <v/>
      </c>
      <c r="H816" s="43" t="e">
        <f ca="1"/>
        <v>#N/A</v>
      </c>
      <c r="I816" s="42" t="str">
        <f ca="1"/>
        <v/>
      </c>
      <c r="J816" s="54" t="s">
        <v>4</v>
      </c>
    </row>
    <row r="817" spans="1:10" x14ac:dyDescent="0.25">
      <c r="A817" s="56"/>
      <c r="B817" s="57"/>
      <c r="C817" s="111"/>
      <c r="D817" s="59"/>
      <c r="E817" s="271" t="str">
        <v/>
      </c>
      <c r="F817" s="43" t="str">
        <v/>
      </c>
      <c r="G817" s="33" t="str">
        <v/>
      </c>
      <c r="H817" s="43" t="e">
        <f ca="1"/>
        <v>#N/A</v>
      </c>
      <c r="I817" s="42" t="str">
        <f ca="1"/>
        <v/>
      </c>
      <c r="J817" s="54" t="s">
        <v>4</v>
      </c>
    </row>
    <row r="818" spans="1:10" x14ac:dyDescent="0.25">
      <c r="A818" s="56"/>
      <c r="B818" s="57"/>
      <c r="C818" s="111"/>
      <c r="D818" s="59"/>
      <c r="E818" s="271" t="str">
        <v/>
      </c>
      <c r="F818" s="43" t="str">
        <v/>
      </c>
      <c r="G818" s="33" t="str">
        <v/>
      </c>
      <c r="H818" s="43" t="e">
        <f ca="1"/>
        <v>#N/A</v>
      </c>
      <c r="I818" s="42" t="str">
        <f ca="1"/>
        <v/>
      </c>
      <c r="J818" s="54" t="s">
        <v>4</v>
      </c>
    </row>
    <row r="819" spans="1:10" x14ac:dyDescent="0.25">
      <c r="A819" s="56"/>
      <c r="B819" s="57"/>
      <c r="C819" s="111"/>
      <c r="D819" s="59"/>
      <c r="E819" s="271" t="str">
        <v/>
      </c>
      <c r="F819" s="43" t="str">
        <v/>
      </c>
      <c r="G819" s="33" t="str">
        <v/>
      </c>
      <c r="H819" s="43" t="e">
        <f ca="1"/>
        <v>#N/A</v>
      </c>
      <c r="I819" s="42" t="str">
        <f ca="1"/>
        <v/>
      </c>
      <c r="J819" s="54" t="s">
        <v>4</v>
      </c>
    </row>
    <row r="820" spans="1:10" x14ac:dyDescent="0.25">
      <c r="A820" s="56"/>
      <c r="B820" s="57"/>
      <c r="C820" s="111"/>
      <c r="D820" s="59"/>
      <c r="E820" s="271" t="str">
        <v/>
      </c>
      <c r="F820" s="43" t="str">
        <v/>
      </c>
      <c r="G820" s="33" t="str">
        <v/>
      </c>
      <c r="H820" s="43" t="e">
        <f ca="1"/>
        <v>#N/A</v>
      </c>
      <c r="I820" s="42" t="str">
        <f ca="1"/>
        <v/>
      </c>
      <c r="J820" s="54" t="s">
        <v>4</v>
      </c>
    </row>
    <row r="821" spans="1:10" x14ac:dyDescent="0.25">
      <c r="A821" s="56"/>
      <c r="B821" s="57"/>
      <c r="C821" s="111"/>
      <c r="D821" s="59"/>
      <c r="E821" s="271" t="str">
        <v/>
      </c>
      <c r="F821" s="43" t="str">
        <v/>
      </c>
      <c r="G821" s="33" t="str">
        <v/>
      </c>
      <c r="H821" s="43" t="e">
        <f ca="1"/>
        <v>#N/A</v>
      </c>
      <c r="I821" s="42" t="str">
        <f ca="1"/>
        <v/>
      </c>
      <c r="J821" s="54" t="s">
        <v>4</v>
      </c>
    </row>
    <row r="822" spans="1:10" x14ac:dyDescent="0.25">
      <c r="A822" s="56"/>
      <c r="B822" s="57"/>
      <c r="C822" s="111"/>
      <c r="D822" s="59"/>
      <c r="E822" s="271" t="str">
        <v/>
      </c>
      <c r="F822" s="43" t="str">
        <v/>
      </c>
      <c r="G822" s="33" t="str">
        <v/>
      </c>
      <c r="H822" s="43" t="e">
        <f ca="1"/>
        <v>#N/A</v>
      </c>
      <c r="I822" s="42" t="str">
        <f ca="1"/>
        <v/>
      </c>
      <c r="J822" s="54" t="s">
        <v>4</v>
      </c>
    </row>
    <row r="823" spans="1:10" x14ac:dyDescent="0.25">
      <c r="A823" s="56"/>
      <c r="B823" s="57"/>
      <c r="C823" s="111"/>
      <c r="D823" s="59"/>
      <c r="E823" s="271" t="str">
        <v/>
      </c>
      <c r="F823" s="43" t="str">
        <v/>
      </c>
      <c r="G823" s="33" t="str">
        <v/>
      </c>
      <c r="H823" s="43" t="e">
        <f ca="1"/>
        <v>#N/A</v>
      </c>
      <c r="I823" s="42" t="str">
        <f ca="1"/>
        <v/>
      </c>
      <c r="J823" s="54" t="s">
        <v>4</v>
      </c>
    </row>
    <row r="824" spans="1:10" x14ac:dyDescent="0.25">
      <c r="A824" s="56"/>
      <c r="B824" s="57"/>
      <c r="C824" s="111"/>
      <c r="D824" s="59"/>
      <c r="E824" s="271" t="str">
        <v/>
      </c>
      <c r="F824" s="43" t="str">
        <v/>
      </c>
      <c r="G824" s="33" t="str">
        <v/>
      </c>
      <c r="H824" s="43" t="e">
        <f ca="1"/>
        <v>#N/A</v>
      </c>
      <c r="I824" s="42" t="str">
        <f ca="1"/>
        <v/>
      </c>
      <c r="J824" s="54" t="s">
        <v>4</v>
      </c>
    </row>
    <row r="825" spans="1:10" x14ac:dyDescent="0.25">
      <c r="A825" s="56"/>
      <c r="B825" s="57"/>
      <c r="C825" s="111"/>
      <c r="D825" s="59"/>
      <c r="E825" s="271" t="str">
        <v/>
      </c>
      <c r="F825" s="43" t="str">
        <v/>
      </c>
      <c r="G825" s="33" t="str">
        <v/>
      </c>
      <c r="H825" s="43" t="e">
        <f ca="1"/>
        <v>#N/A</v>
      </c>
      <c r="I825" s="42" t="str">
        <f ca="1"/>
        <v/>
      </c>
      <c r="J825" s="54" t="s">
        <v>4</v>
      </c>
    </row>
    <row r="826" spans="1:10" x14ac:dyDescent="0.25">
      <c r="A826" s="56"/>
      <c r="B826" s="57"/>
      <c r="C826" s="111"/>
      <c r="D826" s="59"/>
      <c r="E826" s="271" t="str">
        <v/>
      </c>
      <c r="F826" s="43" t="str">
        <v/>
      </c>
      <c r="G826" s="33" t="str">
        <v/>
      </c>
      <c r="H826" s="43" t="e">
        <f ca="1"/>
        <v>#N/A</v>
      </c>
      <c r="I826" s="42" t="str">
        <f ca="1"/>
        <v/>
      </c>
      <c r="J826" s="54" t="s">
        <v>4</v>
      </c>
    </row>
    <row r="827" spans="1:10" x14ac:dyDescent="0.25">
      <c r="A827" s="56"/>
      <c r="B827" s="57"/>
      <c r="C827" s="111"/>
      <c r="D827" s="59"/>
      <c r="E827" s="271" t="str">
        <v/>
      </c>
      <c r="F827" s="43" t="str">
        <v/>
      </c>
      <c r="G827" s="33" t="str">
        <v/>
      </c>
      <c r="H827" s="43" t="e">
        <f ca="1"/>
        <v>#N/A</v>
      </c>
      <c r="I827" s="42" t="str">
        <f ca="1"/>
        <v/>
      </c>
      <c r="J827" s="54" t="s">
        <v>4</v>
      </c>
    </row>
    <row r="828" spans="1:10" x14ac:dyDescent="0.25">
      <c r="A828" s="56"/>
      <c r="B828" s="57"/>
      <c r="C828" s="111"/>
      <c r="D828" s="59"/>
      <c r="E828" s="271" t="str">
        <v/>
      </c>
      <c r="F828" s="43" t="str">
        <v/>
      </c>
      <c r="G828" s="33" t="str">
        <v/>
      </c>
      <c r="H828" s="43" t="e">
        <f ca="1"/>
        <v>#N/A</v>
      </c>
      <c r="I828" s="42" t="str">
        <f ca="1"/>
        <v/>
      </c>
      <c r="J828" s="54" t="s">
        <v>4</v>
      </c>
    </row>
    <row r="829" spans="1:10" x14ac:dyDescent="0.25">
      <c r="A829" s="56"/>
      <c r="B829" s="57"/>
      <c r="C829" s="111"/>
      <c r="D829" s="59"/>
      <c r="E829" s="271" t="str">
        <v/>
      </c>
      <c r="F829" s="43" t="str">
        <v/>
      </c>
      <c r="G829" s="33" t="str">
        <v/>
      </c>
      <c r="H829" s="43" t="e">
        <f ca="1"/>
        <v>#N/A</v>
      </c>
      <c r="I829" s="42" t="str">
        <f ca="1"/>
        <v/>
      </c>
      <c r="J829" s="54" t="s">
        <v>4</v>
      </c>
    </row>
    <row r="830" spans="1:10" x14ac:dyDescent="0.25">
      <c r="A830" s="56"/>
      <c r="B830" s="57"/>
      <c r="C830" s="111"/>
      <c r="D830" s="59"/>
      <c r="E830" s="271" t="str">
        <v/>
      </c>
      <c r="F830" s="43" t="str">
        <v/>
      </c>
      <c r="G830" s="33" t="str">
        <v/>
      </c>
      <c r="H830" s="43" t="e">
        <f ca="1"/>
        <v>#N/A</v>
      </c>
      <c r="I830" s="42" t="str">
        <f ca="1"/>
        <v/>
      </c>
      <c r="J830" s="54" t="s">
        <v>4</v>
      </c>
    </row>
    <row r="831" spans="1:10" x14ac:dyDescent="0.25">
      <c r="A831" s="56"/>
      <c r="B831" s="57"/>
      <c r="C831" s="111"/>
      <c r="D831" s="59"/>
      <c r="E831" s="271" t="str">
        <v/>
      </c>
      <c r="F831" s="43" t="str">
        <v/>
      </c>
      <c r="G831" s="33" t="str">
        <v/>
      </c>
      <c r="H831" s="43" t="e">
        <f ca="1"/>
        <v>#N/A</v>
      </c>
      <c r="I831" s="42" t="str">
        <f ca="1"/>
        <v/>
      </c>
      <c r="J831" s="54" t="s">
        <v>4</v>
      </c>
    </row>
    <row r="832" spans="1:10" x14ac:dyDescent="0.25">
      <c r="A832" s="56"/>
      <c r="B832" s="57"/>
      <c r="C832" s="111"/>
      <c r="D832" s="59"/>
      <c r="E832" s="271" t="str">
        <v/>
      </c>
      <c r="F832" s="43" t="str">
        <v/>
      </c>
      <c r="G832" s="33" t="str">
        <v/>
      </c>
      <c r="H832" s="43" t="e">
        <f ca="1"/>
        <v>#N/A</v>
      </c>
      <c r="I832" s="42" t="str">
        <f ca="1"/>
        <v/>
      </c>
      <c r="J832" s="54" t="s">
        <v>4</v>
      </c>
    </row>
    <row r="833" spans="1:10" x14ac:dyDescent="0.25">
      <c r="A833" s="56"/>
      <c r="B833" s="57"/>
      <c r="C833" s="111"/>
      <c r="D833" s="59"/>
      <c r="E833" s="271" t="str">
        <v/>
      </c>
      <c r="F833" s="43" t="str">
        <v/>
      </c>
      <c r="G833" s="33" t="str">
        <v/>
      </c>
      <c r="H833" s="43" t="e">
        <f ca="1"/>
        <v>#N/A</v>
      </c>
      <c r="I833" s="42" t="str">
        <f ca="1"/>
        <v/>
      </c>
      <c r="J833" s="54" t="s">
        <v>4</v>
      </c>
    </row>
    <row r="834" spans="1:10" x14ac:dyDescent="0.25">
      <c r="A834" s="56"/>
      <c r="B834" s="57"/>
      <c r="C834" s="111"/>
      <c r="D834" s="59"/>
      <c r="E834" s="271" t="str">
        <v/>
      </c>
      <c r="F834" s="43" t="str">
        <v/>
      </c>
      <c r="G834" s="33" t="str">
        <v/>
      </c>
      <c r="H834" s="43" t="e">
        <f ca="1"/>
        <v>#N/A</v>
      </c>
      <c r="I834" s="42" t="str">
        <f ca="1"/>
        <v/>
      </c>
      <c r="J834" s="54" t="s">
        <v>4</v>
      </c>
    </row>
    <row r="835" spans="1:10" x14ac:dyDescent="0.25">
      <c r="A835" s="56"/>
      <c r="B835" s="57"/>
      <c r="C835" s="111"/>
      <c r="D835" s="59"/>
      <c r="E835" s="271" t="str">
        <v/>
      </c>
      <c r="F835" s="43" t="str">
        <v/>
      </c>
      <c r="G835" s="33" t="str">
        <v/>
      </c>
      <c r="H835" s="43" t="e">
        <f ca="1"/>
        <v>#N/A</v>
      </c>
      <c r="I835" s="42" t="str">
        <f ca="1"/>
        <v/>
      </c>
      <c r="J835" s="54" t="s">
        <v>4</v>
      </c>
    </row>
    <row r="836" spans="1:10" x14ac:dyDescent="0.25">
      <c r="A836" s="56"/>
      <c r="B836" s="57"/>
      <c r="C836" s="111"/>
      <c r="D836" s="59"/>
      <c r="E836" s="271" t="str">
        <v/>
      </c>
      <c r="F836" s="43" t="str">
        <v/>
      </c>
      <c r="G836" s="33" t="str">
        <v/>
      </c>
      <c r="H836" s="43" t="e">
        <f ca="1"/>
        <v>#N/A</v>
      </c>
      <c r="I836" s="42" t="str">
        <f ca="1"/>
        <v/>
      </c>
      <c r="J836" s="54" t="s">
        <v>4</v>
      </c>
    </row>
    <row r="837" spans="1:10" x14ac:dyDescent="0.25">
      <c r="A837" s="56"/>
      <c r="B837" s="57"/>
      <c r="C837" s="111"/>
      <c r="D837" s="59"/>
      <c r="E837" s="271" t="str">
        <v/>
      </c>
      <c r="F837" s="43" t="str">
        <v/>
      </c>
      <c r="G837" s="33" t="str">
        <v/>
      </c>
      <c r="H837" s="43" t="e">
        <f ca="1"/>
        <v>#N/A</v>
      </c>
      <c r="I837" s="42" t="str">
        <f ca="1"/>
        <v/>
      </c>
      <c r="J837" s="54" t="s">
        <v>4</v>
      </c>
    </row>
    <row r="838" spans="1:10" x14ac:dyDescent="0.25">
      <c r="A838" s="56"/>
      <c r="B838" s="57"/>
      <c r="C838" s="111"/>
      <c r="D838" s="59"/>
      <c r="E838" s="271" t="str">
        <v/>
      </c>
      <c r="F838" s="43" t="str">
        <v/>
      </c>
      <c r="G838" s="33" t="str">
        <v/>
      </c>
      <c r="H838" s="43" t="e">
        <f ca="1"/>
        <v>#N/A</v>
      </c>
      <c r="I838" s="42" t="str">
        <f ca="1"/>
        <v/>
      </c>
      <c r="J838" s="54" t="s">
        <v>4</v>
      </c>
    </row>
    <row r="839" spans="1:10" x14ac:dyDescent="0.25">
      <c r="A839" s="56"/>
      <c r="B839" s="57"/>
      <c r="C839" s="111"/>
      <c r="D839" s="59"/>
      <c r="E839" s="271" t="str">
        <v/>
      </c>
      <c r="F839" s="43" t="str">
        <v/>
      </c>
      <c r="G839" s="33" t="str">
        <v/>
      </c>
      <c r="H839" s="43" t="e">
        <f ca="1"/>
        <v>#N/A</v>
      </c>
      <c r="I839" s="42" t="str">
        <f ca="1"/>
        <v/>
      </c>
      <c r="J839" s="54" t="s">
        <v>4</v>
      </c>
    </row>
    <row r="840" spans="1:10" x14ac:dyDescent="0.25">
      <c r="A840" s="56"/>
      <c r="B840" s="57"/>
      <c r="C840" s="111"/>
      <c r="D840" s="59"/>
      <c r="E840" s="271" t="str">
        <v/>
      </c>
      <c r="F840" s="43" t="str">
        <v/>
      </c>
      <c r="G840" s="33" t="str">
        <v/>
      </c>
      <c r="H840" s="43" t="e">
        <f ca="1"/>
        <v>#N/A</v>
      </c>
      <c r="I840" s="42" t="str">
        <f ca="1"/>
        <v/>
      </c>
      <c r="J840" s="54" t="s">
        <v>4</v>
      </c>
    </row>
    <row r="841" spans="1:10" x14ac:dyDescent="0.25">
      <c r="A841" s="56"/>
      <c r="B841" s="57"/>
      <c r="C841" s="111"/>
      <c r="D841" s="59"/>
      <c r="E841" s="271" t="str">
        <v/>
      </c>
      <c r="F841" s="43" t="str">
        <v/>
      </c>
      <c r="G841" s="33" t="str">
        <v/>
      </c>
      <c r="H841" s="43" t="e">
        <f ca="1"/>
        <v>#N/A</v>
      </c>
      <c r="I841" s="42" t="str">
        <f ca="1"/>
        <v/>
      </c>
      <c r="J841" s="54" t="s">
        <v>4</v>
      </c>
    </row>
    <row r="842" spans="1:10" x14ac:dyDescent="0.25">
      <c r="A842" s="56"/>
      <c r="B842" s="57"/>
      <c r="C842" s="111"/>
      <c r="D842" s="59"/>
      <c r="E842" s="271" t="str">
        <v/>
      </c>
      <c r="F842" s="43" t="str">
        <v/>
      </c>
      <c r="G842" s="33" t="str">
        <v/>
      </c>
      <c r="H842" s="43" t="e">
        <f ca="1"/>
        <v>#N/A</v>
      </c>
      <c r="I842" s="42" t="str">
        <f ca="1"/>
        <v/>
      </c>
      <c r="J842" s="54" t="s">
        <v>4</v>
      </c>
    </row>
    <row r="843" spans="1:10" x14ac:dyDescent="0.25">
      <c r="A843" s="56"/>
      <c r="B843" s="57"/>
      <c r="C843" s="111"/>
      <c r="D843" s="59"/>
      <c r="E843" s="271" t="str">
        <v/>
      </c>
      <c r="F843" s="43" t="str">
        <v/>
      </c>
      <c r="G843" s="33" t="str">
        <v/>
      </c>
      <c r="H843" s="43" t="e">
        <f ca="1"/>
        <v>#N/A</v>
      </c>
      <c r="I843" s="42" t="str">
        <f ca="1"/>
        <v/>
      </c>
      <c r="J843" s="54" t="s">
        <v>4</v>
      </c>
    </row>
    <row r="844" spans="1:10" x14ac:dyDescent="0.25">
      <c r="A844" s="56"/>
      <c r="B844" s="57"/>
      <c r="C844" s="111"/>
      <c r="D844" s="59"/>
      <c r="E844" s="271" t="str">
        <v/>
      </c>
      <c r="F844" s="43" t="str">
        <v/>
      </c>
      <c r="G844" s="33" t="str">
        <v/>
      </c>
      <c r="H844" s="43" t="e">
        <f ca="1"/>
        <v>#N/A</v>
      </c>
      <c r="I844" s="42" t="str">
        <f ca="1"/>
        <v/>
      </c>
      <c r="J844" s="54" t="s">
        <v>4</v>
      </c>
    </row>
    <row r="845" spans="1:10" x14ac:dyDescent="0.25">
      <c r="A845" s="56"/>
      <c r="B845" s="57"/>
      <c r="C845" s="111"/>
      <c r="D845" s="59"/>
      <c r="E845" s="271" t="str">
        <v/>
      </c>
      <c r="F845" s="43" t="str">
        <v/>
      </c>
      <c r="G845" s="33" t="str">
        <v/>
      </c>
      <c r="H845" s="43" t="e">
        <f ca="1"/>
        <v>#N/A</v>
      </c>
      <c r="I845" s="42" t="str">
        <f ca="1"/>
        <v/>
      </c>
      <c r="J845" s="54" t="s">
        <v>4</v>
      </c>
    </row>
    <row r="846" spans="1:10" x14ac:dyDescent="0.25">
      <c r="A846" s="56"/>
      <c r="B846" s="57"/>
      <c r="C846" s="111"/>
      <c r="D846" s="59"/>
      <c r="E846" s="271" t="str">
        <v/>
      </c>
      <c r="F846" s="43" t="str">
        <v/>
      </c>
      <c r="G846" s="33" t="str">
        <v/>
      </c>
      <c r="H846" s="43" t="e">
        <f ca="1"/>
        <v>#N/A</v>
      </c>
      <c r="I846" s="42" t="str">
        <f ca="1"/>
        <v/>
      </c>
      <c r="J846" s="54" t="s">
        <v>4</v>
      </c>
    </row>
    <row r="847" spans="1:10" x14ac:dyDescent="0.25">
      <c r="A847" s="56"/>
      <c r="B847" s="57"/>
      <c r="C847" s="111"/>
      <c r="D847" s="59"/>
      <c r="E847" s="271" t="str">
        <v/>
      </c>
      <c r="F847" s="43" t="str">
        <v/>
      </c>
      <c r="G847" s="33" t="str">
        <v/>
      </c>
      <c r="H847" s="43" t="e">
        <f ca="1"/>
        <v>#N/A</v>
      </c>
      <c r="I847" s="42" t="str">
        <f ca="1"/>
        <v/>
      </c>
      <c r="J847" s="54" t="s">
        <v>4</v>
      </c>
    </row>
    <row r="848" spans="1:10" x14ac:dyDescent="0.25">
      <c r="A848" s="56"/>
      <c r="B848" s="57"/>
      <c r="C848" s="111"/>
      <c r="D848" s="59"/>
      <c r="E848" s="271" t="str">
        <v/>
      </c>
      <c r="F848" s="43" t="str">
        <v/>
      </c>
      <c r="G848" s="33" t="str">
        <v/>
      </c>
      <c r="H848" s="43" t="e">
        <f ca="1"/>
        <v>#N/A</v>
      </c>
      <c r="I848" s="42" t="str">
        <f ca="1"/>
        <v/>
      </c>
      <c r="J848" s="54" t="s">
        <v>4</v>
      </c>
    </row>
    <row r="849" spans="1:10" x14ac:dyDescent="0.25">
      <c r="A849" s="56"/>
      <c r="B849" s="57"/>
      <c r="C849" s="111"/>
      <c r="D849" s="59"/>
      <c r="E849" s="271" t="str">
        <v/>
      </c>
      <c r="F849" s="43" t="str">
        <v/>
      </c>
      <c r="G849" s="33" t="str">
        <v/>
      </c>
      <c r="H849" s="43" t="e">
        <f ca="1"/>
        <v>#N/A</v>
      </c>
      <c r="I849" s="42" t="str">
        <f ca="1"/>
        <v/>
      </c>
      <c r="J849" s="54" t="s">
        <v>4</v>
      </c>
    </row>
    <row r="850" spans="1:10" x14ac:dyDescent="0.25">
      <c r="A850" s="56"/>
      <c r="B850" s="57"/>
      <c r="C850" s="111"/>
      <c r="D850" s="59"/>
      <c r="E850" s="271" t="str">
        <v/>
      </c>
      <c r="F850" s="43" t="str">
        <v/>
      </c>
      <c r="G850" s="33" t="str">
        <v/>
      </c>
      <c r="H850" s="43" t="e">
        <f ca="1"/>
        <v>#N/A</v>
      </c>
      <c r="I850" s="42" t="str">
        <f ca="1"/>
        <v/>
      </c>
      <c r="J850" s="54" t="s">
        <v>4</v>
      </c>
    </row>
    <row r="851" spans="1:10" x14ac:dyDescent="0.25">
      <c r="A851" s="56"/>
      <c r="B851" s="57"/>
      <c r="C851" s="111"/>
      <c r="D851" s="59"/>
      <c r="E851" s="271" t="str">
        <v/>
      </c>
      <c r="F851" s="43" t="str">
        <v/>
      </c>
      <c r="G851" s="33" t="str">
        <v/>
      </c>
      <c r="H851" s="43" t="e">
        <f ca="1"/>
        <v>#N/A</v>
      </c>
      <c r="I851" s="42" t="str">
        <f ca="1"/>
        <v/>
      </c>
      <c r="J851" s="54" t="s">
        <v>4</v>
      </c>
    </row>
    <row r="852" spans="1:10" x14ac:dyDescent="0.25">
      <c r="A852" s="56"/>
      <c r="B852" s="57"/>
      <c r="C852" s="111"/>
      <c r="D852" s="59"/>
      <c r="E852" s="271" t="str">
        <v/>
      </c>
      <c r="F852" s="43" t="str">
        <v/>
      </c>
      <c r="G852" s="33" t="str">
        <v/>
      </c>
      <c r="H852" s="43" t="e">
        <f ca="1"/>
        <v>#N/A</v>
      </c>
      <c r="I852" s="42" t="str">
        <f ca="1"/>
        <v/>
      </c>
      <c r="J852" s="54" t="s">
        <v>4</v>
      </c>
    </row>
    <row r="853" spans="1:10" x14ac:dyDescent="0.25">
      <c r="A853" s="56"/>
      <c r="B853" s="57"/>
      <c r="C853" s="111"/>
      <c r="D853" s="59"/>
      <c r="E853" s="271" t="str">
        <v/>
      </c>
      <c r="F853" s="43" t="str">
        <v/>
      </c>
      <c r="G853" s="33" t="str">
        <v/>
      </c>
      <c r="H853" s="43" t="e">
        <f ca="1"/>
        <v>#N/A</v>
      </c>
      <c r="I853" s="42" t="str">
        <f ca="1"/>
        <v/>
      </c>
      <c r="J853" s="54" t="s">
        <v>4</v>
      </c>
    </row>
    <row r="854" spans="1:10" x14ac:dyDescent="0.25">
      <c r="A854" s="56"/>
      <c r="B854" s="57"/>
      <c r="C854" s="111"/>
      <c r="D854" s="59"/>
      <c r="E854" s="271" t="str">
        <v/>
      </c>
      <c r="F854" s="43" t="str">
        <v/>
      </c>
      <c r="G854" s="33" t="str">
        <v/>
      </c>
      <c r="H854" s="43" t="e">
        <f ca="1"/>
        <v>#N/A</v>
      </c>
      <c r="I854" s="42" t="str">
        <f ca="1"/>
        <v/>
      </c>
      <c r="J854" s="54" t="s">
        <v>4</v>
      </c>
    </row>
    <row r="855" spans="1:10" x14ac:dyDescent="0.25">
      <c r="A855" s="56"/>
      <c r="B855" s="57"/>
      <c r="C855" s="111"/>
      <c r="D855" s="59"/>
      <c r="E855" s="271" t="str">
        <v/>
      </c>
      <c r="F855" s="43" t="str">
        <v/>
      </c>
      <c r="G855" s="33" t="str">
        <v/>
      </c>
      <c r="H855" s="43" t="e">
        <f ca="1"/>
        <v>#N/A</v>
      </c>
      <c r="I855" s="42" t="str">
        <f ca="1"/>
        <v/>
      </c>
      <c r="J855" s="54" t="s">
        <v>4</v>
      </c>
    </row>
    <row r="856" spans="1:10" x14ac:dyDescent="0.25">
      <c r="A856" s="56"/>
      <c r="B856" s="57"/>
      <c r="C856" s="111"/>
      <c r="D856" s="59"/>
      <c r="E856" s="271" t="str">
        <v/>
      </c>
      <c r="F856" s="43" t="str">
        <v/>
      </c>
      <c r="G856" s="33" t="str">
        <v/>
      </c>
      <c r="H856" s="43" t="e">
        <f ca="1"/>
        <v>#N/A</v>
      </c>
      <c r="I856" s="42" t="str">
        <f ca="1"/>
        <v/>
      </c>
      <c r="J856" s="54" t="s">
        <v>4</v>
      </c>
    </row>
    <row r="857" spans="1:10" x14ac:dyDescent="0.25">
      <c r="A857" s="56"/>
      <c r="B857" s="57"/>
      <c r="C857" s="111"/>
      <c r="D857" s="59"/>
      <c r="E857" s="271" t="str">
        <v/>
      </c>
      <c r="F857" s="43" t="str">
        <v/>
      </c>
      <c r="G857" s="33" t="str">
        <v/>
      </c>
      <c r="H857" s="43" t="e">
        <f ca="1"/>
        <v>#N/A</v>
      </c>
      <c r="I857" s="42" t="str">
        <f ca="1"/>
        <v/>
      </c>
      <c r="J857" s="54" t="s">
        <v>4</v>
      </c>
    </row>
    <row r="858" spans="1:10" x14ac:dyDescent="0.25">
      <c r="A858" s="56"/>
      <c r="B858" s="57"/>
      <c r="C858" s="111"/>
      <c r="D858" s="59"/>
      <c r="E858" s="271" t="str">
        <v/>
      </c>
      <c r="F858" s="43" t="str">
        <v/>
      </c>
      <c r="G858" s="33" t="str">
        <v/>
      </c>
      <c r="H858" s="43" t="e">
        <f ca="1"/>
        <v>#N/A</v>
      </c>
      <c r="I858" s="42" t="str">
        <f ca="1"/>
        <v/>
      </c>
      <c r="J858" s="54" t="s">
        <v>4</v>
      </c>
    </row>
    <row r="859" spans="1:10" x14ac:dyDescent="0.25">
      <c r="A859" s="56"/>
      <c r="B859" s="57"/>
      <c r="C859" s="111"/>
      <c r="D859" s="59"/>
      <c r="E859" s="271" t="str">
        <v/>
      </c>
      <c r="F859" s="43" t="str">
        <v/>
      </c>
      <c r="G859" s="33" t="str">
        <v/>
      </c>
      <c r="H859" s="43" t="e">
        <f ca="1"/>
        <v>#N/A</v>
      </c>
      <c r="I859" s="42" t="str">
        <f ca="1"/>
        <v/>
      </c>
      <c r="J859" s="54" t="s">
        <v>4</v>
      </c>
    </row>
    <row r="860" spans="1:10" x14ac:dyDescent="0.25">
      <c r="A860" s="56"/>
      <c r="B860" s="57"/>
      <c r="C860" s="111"/>
      <c r="D860" s="59"/>
      <c r="E860" s="271" t="str">
        <v/>
      </c>
      <c r="F860" s="43" t="str">
        <v/>
      </c>
      <c r="G860" s="33" t="str">
        <v/>
      </c>
      <c r="H860" s="43" t="e">
        <f ca="1"/>
        <v>#N/A</v>
      </c>
      <c r="I860" s="42" t="str">
        <f ca="1"/>
        <v/>
      </c>
      <c r="J860" s="54" t="s">
        <v>4</v>
      </c>
    </row>
    <row r="861" spans="1:10" x14ac:dyDescent="0.25">
      <c r="A861" s="56"/>
      <c r="B861" s="57"/>
      <c r="C861" s="111"/>
      <c r="D861" s="59"/>
      <c r="E861" s="271" t="str">
        <v/>
      </c>
      <c r="F861" s="43" t="str">
        <v/>
      </c>
      <c r="G861" s="33" t="str">
        <v/>
      </c>
      <c r="H861" s="43" t="e">
        <f ca="1"/>
        <v>#N/A</v>
      </c>
      <c r="I861" s="42" t="str">
        <f ca="1"/>
        <v/>
      </c>
      <c r="J861" s="54" t="s">
        <v>4</v>
      </c>
    </row>
    <row r="862" spans="1:10" x14ac:dyDescent="0.25">
      <c r="A862" s="56"/>
      <c r="B862" s="57"/>
      <c r="C862" s="111"/>
      <c r="D862" s="59"/>
      <c r="E862" s="271" t="str">
        <v/>
      </c>
      <c r="F862" s="43" t="str">
        <v/>
      </c>
      <c r="G862" s="33" t="str">
        <v/>
      </c>
      <c r="H862" s="43" t="e">
        <f ca="1"/>
        <v>#N/A</v>
      </c>
      <c r="I862" s="42" t="str">
        <f ca="1"/>
        <v/>
      </c>
      <c r="J862" s="54" t="s">
        <v>4</v>
      </c>
    </row>
    <row r="863" spans="1:10" x14ac:dyDescent="0.25">
      <c r="A863" s="56"/>
      <c r="B863" s="57"/>
      <c r="C863" s="111"/>
      <c r="D863" s="59"/>
      <c r="E863" s="271" t="str">
        <v/>
      </c>
      <c r="F863" s="43" t="str">
        <v/>
      </c>
      <c r="G863" s="33" t="str">
        <v/>
      </c>
      <c r="H863" s="43" t="e">
        <f ca="1"/>
        <v>#N/A</v>
      </c>
      <c r="I863" s="42" t="str">
        <f ca="1"/>
        <v/>
      </c>
      <c r="J863" s="54" t="s">
        <v>4</v>
      </c>
    </row>
    <row r="864" spans="1:10" x14ac:dyDescent="0.25">
      <c r="A864" s="56"/>
      <c r="B864" s="57"/>
      <c r="C864" s="111"/>
      <c r="D864" s="59"/>
      <c r="E864" s="271" t="str">
        <v/>
      </c>
      <c r="F864" s="43" t="str">
        <v/>
      </c>
      <c r="G864" s="33" t="str">
        <v/>
      </c>
      <c r="H864" s="43" t="e">
        <f ca="1"/>
        <v>#N/A</v>
      </c>
      <c r="I864" s="42" t="str">
        <f ca="1"/>
        <v/>
      </c>
      <c r="J864" s="54" t="s">
        <v>4</v>
      </c>
    </row>
    <row r="865" spans="1:10" x14ac:dyDescent="0.25">
      <c r="A865" s="56"/>
      <c r="B865" s="57"/>
      <c r="C865" s="111"/>
      <c r="D865" s="59"/>
      <c r="E865" s="271" t="str">
        <v/>
      </c>
      <c r="F865" s="43" t="str">
        <v/>
      </c>
      <c r="G865" s="33" t="str">
        <v/>
      </c>
      <c r="H865" s="43" t="e">
        <f ca="1"/>
        <v>#N/A</v>
      </c>
      <c r="I865" s="42" t="str">
        <f ca="1"/>
        <v/>
      </c>
      <c r="J865" s="54" t="s">
        <v>4</v>
      </c>
    </row>
    <row r="866" spans="1:10" x14ac:dyDescent="0.25">
      <c r="A866" s="56"/>
      <c r="B866" s="57"/>
      <c r="C866" s="111"/>
      <c r="D866" s="59"/>
      <c r="E866" s="271" t="str">
        <v/>
      </c>
      <c r="F866" s="43" t="str">
        <v/>
      </c>
      <c r="G866" s="33" t="str">
        <v/>
      </c>
      <c r="H866" s="43" t="e">
        <f ca="1"/>
        <v>#N/A</v>
      </c>
      <c r="I866" s="42" t="str">
        <f ca="1"/>
        <v/>
      </c>
      <c r="J866" s="54" t="s">
        <v>4</v>
      </c>
    </row>
    <row r="867" spans="1:10" x14ac:dyDescent="0.25">
      <c r="A867" s="56"/>
      <c r="B867" s="57"/>
      <c r="C867" s="111"/>
      <c r="D867" s="59"/>
      <c r="E867" s="271" t="str">
        <v/>
      </c>
      <c r="F867" s="43" t="str">
        <v/>
      </c>
      <c r="G867" s="33" t="str">
        <v/>
      </c>
      <c r="H867" s="43" t="e">
        <f ca="1"/>
        <v>#N/A</v>
      </c>
      <c r="I867" s="42" t="str">
        <f ca="1"/>
        <v/>
      </c>
      <c r="J867" s="54" t="s">
        <v>4</v>
      </c>
    </row>
    <row r="868" spans="1:10" x14ac:dyDescent="0.25">
      <c r="A868" s="56"/>
      <c r="B868" s="57"/>
      <c r="C868" s="111"/>
      <c r="D868" s="59"/>
      <c r="E868" s="271" t="str">
        <v/>
      </c>
      <c r="F868" s="43" t="str">
        <v/>
      </c>
      <c r="G868" s="33" t="str">
        <v/>
      </c>
      <c r="H868" s="43" t="e">
        <f ca="1"/>
        <v>#N/A</v>
      </c>
      <c r="I868" s="42" t="str">
        <f ca="1"/>
        <v/>
      </c>
      <c r="J868" s="54" t="s">
        <v>4</v>
      </c>
    </row>
    <row r="869" spans="1:10" x14ac:dyDescent="0.25">
      <c r="A869" s="56"/>
      <c r="B869" s="57"/>
      <c r="C869" s="111"/>
      <c r="D869" s="59"/>
      <c r="E869" s="271" t="str">
        <v/>
      </c>
      <c r="F869" s="43" t="str">
        <v/>
      </c>
      <c r="G869" s="33" t="str">
        <v/>
      </c>
      <c r="H869" s="43" t="e">
        <f ca="1"/>
        <v>#N/A</v>
      </c>
      <c r="I869" s="42" t="str">
        <f ca="1"/>
        <v/>
      </c>
      <c r="J869" s="54" t="s">
        <v>4</v>
      </c>
    </row>
    <row r="870" spans="1:10" x14ac:dyDescent="0.25">
      <c r="A870" s="56"/>
      <c r="B870" s="57"/>
      <c r="C870" s="111"/>
      <c r="D870" s="59"/>
      <c r="E870" s="271" t="str">
        <v/>
      </c>
      <c r="F870" s="43" t="str">
        <v/>
      </c>
      <c r="G870" s="33" t="str">
        <v/>
      </c>
      <c r="H870" s="43" t="e">
        <f ca="1"/>
        <v>#N/A</v>
      </c>
      <c r="I870" s="42" t="str">
        <f ca="1"/>
        <v/>
      </c>
      <c r="J870" s="54" t="s">
        <v>4</v>
      </c>
    </row>
    <row r="871" spans="1:10" x14ac:dyDescent="0.25">
      <c r="A871" s="56"/>
      <c r="B871" s="57"/>
      <c r="C871" s="111"/>
      <c r="D871" s="59"/>
      <c r="E871" s="271" t="str">
        <v/>
      </c>
      <c r="F871" s="43" t="str">
        <v/>
      </c>
      <c r="G871" s="33" t="str">
        <v/>
      </c>
      <c r="H871" s="43" t="e">
        <f ca="1"/>
        <v>#N/A</v>
      </c>
      <c r="I871" s="42" t="str">
        <f ca="1"/>
        <v/>
      </c>
      <c r="J871" s="54" t="s">
        <v>4</v>
      </c>
    </row>
    <row r="872" spans="1:10" x14ac:dyDescent="0.25">
      <c r="A872" s="56"/>
      <c r="B872" s="57"/>
      <c r="C872" s="111"/>
      <c r="D872" s="59"/>
      <c r="E872" s="271" t="str">
        <v/>
      </c>
      <c r="F872" s="43" t="str">
        <v/>
      </c>
      <c r="G872" s="33" t="str">
        <v/>
      </c>
      <c r="H872" s="43" t="e">
        <f ca="1"/>
        <v>#N/A</v>
      </c>
      <c r="I872" s="42" t="str">
        <f ca="1"/>
        <v/>
      </c>
      <c r="J872" s="54" t="s">
        <v>4</v>
      </c>
    </row>
    <row r="873" spans="1:10" x14ac:dyDescent="0.25">
      <c r="A873" s="56"/>
      <c r="B873" s="57"/>
      <c r="C873" s="111"/>
      <c r="D873" s="59"/>
      <c r="E873" s="271" t="str">
        <v/>
      </c>
      <c r="F873" s="43" t="str">
        <v/>
      </c>
      <c r="G873" s="33" t="str">
        <v/>
      </c>
      <c r="H873" s="43" t="e">
        <f ca="1"/>
        <v>#N/A</v>
      </c>
      <c r="I873" s="42" t="str">
        <f ca="1"/>
        <v/>
      </c>
      <c r="J873" s="54" t="s">
        <v>4</v>
      </c>
    </row>
    <row r="874" spans="1:10" x14ac:dyDescent="0.25">
      <c r="A874" s="56"/>
      <c r="B874" s="57"/>
      <c r="C874" s="111"/>
      <c r="D874" s="59"/>
      <c r="E874" s="271" t="str">
        <v/>
      </c>
      <c r="F874" s="43" t="str">
        <v/>
      </c>
      <c r="G874" s="33" t="str">
        <v/>
      </c>
      <c r="H874" s="43" t="e">
        <f ca="1"/>
        <v>#N/A</v>
      </c>
      <c r="I874" s="42" t="str">
        <f ca="1"/>
        <v/>
      </c>
      <c r="J874" s="54" t="s">
        <v>4</v>
      </c>
    </row>
    <row r="875" spans="1:10" x14ac:dyDescent="0.25">
      <c r="A875" s="56"/>
      <c r="B875" s="57"/>
      <c r="C875" s="111"/>
      <c r="D875" s="59"/>
      <c r="E875" s="271" t="str">
        <v/>
      </c>
      <c r="F875" s="43" t="str">
        <v/>
      </c>
      <c r="G875" s="33" t="str">
        <v/>
      </c>
      <c r="H875" s="43" t="e">
        <f ca="1"/>
        <v>#N/A</v>
      </c>
      <c r="I875" s="42" t="str">
        <f ca="1"/>
        <v/>
      </c>
      <c r="J875" s="54" t="s">
        <v>4</v>
      </c>
    </row>
    <row r="876" spans="1:10" x14ac:dyDescent="0.25">
      <c r="A876" s="56"/>
      <c r="B876" s="57"/>
      <c r="C876" s="111"/>
      <c r="D876" s="59"/>
      <c r="E876" s="271" t="str">
        <v/>
      </c>
      <c r="F876" s="43" t="str">
        <v/>
      </c>
      <c r="G876" s="33" t="str">
        <v/>
      </c>
      <c r="H876" s="43" t="e">
        <f ca="1"/>
        <v>#N/A</v>
      </c>
      <c r="I876" s="42" t="str">
        <f ca="1"/>
        <v/>
      </c>
      <c r="J876" s="54" t="s">
        <v>4</v>
      </c>
    </row>
    <row r="877" spans="1:10" x14ac:dyDescent="0.25">
      <c r="A877" s="56"/>
      <c r="B877" s="57"/>
      <c r="C877" s="111"/>
      <c r="D877" s="59"/>
      <c r="E877" s="271" t="str">
        <v/>
      </c>
      <c r="F877" s="43" t="str">
        <v/>
      </c>
      <c r="G877" s="33" t="str">
        <v/>
      </c>
      <c r="H877" s="43" t="e">
        <f ca="1"/>
        <v>#N/A</v>
      </c>
      <c r="I877" s="42" t="str">
        <f ca="1"/>
        <v/>
      </c>
      <c r="J877" s="54" t="s">
        <v>4</v>
      </c>
    </row>
    <row r="878" spans="1:10" x14ac:dyDescent="0.25">
      <c r="A878" s="56"/>
      <c r="B878" s="57"/>
      <c r="C878" s="111"/>
      <c r="D878" s="59"/>
      <c r="E878" s="271" t="str">
        <v/>
      </c>
      <c r="F878" s="43" t="str">
        <v/>
      </c>
      <c r="G878" s="33" t="str">
        <v/>
      </c>
      <c r="H878" s="43" t="e">
        <f ca="1"/>
        <v>#N/A</v>
      </c>
      <c r="I878" s="42" t="str">
        <f ca="1"/>
        <v/>
      </c>
      <c r="J878" s="54" t="s">
        <v>4</v>
      </c>
    </row>
    <row r="879" spans="1:10" x14ac:dyDescent="0.25">
      <c r="A879" s="56"/>
      <c r="B879" s="57"/>
      <c r="C879" s="111"/>
      <c r="D879" s="59"/>
      <c r="E879" s="271" t="str">
        <v/>
      </c>
      <c r="F879" s="43" t="str">
        <v/>
      </c>
      <c r="G879" s="33" t="str">
        <v/>
      </c>
      <c r="H879" s="43" t="e">
        <f ca="1"/>
        <v>#N/A</v>
      </c>
      <c r="I879" s="42" t="str">
        <f ca="1"/>
        <v/>
      </c>
      <c r="J879" s="54" t="s">
        <v>4</v>
      </c>
    </row>
    <row r="880" spans="1:10" x14ac:dyDescent="0.25">
      <c r="A880" s="56"/>
      <c r="B880" s="57"/>
      <c r="C880" s="111"/>
      <c r="D880" s="59"/>
      <c r="E880" s="271" t="str">
        <v/>
      </c>
      <c r="F880" s="43" t="str">
        <v/>
      </c>
      <c r="G880" s="33" t="str">
        <v/>
      </c>
      <c r="H880" s="43" t="e">
        <f ca="1"/>
        <v>#N/A</v>
      </c>
      <c r="I880" s="42" t="str">
        <f ca="1"/>
        <v/>
      </c>
      <c r="J880" s="54" t="s">
        <v>4</v>
      </c>
    </row>
    <row r="881" spans="1:10" x14ac:dyDescent="0.25">
      <c r="A881" s="56"/>
      <c r="B881" s="57"/>
      <c r="C881" s="111"/>
      <c r="D881" s="59"/>
      <c r="E881" s="271" t="str">
        <v/>
      </c>
      <c r="F881" s="43" t="str">
        <v/>
      </c>
      <c r="G881" s="33" t="str">
        <v/>
      </c>
      <c r="H881" s="43" t="e">
        <f ca="1"/>
        <v>#N/A</v>
      </c>
      <c r="I881" s="42" t="str">
        <f ca="1"/>
        <v/>
      </c>
      <c r="J881" s="54" t="s">
        <v>4</v>
      </c>
    </row>
    <row r="882" spans="1:10" x14ac:dyDescent="0.25">
      <c r="A882" s="56"/>
      <c r="B882" s="57"/>
      <c r="C882" s="111"/>
      <c r="D882" s="59"/>
      <c r="E882" s="271" t="str">
        <v/>
      </c>
      <c r="F882" s="43" t="str">
        <v/>
      </c>
      <c r="G882" s="33" t="str">
        <v/>
      </c>
      <c r="H882" s="43" t="e">
        <f ca="1"/>
        <v>#N/A</v>
      </c>
      <c r="I882" s="42" t="str">
        <f ca="1"/>
        <v/>
      </c>
      <c r="J882" s="54" t="s">
        <v>4</v>
      </c>
    </row>
    <row r="883" spans="1:10" x14ac:dyDescent="0.25">
      <c r="A883" s="56"/>
      <c r="B883" s="57"/>
      <c r="C883" s="111"/>
      <c r="D883" s="59"/>
      <c r="E883" s="271" t="str">
        <v/>
      </c>
      <c r="F883" s="43" t="str">
        <v/>
      </c>
      <c r="G883" s="33" t="str">
        <v/>
      </c>
      <c r="H883" s="43" t="e">
        <f ca="1"/>
        <v>#N/A</v>
      </c>
      <c r="I883" s="42" t="str">
        <f ca="1"/>
        <v/>
      </c>
      <c r="J883" s="54" t="s">
        <v>4</v>
      </c>
    </row>
    <row r="884" spans="1:10" x14ac:dyDescent="0.25">
      <c r="A884" s="56"/>
      <c r="B884" s="57"/>
      <c r="C884" s="111"/>
      <c r="D884" s="59"/>
      <c r="E884" s="271" t="str">
        <v/>
      </c>
      <c r="F884" s="43" t="str">
        <v/>
      </c>
      <c r="G884" s="33" t="str">
        <v/>
      </c>
      <c r="H884" s="43" t="e">
        <f ca="1"/>
        <v>#N/A</v>
      </c>
      <c r="I884" s="42" t="str">
        <f ca="1"/>
        <v/>
      </c>
      <c r="J884" s="54" t="s">
        <v>4</v>
      </c>
    </row>
    <row r="885" spans="1:10" x14ac:dyDescent="0.25">
      <c r="A885" s="56"/>
      <c r="B885" s="57"/>
      <c r="C885" s="111"/>
      <c r="D885" s="59"/>
      <c r="E885" s="271" t="str">
        <v/>
      </c>
      <c r="F885" s="43" t="str">
        <v/>
      </c>
      <c r="G885" s="33" t="str">
        <v/>
      </c>
      <c r="H885" s="43" t="e">
        <f ca="1"/>
        <v>#N/A</v>
      </c>
      <c r="I885" s="42" t="str">
        <f ca="1"/>
        <v/>
      </c>
      <c r="J885" s="54" t="s">
        <v>4</v>
      </c>
    </row>
    <row r="886" spans="1:10" x14ac:dyDescent="0.25">
      <c r="A886" s="56"/>
      <c r="B886" s="57"/>
      <c r="C886" s="111"/>
      <c r="D886" s="59"/>
      <c r="E886" s="271" t="str">
        <v/>
      </c>
      <c r="F886" s="43" t="str">
        <v/>
      </c>
      <c r="G886" s="33" t="str">
        <v/>
      </c>
      <c r="H886" s="43" t="e">
        <f ca="1"/>
        <v>#N/A</v>
      </c>
      <c r="I886" s="42" t="str">
        <f ca="1"/>
        <v/>
      </c>
      <c r="J886" s="54" t="s">
        <v>4</v>
      </c>
    </row>
    <row r="887" spans="1:10" x14ac:dyDescent="0.25">
      <c r="A887" s="56"/>
      <c r="B887" s="57"/>
      <c r="C887" s="111"/>
      <c r="D887" s="59"/>
      <c r="E887" s="271" t="str">
        <v/>
      </c>
      <c r="F887" s="43" t="str">
        <v/>
      </c>
      <c r="G887" s="33" t="str">
        <v/>
      </c>
      <c r="H887" s="43" t="e">
        <f ca="1"/>
        <v>#N/A</v>
      </c>
      <c r="I887" s="42" t="str">
        <f ca="1"/>
        <v/>
      </c>
      <c r="J887" s="54" t="s">
        <v>4</v>
      </c>
    </row>
    <row r="888" spans="1:10" x14ac:dyDescent="0.25">
      <c r="A888" s="56"/>
      <c r="B888" s="57"/>
      <c r="C888" s="111"/>
      <c r="D888" s="59"/>
      <c r="E888" s="271" t="str">
        <v/>
      </c>
      <c r="F888" s="43" t="str">
        <v/>
      </c>
      <c r="G888" s="33" t="str">
        <v/>
      </c>
      <c r="H888" s="43" t="e">
        <f ca="1"/>
        <v>#N/A</v>
      </c>
      <c r="I888" s="42" t="str">
        <f ca="1"/>
        <v/>
      </c>
      <c r="J888" s="54" t="s">
        <v>4</v>
      </c>
    </row>
    <row r="889" spans="1:10" x14ac:dyDescent="0.25">
      <c r="A889" s="56"/>
      <c r="B889" s="57"/>
      <c r="C889" s="111"/>
      <c r="D889" s="59"/>
      <c r="E889" s="271" t="str">
        <v/>
      </c>
      <c r="F889" s="43" t="str">
        <v/>
      </c>
      <c r="G889" s="33" t="str">
        <v/>
      </c>
      <c r="H889" s="43" t="e">
        <f ca="1"/>
        <v>#N/A</v>
      </c>
      <c r="I889" s="42" t="str">
        <f ca="1"/>
        <v/>
      </c>
      <c r="J889" s="54" t="s">
        <v>4</v>
      </c>
    </row>
    <row r="890" spans="1:10" x14ac:dyDescent="0.25">
      <c r="A890" s="56"/>
      <c r="B890" s="57"/>
      <c r="C890" s="111"/>
      <c r="D890" s="59"/>
      <c r="E890" s="271" t="str">
        <v/>
      </c>
      <c r="F890" s="43" t="str">
        <v/>
      </c>
      <c r="G890" s="33" t="str">
        <v/>
      </c>
      <c r="H890" s="43" t="e">
        <f ca="1"/>
        <v>#N/A</v>
      </c>
      <c r="I890" s="42" t="str">
        <f ca="1"/>
        <v/>
      </c>
      <c r="J890" s="54" t="s">
        <v>4</v>
      </c>
    </row>
    <row r="891" spans="1:10" x14ac:dyDescent="0.25">
      <c r="A891" s="56"/>
      <c r="B891" s="57"/>
      <c r="C891" s="111"/>
      <c r="D891" s="59"/>
      <c r="E891" s="271" t="str">
        <v/>
      </c>
      <c r="F891" s="43" t="str">
        <v/>
      </c>
      <c r="G891" s="33" t="str">
        <v/>
      </c>
      <c r="H891" s="43" t="e">
        <f ca="1"/>
        <v>#N/A</v>
      </c>
      <c r="I891" s="42" t="str">
        <f ca="1"/>
        <v/>
      </c>
      <c r="J891" s="54" t="s">
        <v>4</v>
      </c>
    </row>
    <row r="892" spans="1:10" x14ac:dyDescent="0.25">
      <c r="A892" s="56"/>
      <c r="B892" s="57"/>
      <c r="C892" s="111"/>
      <c r="D892" s="59"/>
      <c r="E892" s="271" t="str">
        <v/>
      </c>
      <c r="F892" s="43" t="str">
        <v/>
      </c>
      <c r="G892" s="33" t="str">
        <v/>
      </c>
      <c r="H892" s="43" t="e">
        <f ca="1"/>
        <v>#N/A</v>
      </c>
      <c r="I892" s="42" t="str">
        <f ca="1"/>
        <v/>
      </c>
      <c r="J892" s="54" t="s">
        <v>4</v>
      </c>
    </row>
    <row r="893" spans="1:10" x14ac:dyDescent="0.25">
      <c r="A893" s="56"/>
      <c r="B893" s="57"/>
      <c r="C893" s="111"/>
      <c r="D893" s="59"/>
      <c r="E893" s="271" t="str">
        <v/>
      </c>
      <c r="F893" s="43" t="str">
        <v/>
      </c>
      <c r="G893" s="33" t="str">
        <v/>
      </c>
      <c r="H893" s="43" t="e">
        <f ca="1"/>
        <v>#N/A</v>
      </c>
      <c r="I893" s="42" t="str">
        <f ca="1"/>
        <v/>
      </c>
      <c r="J893" s="54" t="s">
        <v>4</v>
      </c>
    </row>
    <row r="894" spans="1:10" x14ac:dyDescent="0.25">
      <c r="A894" s="56"/>
      <c r="B894" s="57"/>
      <c r="C894" s="111"/>
      <c r="D894" s="59"/>
      <c r="E894" s="271" t="str">
        <v/>
      </c>
      <c r="F894" s="43" t="str">
        <v/>
      </c>
      <c r="G894" s="33" t="str">
        <v/>
      </c>
      <c r="H894" s="43" t="e">
        <f ca="1"/>
        <v>#N/A</v>
      </c>
      <c r="I894" s="42" t="str">
        <f ca="1"/>
        <v/>
      </c>
      <c r="J894" s="54" t="s">
        <v>4</v>
      </c>
    </row>
    <row r="895" spans="1:10" x14ac:dyDescent="0.25">
      <c r="A895" s="56"/>
      <c r="B895" s="57"/>
      <c r="C895" s="111"/>
      <c r="D895" s="59"/>
      <c r="E895" s="271" t="str">
        <v/>
      </c>
      <c r="F895" s="43" t="str">
        <v/>
      </c>
      <c r="G895" s="33" t="str">
        <v/>
      </c>
      <c r="H895" s="43" t="e">
        <f ca="1"/>
        <v>#N/A</v>
      </c>
      <c r="I895" s="42" t="str">
        <f ca="1"/>
        <v/>
      </c>
      <c r="J895" s="54" t="s">
        <v>4</v>
      </c>
    </row>
    <row r="896" spans="1:10" x14ac:dyDescent="0.25">
      <c r="A896" s="56"/>
      <c r="B896" s="57"/>
      <c r="C896" s="111"/>
      <c r="D896" s="59"/>
      <c r="E896" s="271" t="str">
        <v/>
      </c>
      <c r="F896" s="43" t="str">
        <v/>
      </c>
      <c r="G896" s="33" t="str">
        <v/>
      </c>
      <c r="H896" s="43" t="e">
        <f ca="1"/>
        <v>#N/A</v>
      </c>
      <c r="I896" s="42" t="str">
        <f ca="1"/>
        <v/>
      </c>
      <c r="J896" s="54" t="s">
        <v>4</v>
      </c>
    </row>
    <row r="897" spans="1:10" x14ac:dyDescent="0.25">
      <c r="A897" s="56"/>
      <c r="B897" s="57"/>
      <c r="C897" s="111"/>
      <c r="D897" s="59"/>
      <c r="E897" s="271" t="str">
        <v/>
      </c>
      <c r="F897" s="43" t="str">
        <v/>
      </c>
      <c r="G897" s="33" t="str">
        <v/>
      </c>
      <c r="H897" s="43" t="e">
        <f ca="1"/>
        <v>#N/A</v>
      </c>
      <c r="I897" s="42" t="str">
        <f ca="1"/>
        <v/>
      </c>
      <c r="J897" s="54" t="s">
        <v>4</v>
      </c>
    </row>
    <row r="898" spans="1:10" x14ac:dyDescent="0.25">
      <c r="A898" s="56"/>
      <c r="B898" s="57"/>
      <c r="C898" s="111"/>
      <c r="D898" s="59"/>
      <c r="E898" s="271" t="str">
        <v/>
      </c>
      <c r="F898" s="43" t="str">
        <v/>
      </c>
      <c r="G898" s="33" t="str">
        <v/>
      </c>
      <c r="H898" s="43" t="e">
        <f ca="1"/>
        <v>#N/A</v>
      </c>
      <c r="I898" s="42" t="str">
        <f ca="1"/>
        <v/>
      </c>
      <c r="J898" s="54" t="s">
        <v>4</v>
      </c>
    </row>
    <row r="899" spans="1:10" x14ac:dyDescent="0.25">
      <c r="A899" s="56"/>
      <c r="B899" s="57"/>
      <c r="C899" s="111"/>
      <c r="D899" s="59"/>
      <c r="E899" s="271" t="str">
        <v/>
      </c>
      <c r="F899" s="43" t="str">
        <v/>
      </c>
      <c r="G899" s="33" t="str">
        <v/>
      </c>
      <c r="H899" s="43" t="e">
        <f ca="1"/>
        <v>#N/A</v>
      </c>
      <c r="I899" s="42" t="str">
        <f ca="1"/>
        <v/>
      </c>
      <c r="J899" s="54" t="s">
        <v>4</v>
      </c>
    </row>
    <row r="900" spans="1:10" x14ac:dyDescent="0.25">
      <c r="A900" s="56"/>
      <c r="B900" s="57"/>
      <c r="C900" s="111"/>
      <c r="D900" s="59"/>
      <c r="E900" s="271" t="str">
        <v/>
      </c>
      <c r="F900" s="43" t="str">
        <v/>
      </c>
      <c r="G900" s="33" t="str">
        <v/>
      </c>
      <c r="H900" s="43" t="e">
        <f ca="1"/>
        <v>#N/A</v>
      </c>
      <c r="I900" s="42" t="str">
        <f ca="1"/>
        <v/>
      </c>
      <c r="J900" s="54" t="s">
        <v>4</v>
      </c>
    </row>
    <row r="901" spans="1:10" x14ac:dyDescent="0.25">
      <c r="A901" s="56"/>
      <c r="B901" s="57"/>
      <c r="C901" s="111"/>
      <c r="D901" s="59"/>
      <c r="E901" s="271" t="str">
        <v/>
      </c>
      <c r="F901" s="43" t="str">
        <v/>
      </c>
      <c r="G901" s="33" t="str">
        <v/>
      </c>
      <c r="H901" s="43" t="e">
        <f ca="1"/>
        <v>#N/A</v>
      </c>
      <c r="I901" s="42" t="str">
        <f ca="1"/>
        <v/>
      </c>
      <c r="J901" s="54" t="s">
        <v>4</v>
      </c>
    </row>
    <row r="902" spans="1:10" x14ac:dyDescent="0.25">
      <c r="A902" s="56"/>
      <c r="B902" s="57"/>
      <c r="C902" s="111"/>
      <c r="D902" s="59"/>
      <c r="E902" s="271" t="str">
        <v/>
      </c>
      <c r="F902" s="43" t="str">
        <v/>
      </c>
      <c r="G902" s="33" t="str">
        <v/>
      </c>
      <c r="H902" s="43" t="e">
        <f ca="1"/>
        <v>#N/A</v>
      </c>
      <c r="I902" s="42" t="str">
        <f ca="1"/>
        <v/>
      </c>
      <c r="J902" s="54" t="s">
        <v>4</v>
      </c>
    </row>
    <row r="903" spans="1:10" x14ac:dyDescent="0.25">
      <c r="A903" s="56"/>
      <c r="B903" s="57"/>
      <c r="C903" s="111"/>
      <c r="D903" s="59"/>
      <c r="E903" s="271" t="str">
        <v/>
      </c>
      <c r="F903" s="43" t="str">
        <v/>
      </c>
      <c r="G903" s="33" t="str">
        <v/>
      </c>
      <c r="H903" s="43" t="e">
        <f ca="1"/>
        <v>#N/A</v>
      </c>
      <c r="I903" s="42" t="str">
        <f ca="1"/>
        <v/>
      </c>
      <c r="J903" s="54" t="s">
        <v>4</v>
      </c>
    </row>
    <row r="904" spans="1:10" x14ac:dyDescent="0.25">
      <c r="A904" s="56"/>
      <c r="B904" s="57"/>
      <c r="C904" s="111"/>
      <c r="D904" s="59"/>
      <c r="E904" s="271" t="str">
        <v/>
      </c>
      <c r="F904" s="43" t="str">
        <v/>
      </c>
      <c r="G904" s="33" t="str">
        <v/>
      </c>
      <c r="H904" s="43" t="e">
        <f ca="1"/>
        <v>#N/A</v>
      </c>
      <c r="I904" s="42" t="str">
        <f ca="1"/>
        <v/>
      </c>
      <c r="J904" s="54" t="s">
        <v>4</v>
      </c>
    </row>
    <row r="905" spans="1:10" x14ac:dyDescent="0.25">
      <c r="A905" s="56"/>
      <c r="B905" s="57"/>
      <c r="C905" s="111"/>
      <c r="D905" s="59"/>
      <c r="E905" s="271" t="str">
        <v/>
      </c>
      <c r="F905" s="43" t="str">
        <v/>
      </c>
      <c r="G905" s="33" t="str">
        <v/>
      </c>
      <c r="H905" s="43" t="e">
        <f ca="1"/>
        <v>#N/A</v>
      </c>
      <c r="I905" s="42" t="str">
        <f ca="1"/>
        <v/>
      </c>
      <c r="J905" s="54" t="s">
        <v>4</v>
      </c>
    </row>
    <row r="906" spans="1:10" x14ac:dyDescent="0.25">
      <c r="A906" s="56"/>
      <c r="B906" s="57"/>
      <c r="C906" s="111"/>
      <c r="D906" s="59"/>
      <c r="E906" s="271" t="str">
        <v/>
      </c>
      <c r="F906" s="43" t="str">
        <v/>
      </c>
      <c r="G906" s="33" t="str">
        <v/>
      </c>
      <c r="H906" s="43" t="e">
        <f ca="1"/>
        <v>#N/A</v>
      </c>
      <c r="I906" s="42" t="str">
        <f ca="1"/>
        <v/>
      </c>
      <c r="J906" s="54" t="s">
        <v>4</v>
      </c>
    </row>
    <row r="907" spans="1:10" x14ac:dyDescent="0.25">
      <c r="A907" s="56"/>
      <c r="B907" s="57"/>
      <c r="C907" s="111"/>
      <c r="D907" s="59"/>
      <c r="E907" s="271" t="str">
        <v/>
      </c>
      <c r="F907" s="43" t="str">
        <v/>
      </c>
      <c r="G907" s="33" t="str">
        <v/>
      </c>
      <c r="H907" s="43" t="e">
        <f ca="1"/>
        <v>#N/A</v>
      </c>
      <c r="I907" s="42" t="str">
        <f ca="1"/>
        <v/>
      </c>
      <c r="J907" s="54" t="s">
        <v>4</v>
      </c>
    </row>
    <row r="908" spans="1:10" x14ac:dyDescent="0.25">
      <c r="A908" s="56"/>
      <c r="B908" s="57"/>
      <c r="C908" s="111"/>
      <c r="D908" s="59"/>
      <c r="E908" s="271" t="str">
        <v/>
      </c>
      <c r="F908" s="43" t="str">
        <v/>
      </c>
      <c r="G908" s="33" t="str">
        <v/>
      </c>
      <c r="H908" s="43" t="e">
        <f ca="1"/>
        <v>#N/A</v>
      </c>
      <c r="I908" s="42" t="str">
        <f ca="1"/>
        <v/>
      </c>
      <c r="J908" s="54" t="s">
        <v>4</v>
      </c>
    </row>
    <row r="909" spans="1:10" x14ac:dyDescent="0.25">
      <c r="A909" s="56"/>
      <c r="B909" s="57"/>
      <c r="C909" s="111"/>
      <c r="D909" s="59"/>
      <c r="E909" s="271" t="str">
        <v/>
      </c>
      <c r="F909" s="43" t="str">
        <v/>
      </c>
      <c r="G909" s="33" t="str">
        <v/>
      </c>
      <c r="H909" s="43" t="e">
        <f ca="1"/>
        <v>#N/A</v>
      </c>
      <c r="I909" s="42" t="str">
        <f ca="1"/>
        <v/>
      </c>
      <c r="J909" s="54" t="s">
        <v>4</v>
      </c>
    </row>
    <row r="910" spans="1:10" x14ac:dyDescent="0.25">
      <c r="A910" s="56"/>
      <c r="B910" s="57"/>
      <c r="C910" s="111"/>
      <c r="D910" s="59"/>
      <c r="E910" s="271" t="str">
        <v/>
      </c>
      <c r="F910" s="43" t="str">
        <v/>
      </c>
      <c r="G910" s="33" t="str">
        <v/>
      </c>
      <c r="H910" s="43" t="e">
        <f ca="1"/>
        <v>#N/A</v>
      </c>
      <c r="I910" s="42" t="str">
        <f ca="1"/>
        <v/>
      </c>
      <c r="J910" s="54" t="s">
        <v>4</v>
      </c>
    </row>
    <row r="911" spans="1:10" x14ac:dyDescent="0.25">
      <c r="A911" s="56"/>
      <c r="B911" s="57"/>
      <c r="C911" s="111"/>
      <c r="D911" s="59"/>
      <c r="E911" s="271" t="str">
        <v/>
      </c>
      <c r="F911" s="43" t="str">
        <v/>
      </c>
      <c r="G911" s="33" t="str">
        <v/>
      </c>
      <c r="H911" s="43" t="e">
        <f ca="1"/>
        <v>#N/A</v>
      </c>
      <c r="I911" s="42" t="str">
        <f ca="1"/>
        <v/>
      </c>
      <c r="J911" s="54" t="s">
        <v>4</v>
      </c>
    </row>
    <row r="912" spans="1:10" x14ac:dyDescent="0.25">
      <c r="A912" s="56"/>
      <c r="B912" s="57"/>
      <c r="C912" s="111"/>
      <c r="D912" s="59"/>
      <c r="E912" s="271" t="str">
        <v/>
      </c>
      <c r="F912" s="43" t="str">
        <v/>
      </c>
      <c r="G912" s="33" t="str">
        <v/>
      </c>
      <c r="H912" s="43" t="e">
        <f ca="1"/>
        <v>#N/A</v>
      </c>
      <c r="I912" s="42" t="str">
        <f ca="1"/>
        <v/>
      </c>
      <c r="J912" s="54" t="s">
        <v>4</v>
      </c>
    </row>
    <row r="913" spans="1:10" x14ac:dyDescent="0.25">
      <c r="A913" s="56"/>
      <c r="B913" s="57"/>
      <c r="C913" s="111"/>
      <c r="D913" s="59"/>
      <c r="E913" s="271" t="str">
        <v/>
      </c>
      <c r="F913" s="43" t="str">
        <v/>
      </c>
      <c r="G913" s="33" t="str">
        <v/>
      </c>
      <c r="H913" s="43" t="e">
        <f ca="1"/>
        <v>#N/A</v>
      </c>
      <c r="I913" s="42" t="str">
        <f ca="1"/>
        <v/>
      </c>
      <c r="J913" s="54" t="s">
        <v>4</v>
      </c>
    </row>
    <row r="914" spans="1:10" x14ac:dyDescent="0.25">
      <c r="A914" s="56"/>
      <c r="B914" s="57"/>
      <c r="C914" s="111"/>
      <c r="D914" s="59"/>
      <c r="E914" s="271" t="str">
        <v/>
      </c>
      <c r="F914" s="43" t="str">
        <v/>
      </c>
      <c r="G914" s="33" t="str">
        <v/>
      </c>
      <c r="H914" s="43" t="e">
        <f ca="1"/>
        <v>#N/A</v>
      </c>
      <c r="I914" s="42" t="str">
        <f ca="1"/>
        <v/>
      </c>
      <c r="J914" s="54" t="s">
        <v>4</v>
      </c>
    </row>
    <row r="915" spans="1:10" x14ac:dyDescent="0.25">
      <c r="A915" s="56"/>
      <c r="B915" s="57"/>
      <c r="C915" s="111"/>
      <c r="D915" s="59"/>
      <c r="E915" s="271" t="str">
        <v/>
      </c>
      <c r="F915" s="43" t="str">
        <v/>
      </c>
      <c r="G915" s="33" t="str">
        <v/>
      </c>
      <c r="H915" s="43" t="e">
        <f ca="1"/>
        <v>#N/A</v>
      </c>
      <c r="I915" s="42" t="str">
        <f ca="1"/>
        <v/>
      </c>
      <c r="J915" s="54" t="s">
        <v>4</v>
      </c>
    </row>
    <row r="916" spans="1:10" x14ac:dyDescent="0.25">
      <c r="A916" s="56"/>
      <c r="B916" s="57"/>
      <c r="C916" s="111"/>
      <c r="D916" s="59"/>
      <c r="E916" s="271" t="str">
        <v/>
      </c>
      <c r="F916" s="43" t="str">
        <v/>
      </c>
      <c r="G916" s="33" t="str">
        <v/>
      </c>
      <c r="H916" s="43" t="e">
        <f ca="1"/>
        <v>#N/A</v>
      </c>
      <c r="I916" s="42" t="str">
        <f ca="1"/>
        <v/>
      </c>
      <c r="J916" s="54" t="s">
        <v>4</v>
      </c>
    </row>
    <row r="917" spans="1:10" x14ac:dyDescent="0.25">
      <c r="A917" s="56"/>
      <c r="B917" s="57"/>
      <c r="C917" s="111"/>
      <c r="D917" s="59"/>
      <c r="E917" s="271" t="str">
        <v/>
      </c>
      <c r="F917" s="43" t="str">
        <v/>
      </c>
      <c r="G917" s="33" t="str">
        <v/>
      </c>
      <c r="H917" s="43" t="e">
        <f ca="1"/>
        <v>#N/A</v>
      </c>
      <c r="I917" s="42" t="str">
        <f ca="1"/>
        <v/>
      </c>
      <c r="J917" s="54" t="s">
        <v>4</v>
      </c>
    </row>
    <row r="918" spans="1:10" x14ac:dyDescent="0.25">
      <c r="A918" s="56"/>
      <c r="B918" s="57"/>
      <c r="C918" s="111"/>
      <c r="D918" s="59"/>
      <c r="E918" s="271" t="str">
        <v/>
      </c>
      <c r="F918" s="43" t="str">
        <v/>
      </c>
      <c r="G918" s="33" t="str">
        <v/>
      </c>
      <c r="H918" s="43" t="e">
        <f ca="1"/>
        <v>#N/A</v>
      </c>
      <c r="I918" s="42" t="str">
        <f ca="1"/>
        <v/>
      </c>
      <c r="J918" s="54" t="s">
        <v>4</v>
      </c>
    </row>
    <row r="919" spans="1:10" x14ac:dyDescent="0.25">
      <c r="A919" s="56"/>
      <c r="B919" s="57"/>
      <c r="C919" s="111"/>
      <c r="D919" s="59"/>
      <c r="E919" s="271" t="str">
        <v/>
      </c>
      <c r="F919" s="43" t="str">
        <v/>
      </c>
      <c r="G919" s="33" t="str">
        <v/>
      </c>
      <c r="H919" s="43" t="e">
        <f ca="1"/>
        <v>#N/A</v>
      </c>
      <c r="I919" s="42" t="str">
        <f ca="1"/>
        <v/>
      </c>
      <c r="J919" s="54" t="s">
        <v>4</v>
      </c>
    </row>
    <row r="920" spans="1:10" x14ac:dyDescent="0.25">
      <c r="A920" s="56"/>
      <c r="B920" s="57"/>
      <c r="C920" s="111"/>
      <c r="D920" s="59"/>
      <c r="E920" s="271" t="str">
        <v/>
      </c>
      <c r="F920" s="43" t="str">
        <v/>
      </c>
      <c r="G920" s="33" t="str">
        <v/>
      </c>
      <c r="H920" s="43" t="e">
        <f ca="1"/>
        <v>#N/A</v>
      </c>
      <c r="I920" s="42" t="str">
        <f ca="1"/>
        <v/>
      </c>
      <c r="J920" s="54" t="s">
        <v>4</v>
      </c>
    </row>
    <row r="921" spans="1:10" x14ac:dyDescent="0.25">
      <c r="A921" s="56"/>
      <c r="B921" s="57"/>
      <c r="C921" s="111"/>
      <c r="D921" s="59"/>
      <c r="E921" s="271" t="str">
        <v/>
      </c>
      <c r="F921" s="43" t="str">
        <v/>
      </c>
      <c r="G921" s="33" t="str">
        <v/>
      </c>
      <c r="H921" s="43" t="e">
        <f ca="1"/>
        <v>#N/A</v>
      </c>
      <c r="I921" s="42" t="str">
        <f ca="1"/>
        <v/>
      </c>
      <c r="J921" s="54" t="s">
        <v>4</v>
      </c>
    </row>
    <row r="922" spans="1:10" x14ac:dyDescent="0.25">
      <c r="A922" s="56"/>
      <c r="B922" s="57"/>
      <c r="C922" s="111"/>
      <c r="D922" s="59"/>
      <c r="E922" s="271" t="str">
        <v/>
      </c>
      <c r="F922" s="43" t="str">
        <v/>
      </c>
      <c r="G922" s="33" t="str">
        <v/>
      </c>
      <c r="H922" s="43" t="e">
        <f ca="1"/>
        <v>#N/A</v>
      </c>
      <c r="I922" s="42" t="str">
        <f ca="1"/>
        <v/>
      </c>
      <c r="J922" s="54" t="s">
        <v>4</v>
      </c>
    </row>
    <row r="923" spans="1:10" x14ac:dyDescent="0.25">
      <c r="A923" s="56"/>
      <c r="B923" s="57"/>
      <c r="C923" s="111"/>
      <c r="D923" s="59"/>
      <c r="E923" s="271" t="str">
        <v/>
      </c>
      <c r="F923" s="43" t="str">
        <v/>
      </c>
      <c r="G923" s="33" t="str">
        <v/>
      </c>
      <c r="H923" s="43" t="e">
        <f ca="1"/>
        <v>#N/A</v>
      </c>
      <c r="I923" s="42" t="str">
        <f ca="1"/>
        <v/>
      </c>
      <c r="J923" s="54" t="s">
        <v>4</v>
      </c>
    </row>
    <row r="924" spans="1:10" x14ac:dyDescent="0.25">
      <c r="A924" s="56"/>
      <c r="B924" s="57"/>
      <c r="C924" s="111"/>
      <c r="D924" s="59"/>
      <c r="E924" s="271" t="str">
        <v/>
      </c>
      <c r="F924" s="43" t="str">
        <v/>
      </c>
      <c r="G924" s="33" t="str">
        <v/>
      </c>
      <c r="H924" s="43" t="e">
        <f ca="1"/>
        <v>#N/A</v>
      </c>
      <c r="I924" s="42" t="str">
        <f ca="1"/>
        <v/>
      </c>
      <c r="J924" s="54" t="s">
        <v>4</v>
      </c>
    </row>
    <row r="925" spans="1:10" x14ac:dyDescent="0.25">
      <c r="A925" s="56"/>
      <c r="B925" s="57"/>
      <c r="C925" s="111"/>
      <c r="D925" s="59"/>
      <c r="E925" s="271" t="str">
        <v/>
      </c>
      <c r="F925" s="43" t="str">
        <v/>
      </c>
      <c r="G925" s="33" t="str">
        <v/>
      </c>
      <c r="H925" s="43" t="e">
        <f ca="1"/>
        <v>#N/A</v>
      </c>
      <c r="I925" s="42" t="str">
        <f ca="1"/>
        <v/>
      </c>
      <c r="J925" s="54" t="s">
        <v>4</v>
      </c>
    </row>
    <row r="926" spans="1:10" x14ac:dyDescent="0.25">
      <c r="A926" s="56"/>
      <c r="B926" s="57"/>
      <c r="C926" s="111"/>
      <c r="D926" s="59"/>
      <c r="E926" s="271" t="str">
        <v/>
      </c>
      <c r="F926" s="43" t="str">
        <v/>
      </c>
      <c r="G926" s="33" t="str">
        <v/>
      </c>
      <c r="H926" s="43" t="e">
        <f ca="1"/>
        <v>#N/A</v>
      </c>
      <c r="I926" s="42" t="str">
        <f ca="1"/>
        <v/>
      </c>
      <c r="J926" s="54" t="s">
        <v>4</v>
      </c>
    </row>
    <row r="927" spans="1:10" x14ac:dyDescent="0.25">
      <c r="A927" s="56"/>
      <c r="B927" s="57"/>
      <c r="C927" s="111"/>
      <c r="D927" s="59"/>
      <c r="E927" s="271" t="str">
        <v/>
      </c>
      <c r="F927" s="43" t="str">
        <v/>
      </c>
      <c r="G927" s="33" t="str">
        <v/>
      </c>
      <c r="H927" s="43" t="e">
        <f ca="1"/>
        <v>#N/A</v>
      </c>
      <c r="I927" s="42" t="str">
        <f ca="1"/>
        <v/>
      </c>
      <c r="J927" s="54" t="s">
        <v>4</v>
      </c>
    </row>
    <row r="928" spans="1:10" x14ac:dyDescent="0.25">
      <c r="A928" s="56"/>
      <c r="B928" s="57"/>
      <c r="C928" s="111"/>
      <c r="D928" s="59"/>
      <c r="E928" s="271" t="str">
        <v/>
      </c>
      <c r="F928" s="43" t="str">
        <v/>
      </c>
      <c r="G928" s="33" t="str">
        <v/>
      </c>
      <c r="H928" s="43" t="e">
        <f ca="1"/>
        <v>#N/A</v>
      </c>
      <c r="I928" s="42" t="str">
        <f ca="1"/>
        <v/>
      </c>
      <c r="J928" s="54" t="s">
        <v>4</v>
      </c>
    </row>
    <row r="929" spans="1:10" x14ac:dyDescent="0.25">
      <c r="A929" s="56"/>
      <c r="B929" s="57"/>
      <c r="C929" s="111"/>
      <c r="D929" s="59"/>
      <c r="E929" s="271" t="str">
        <v/>
      </c>
      <c r="F929" s="43" t="str">
        <v/>
      </c>
      <c r="G929" s="33" t="str">
        <v/>
      </c>
      <c r="H929" s="43" t="e">
        <f ca="1"/>
        <v>#N/A</v>
      </c>
      <c r="I929" s="42" t="str">
        <f ca="1"/>
        <v/>
      </c>
      <c r="J929" s="54" t="s">
        <v>4</v>
      </c>
    </row>
    <row r="930" spans="1:10" x14ac:dyDescent="0.25">
      <c r="A930" s="56"/>
      <c r="B930" s="57"/>
      <c r="C930" s="111"/>
      <c r="D930" s="59"/>
      <c r="E930" s="271" t="str">
        <v/>
      </c>
      <c r="F930" s="43" t="str">
        <v/>
      </c>
      <c r="G930" s="33" t="str">
        <v/>
      </c>
      <c r="H930" s="43" t="e">
        <f ca="1"/>
        <v>#N/A</v>
      </c>
      <c r="I930" s="42" t="str">
        <f ca="1"/>
        <v/>
      </c>
      <c r="J930" s="54" t="s">
        <v>4</v>
      </c>
    </row>
    <row r="931" spans="1:10" x14ac:dyDescent="0.25">
      <c r="A931" s="56"/>
      <c r="B931" s="57"/>
      <c r="C931" s="111"/>
      <c r="D931" s="59"/>
      <c r="E931" s="271" t="str">
        <v/>
      </c>
      <c r="F931" s="43" t="str">
        <v/>
      </c>
      <c r="G931" s="33" t="str">
        <v/>
      </c>
      <c r="H931" s="43" t="e">
        <f ca="1"/>
        <v>#N/A</v>
      </c>
      <c r="I931" s="42" t="str">
        <f ca="1"/>
        <v/>
      </c>
      <c r="J931" s="54" t="s">
        <v>4</v>
      </c>
    </row>
    <row r="932" spans="1:10" x14ac:dyDescent="0.25">
      <c r="A932" s="56"/>
      <c r="B932" s="57"/>
      <c r="C932" s="111"/>
      <c r="D932" s="59"/>
      <c r="E932" s="271" t="str">
        <v/>
      </c>
      <c r="F932" s="43" t="str">
        <v/>
      </c>
      <c r="G932" s="33" t="str">
        <v/>
      </c>
      <c r="H932" s="43" t="e">
        <f ca="1"/>
        <v>#N/A</v>
      </c>
      <c r="I932" s="42" t="str">
        <f ca="1"/>
        <v/>
      </c>
      <c r="J932" s="54" t="s">
        <v>4</v>
      </c>
    </row>
    <row r="933" spans="1:10" x14ac:dyDescent="0.25">
      <c r="A933" s="56"/>
      <c r="B933" s="57"/>
      <c r="C933" s="111"/>
      <c r="D933" s="59"/>
      <c r="E933" s="271" t="str">
        <v/>
      </c>
      <c r="F933" s="43" t="str">
        <v/>
      </c>
      <c r="G933" s="33" t="str">
        <v/>
      </c>
      <c r="H933" s="43" t="e">
        <f ca="1"/>
        <v>#N/A</v>
      </c>
      <c r="I933" s="42" t="str">
        <f ca="1"/>
        <v/>
      </c>
      <c r="J933" s="54" t="s">
        <v>4</v>
      </c>
    </row>
    <row r="934" spans="1:10" x14ac:dyDescent="0.25">
      <c r="A934" s="56"/>
      <c r="B934" s="57"/>
      <c r="C934" s="111"/>
      <c r="D934" s="59"/>
      <c r="E934" s="271" t="str">
        <v/>
      </c>
      <c r="F934" s="43" t="str">
        <v/>
      </c>
      <c r="G934" s="33" t="str">
        <v/>
      </c>
      <c r="H934" s="43" t="e">
        <f ca="1"/>
        <v>#N/A</v>
      </c>
      <c r="I934" s="42" t="str">
        <f ca="1"/>
        <v/>
      </c>
      <c r="J934" s="54" t="s">
        <v>4</v>
      </c>
    </row>
    <row r="935" spans="1:10" x14ac:dyDescent="0.25">
      <c r="A935" s="56"/>
      <c r="B935" s="57"/>
      <c r="C935" s="111"/>
      <c r="D935" s="59"/>
      <c r="E935" s="271" t="str">
        <v/>
      </c>
      <c r="F935" s="43" t="str">
        <v/>
      </c>
      <c r="G935" s="33" t="str">
        <v/>
      </c>
      <c r="H935" s="43" t="e">
        <f ca="1"/>
        <v>#N/A</v>
      </c>
      <c r="I935" s="42" t="str">
        <f ca="1"/>
        <v/>
      </c>
      <c r="J935" s="54" t="s">
        <v>4</v>
      </c>
    </row>
    <row r="936" spans="1:10" x14ac:dyDescent="0.25">
      <c r="A936" s="56"/>
      <c r="B936" s="57"/>
      <c r="C936" s="111"/>
      <c r="D936" s="59"/>
      <c r="E936" s="271" t="str">
        <v/>
      </c>
      <c r="F936" s="43" t="str">
        <v/>
      </c>
      <c r="G936" s="33" t="str">
        <v/>
      </c>
      <c r="H936" s="43" t="e">
        <f ca="1"/>
        <v>#N/A</v>
      </c>
      <c r="I936" s="42" t="str">
        <f ca="1"/>
        <v/>
      </c>
      <c r="J936" s="54" t="s">
        <v>4</v>
      </c>
    </row>
    <row r="937" spans="1:10" x14ac:dyDescent="0.25">
      <c r="A937" s="56"/>
      <c r="B937" s="57"/>
      <c r="C937" s="111"/>
      <c r="D937" s="59"/>
      <c r="E937" s="271" t="str">
        <v/>
      </c>
      <c r="F937" s="43" t="str">
        <v/>
      </c>
      <c r="G937" s="33" t="str">
        <v/>
      </c>
      <c r="H937" s="43" t="e">
        <f ca="1"/>
        <v>#N/A</v>
      </c>
      <c r="I937" s="42" t="str">
        <f ca="1"/>
        <v/>
      </c>
      <c r="J937" s="54" t="s">
        <v>4</v>
      </c>
    </row>
    <row r="938" spans="1:10" x14ac:dyDescent="0.25">
      <c r="A938" s="56"/>
      <c r="B938" s="57"/>
      <c r="C938" s="111"/>
      <c r="D938" s="59"/>
      <c r="E938" s="271" t="str">
        <v/>
      </c>
      <c r="F938" s="43" t="str">
        <v/>
      </c>
      <c r="G938" s="33" t="str">
        <v/>
      </c>
      <c r="H938" s="43" t="e">
        <f ca="1"/>
        <v>#N/A</v>
      </c>
      <c r="I938" s="42" t="str">
        <f ca="1"/>
        <v/>
      </c>
      <c r="J938" s="54" t="s">
        <v>4</v>
      </c>
    </row>
    <row r="939" spans="1:10" x14ac:dyDescent="0.25">
      <c r="A939" s="56"/>
      <c r="B939" s="57"/>
      <c r="C939" s="111"/>
      <c r="D939" s="59"/>
      <c r="E939" s="271" t="str">
        <v/>
      </c>
      <c r="F939" s="43" t="str">
        <v/>
      </c>
      <c r="G939" s="33" t="str">
        <v/>
      </c>
      <c r="H939" s="43" t="e">
        <f ca="1"/>
        <v>#N/A</v>
      </c>
      <c r="I939" s="42" t="str">
        <f ca="1"/>
        <v/>
      </c>
      <c r="J939" s="54" t="s">
        <v>4</v>
      </c>
    </row>
    <row r="940" spans="1:10" x14ac:dyDescent="0.25">
      <c r="A940" s="56"/>
      <c r="B940" s="57"/>
      <c r="C940" s="111"/>
      <c r="D940" s="59"/>
      <c r="E940" s="271" t="str">
        <v/>
      </c>
      <c r="F940" s="43" t="str">
        <v/>
      </c>
      <c r="G940" s="33" t="str">
        <v/>
      </c>
      <c r="H940" s="43" t="e">
        <f ca="1"/>
        <v>#N/A</v>
      </c>
      <c r="I940" s="42" t="str">
        <f ca="1"/>
        <v/>
      </c>
      <c r="J940" s="54" t="s">
        <v>4</v>
      </c>
    </row>
    <row r="941" spans="1:10" x14ac:dyDescent="0.25">
      <c r="A941" s="56"/>
      <c r="B941" s="57"/>
      <c r="C941" s="111"/>
      <c r="D941" s="59"/>
      <c r="E941" s="271" t="str">
        <v/>
      </c>
      <c r="F941" s="43" t="str">
        <v/>
      </c>
      <c r="G941" s="33" t="str">
        <v/>
      </c>
      <c r="H941" s="43" t="e">
        <f ca="1"/>
        <v>#N/A</v>
      </c>
      <c r="I941" s="42" t="str">
        <f ca="1"/>
        <v/>
      </c>
      <c r="J941" s="54" t="s">
        <v>4</v>
      </c>
    </row>
    <row r="942" spans="1:10" x14ac:dyDescent="0.25">
      <c r="A942" s="56"/>
      <c r="B942" s="57"/>
      <c r="C942" s="111"/>
      <c r="D942" s="59"/>
      <c r="E942" s="271" t="str">
        <v/>
      </c>
      <c r="F942" s="43" t="str">
        <v/>
      </c>
      <c r="G942" s="33" t="str">
        <v/>
      </c>
      <c r="H942" s="43" t="e">
        <f ca="1"/>
        <v>#N/A</v>
      </c>
      <c r="I942" s="42" t="str">
        <f ca="1"/>
        <v/>
      </c>
      <c r="J942" s="54" t="s">
        <v>4</v>
      </c>
    </row>
    <row r="943" spans="1:10" x14ac:dyDescent="0.25">
      <c r="A943" s="56"/>
      <c r="B943" s="57"/>
      <c r="C943" s="111"/>
      <c r="D943" s="59"/>
      <c r="E943" s="271" t="str">
        <v/>
      </c>
      <c r="F943" s="43" t="str">
        <v/>
      </c>
      <c r="G943" s="33" t="str">
        <v/>
      </c>
      <c r="H943" s="43" t="e">
        <f ca="1"/>
        <v>#N/A</v>
      </c>
      <c r="I943" s="42" t="str">
        <f ca="1"/>
        <v/>
      </c>
      <c r="J943" s="54" t="s">
        <v>4</v>
      </c>
    </row>
    <row r="944" spans="1:10" x14ac:dyDescent="0.25">
      <c r="A944" s="56"/>
      <c r="B944" s="57"/>
      <c r="C944" s="111"/>
      <c r="D944" s="59"/>
      <c r="E944" s="271" t="str">
        <v/>
      </c>
      <c r="F944" s="43" t="str">
        <v/>
      </c>
      <c r="G944" s="33" t="str">
        <v/>
      </c>
      <c r="H944" s="43" t="e">
        <f ca="1"/>
        <v>#N/A</v>
      </c>
      <c r="I944" s="42" t="str">
        <f ca="1"/>
        <v/>
      </c>
      <c r="J944" s="54" t="s">
        <v>4</v>
      </c>
    </row>
    <row r="945" spans="1:10" x14ac:dyDescent="0.25">
      <c r="A945" s="56"/>
      <c r="B945" s="57"/>
      <c r="C945" s="111"/>
      <c r="D945" s="59"/>
      <c r="E945" s="271" t="str">
        <v/>
      </c>
      <c r="F945" s="43" t="str">
        <v/>
      </c>
      <c r="G945" s="33" t="str">
        <v/>
      </c>
      <c r="H945" s="43" t="e">
        <f ca="1"/>
        <v>#N/A</v>
      </c>
      <c r="I945" s="42" t="str">
        <f ca="1"/>
        <v/>
      </c>
      <c r="J945" s="54" t="s">
        <v>4</v>
      </c>
    </row>
    <row r="946" spans="1:10" x14ac:dyDescent="0.25">
      <c r="A946" s="56"/>
      <c r="B946" s="57"/>
      <c r="C946" s="111"/>
      <c r="D946" s="59"/>
      <c r="E946" s="271" t="str">
        <v/>
      </c>
      <c r="F946" s="43" t="str">
        <v/>
      </c>
      <c r="G946" s="33" t="str">
        <v/>
      </c>
      <c r="H946" s="43" t="e">
        <f ca="1"/>
        <v>#N/A</v>
      </c>
      <c r="I946" s="42" t="str">
        <f ca="1"/>
        <v/>
      </c>
      <c r="J946" s="54" t="s">
        <v>4</v>
      </c>
    </row>
    <row r="947" spans="1:10" x14ac:dyDescent="0.25">
      <c r="A947" s="56"/>
      <c r="B947" s="57"/>
      <c r="C947" s="111"/>
      <c r="D947" s="59"/>
      <c r="E947" s="271" t="str">
        <v/>
      </c>
      <c r="F947" s="43" t="str">
        <v/>
      </c>
      <c r="G947" s="33" t="str">
        <v/>
      </c>
      <c r="H947" s="43" t="e">
        <f ca="1"/>
        <v>#N/A</v>
      </c>
      <c r="I947" s="42" t="str">
        <f ca="1"/>
        <v/>
      </c>
      <c r="J947" s="54" t="s">
        <v>4</v>
      </c>
    </row>
    <row r="948" spans="1:10" x14ac:dyDescent="0.25">
      <c r="A948" s="56"/>
      <c r="B948" s="57"/>
      <c r="C948" s="111"/>
      <c r="D948" s="59"/>
      <c r="E948" s="271" t="str">
        <v/>
      </c>
      <c r="F948" s="43" t="str">
        <v/>
      </c>
      <c r="G948" s="33" t="str">
        <v/>
      </c>
      <c r="H948" s="43" t="e">
        <f ca="1"/>
        <v>#N/A</v>
      </c>
      <c r="I948" s="42" t="str">
        <f ca="1"/>
        <v/>
      </c>
      <c r="J948" s="54" t="s">
        <v>4</v>
      </c>
    </row>
    <row r="949" spans="1:10" x14ac:dyDescent="0.25">
      <c r="A949" s="56"/>
      <c r="B949" s="57"/>
      <c r="C949" s="111"/>
      <c r="D949" s="59"/>
      <c r="E949" s="271" t="str">
        <v/>
      </c>
      <c r="F949" s="43" t="str">
        <v/>
      </c>
      <c r="G949" s="33" t="str">
        <v/>
      </c>
      <c r="H949" s="43" t="e">
        <f ca="1"/>
        <v>#N/A</v>
      </c>
      <c r="I949" s="42" t="str">
        <f ca="1"/>
        <v/>
      </c>
      <c r="J949" s="54" t="s">
        <v>4</v>
      </c>
    </row>
    <row r="950" spans="1:10" x14ac:dyDescent="0.25">
      <c r="A950" s="56"/>
      <c r="B950" s="57"/>
      <c r="C950" s="111"/>
      <c r="D950" s="59"/>
      <c r="E950" s="271" t="str">
        <v/>
      </c>
      <c r="F950" s="43" t="str">
        <v/>
      </c>
      <c r="G950" s="33" t="str">
        <v/>
      </c>
      <c r="H950" s="43" t="e">
        <f ca="1"/>
        <v>#N/A</v>
      </c>
      <c r="I950" s="42" t="str">
        <f ca="1"/>
        <v/>
      </c>
      <c r="J950" s="54" t="s">
        <v>4</v>
      </c>
    </row>
    <row r="951" spans="1:10" x14ac:dyDescent="0.25">
      <c r="A951" s="56"/>
      <c r="B951" s="57"/>
      <c r="C951" s="111"/>
      <c r="D951" s="59"/>
      <c r="E951" s="271" t="str">
        <v/>
      </c>
      <c r="F951" s="43" t="str">
        <v/>
      </c>
      <c r="G951" s="33" t="str">
        <v/>
      </c>
      <c r="H951" s="43" t="e">
        <f ca="1"/>
        <v>#N/A</v>
      </c>
      <c r="I951" s="42" t="str">
        <f ca="1"/>
        <v/>
      </c>
      <c r="J951" s="54" t="s">
        <v>4</v>
      </c>
    </row>
    <row r="952" spans="1:10" x14ac:dyDescent="0.25">
      <c r="A952" s="56"/>
      <c r="B952" s="57"/>
      <c r="C952" s="111"/>
      <c r="D952" s="59"/>
      <c r="E952" s="271" t="str">
        <v/>
      </c>
      <c r="F952" s="43" t="str">
        <v/>
      </c>
      <c r="G952" s="33" t="str">
        <v/>
      </c>
      <c r="H952" s="43" t="e">
        <f ca="1"/>
        <v>#N/A</v>
      </c>
      <c r="I952" s="42" t="str">
        <f ca="1"/>
        <v/>
      </c>
      <c r="J952" s="54" t="s">
        <v>4</v>
      </c>
    </row>
    <row r="953" spans="1:10" x14ac:dyDescent="0.25">
      <c r="A953" s="56"/>
      <c r="B953" s="57"/>
      <c r="C953" s="111"/>
      <c r="D953" s="59"/>
      <c r="E953" s="271" t="str">
        <v/>
      </c>
      <c r="F953" s="43" t="str">
        <v/>
      </c>
      <c r="G953" s="33" t="str">
        <v/>
      </c>
      <c r="H953" s="43" t="e">
        <f ca="1"/>
        <v>#N/A</v>
      </c>
      <c r="I953" s="42" t="str">
        <f ca="1"/>
        <v/>
      </c>
      <c r="J953" s="54" t="s">
        <v>4</v>
      </c>
    </row>
    <row r="954" spans="1:10" x14ac:dyDescent="0.25">
      <c r="A954" s="56"/>
      <c r="B954" s="57"/>
      <c r="C954" s="111"/>
      <c r="D954" s="59"/>
      <c r="E954" s="271" t="str">
        <v/>
      </c>
      <c r="F954" s="43" t="str">
        <v/>
      </c>
      <c r="G954" s="33" t="str">
        <v/>
      </c>
      <c r="H954" s="43" t="e">
        <f ca="1"/>
        <v>#N/A</v>
      </c>
      <c r="I954" s="42" t="str">
        <f ca="1"/>
        <v/>
      </c>
      <c r="J954" s="54" t="s">
        <v>4</v>
      </c>
    </row>
    <row r="955" spans="1:10" x14ac:dyDescent="0.25">
      <c r="A955" s="56"/>
      <c r="B955" s="57"/>
      <c r="C955" s="111"/>
      <c r="D955" s="59"/>
      <c r="E955" s="271" t="str">
        <v/>
      </c>
      <c r="F955" s="43" t="str">
        <v/>
      </c>
      <c r="G955" s="33" t="str">
        <v/>
      </c>
      <c r="H955" s="43" t="e">
        <f ca="1"/>
        <v>#N/A</v>
      </c>
      <c r="I955" s="42" t="str">
        <f ca="1"/>
        <v/>
      </c>
      <c r="J955" s="54" t="s">
        <v>4</v>
      </c>
    </row>
    <row r="956" spans="1:10" x14ac:dyDescent="0.25">
      <c r="A956" s="56"/>
      <c r="B956" s="57"/>
      <c r="C956" s="111"/>
      <c r="D956" s="59"/>
      <c r="E956" s="271" t="str">
        <v/>
      </c>
      <c r="F956" s="43" t="str">
        <v/>
      </c>
      <c r="G956" s="33" t="str">
        <v/>
      </c>
      <c r="H956" s="43" t="e">
        <f ca="1"/>
        <v>#N/A</v>
      </c>
      <c r="I956" s="42" t="str">
        <f ca="1"/>
        <v/>
      </c>
      <c r="J956" s="54" t="s">
        <v>4</v>
      </c>
    </row>
    <row r="957" spans="1:10" x14ac:dyDescent="0.25">
      <c r="A957" s="56"/>
      <c r="B957" s="57"/>
      <c r="C957" s="111"/>
      <c r="D957" s="59"/>
      <c r="E957" s="271" t="str">
        <v/>
      </c>
      <c r="F957" s="43" t="str">
        <v/>
      </c>
      <c r="G957" s="33" t="str">
        <v/>
      </c>
      <c r="H957" s="43" t="e">
        <f ca="1"/>
        <v>#N/A</v>
      </c>
      <c r="I957" s="42" t="str">
        <f ca="1"/>
        <v/>
      </c>
      <c r="J957" s="54" t="s">
        <v>4</v>
      </c>
    </row>
    <row r="958" spans="1:10" x14ac:dyDescent="0.25">
      <c r="A958" s="56"/>
      <c r="B958" s="57"/>
      <c r="C958" s="111"/>
      <c r="D958" s="59"/>
      <c r="E958" s="271" t="str">
        <v/>
      </c>
      <c r="F958" s="43" t="str">
        <v/>
      </c>
      <c r="G958" s="33" t="str">
        <v/>
      </c>
      <c r="H958" s="43" t="e">
        <f ca="1"/>
        <v>#N/A</v>
      </c>
      <c r="I958" s="42" t="str">
        <f ca="1"/>
        <v/>
      </c>
      <c r="J958" s="54" t="s">
        <v>4</v>
      </c>
    </row>
    <row r="959" spans="1:10" x14ac:dyDescent="0.25">
      <c r="A959" s="56"/>
      <c r="B959" s="57"/>
      <c r="C959" s="111"/>
      <c r="D959" s="59"/>
      <c r="E959" s="271" t="str">
        <v/>
      </c>
      <c r="F959" s="43" t="str">
        <v/>
      </c>
      <c r="G959" s="33" t="str">
        <v/>
      </c>
      <c r="H959" s="43" t="e">
        <f ca="1"/>
        <v>#N/A</v>
      </c>
      <c r="I959" s="42" t="str">
        <f ca="1"/>
        <v/>
      </c>
      <c r="J959" s="54" t="s">
        <v>4</v>
      </c>
    </row>
    <row r="960" spans="1:10" x14ac:dyDescent="0.25">
      <c r="A960" s="56"/>
      <c r="B960" s="57"/>
      <c r="C960" s="111"/>
      <c r="D960" s="59"/>
      <c r="E960" s="271" t="str">
        <v/>
      </c>
      <c r="F960" s="43" t="str">
        <v/>
      </c>
      <c r="G960" s="33" t="str">
        <v/>
      </c>
      <c r="H960" s="43" t="e">
        <f ca="1"/>
        <v>#N/A</v>
      </c>
      <c r="I960" s="42" t="str">
        <f ca="1"/>
        <v/>
      </c>
      <c r="J960" s="54" t="s">
        <v>4</v>
      </c>
    </row>
    <row r="961" spans="1:10" x14ac:dyDescent="0.25">
      <c r="A961" s="56"/>
      <c r="B961" s="57"/>
      <c r="C961" s="111"/>
      <c r="D961" s="59"/>
      <c r="E961" s="271" t="str">
        <v/>
      </c>
      <c r="F961" s="43" t="str">
        <v/>
      </c>
      <c r="G961" s="33" t="str">
        <v/>
      </c>
      <c r="H961" s="43" t="e">
        <f ca="1"/>
        <v>#N/A</v>
      </c>
      <c r="I961" s="42" t="str">
        <f ca="1"/>
        <v/>
      </c>
      <c r="J961" s="54" t="s">
        <v>4</v>
      </c>
    </row>
    <row r="962" spans="1:10" x14ac:dyDescent="0.25">
      <c r="A962" s="56"/>
      <c r="B962" s="57"/>
      <c r="C962" s="111"/>
      <c r="D962" s="59"/>
      <c r="E962" s="271" t="str">
        <v/>
      </c>
      <c r="F962" s="43" t="str">
        <v/>
      </c>
      <c r="G962" s="33" t="str">
        <v/>
      </c>
      <c r="H962" s="43" t="e">
        <f ca="1"/>
        <v>#N/A</v>
      </c>
      <c r="I962" s="42" t="str">
        <f ca="1"/>
        <v/>
      </c>
      <c r="J962" s="54" t="s">
        <v>4</v>
      </c>
    </row>
    <row r="963" spans="1:10" x14ac:dyDescent="0.25">
      <c r="A963" s="56"/>
      <c r="B963" s="57"/>
      <c r="C963" s="111"/>
      <c r="D963" s="59"/>
      <c r="E963" s="271" t="str">
        <v/>
      </c>
      <c r="F963" s="43" t="str">
        <v/>
      </c>
      <c r="G963" s="33" t="str">
        <v/>
      </c>
      <c r="H963" s="43" t="e">
        <f ca="1"/>
        <v>#N/A</v>
      </c>
      <c r="I963" s="42" t="str">
        <f ca="1"/>
        <v/>
      </c>
      <c r="J963" s="54" t="s">
        <v>4</v>
      </c>
    </row>
    <row r="964" spans="1:10" x14ac:dyDescent="0.25">
      <c r="A964" s="56"/>
      <c r="B964" s="57"/>
      <c r="C964" s="111"/>
      <c r="D964" s="59"/>
      <c r="E964" s="271" t="str">
        <v/>
      </c>
      <c r="F964" s="43" t="str">
        <v/>
      </c>
      <c r="G964" s="33" t="str">
        <v/>
      </c>
      <c r="H964" s="43" t="e">
        <f ca="1"/>
        <v>#N/A</v>
      </c>
      <c r="I964" s="42" t="str">
        <f ca="1"/>
        <v/>
      </c>
      <c r="J964" s="54" t="s">
        <v>4</v>
      </c>
    </row>
    <row r="965" spans="1:10" x14ac:dyDescent="0.25">
      <c r="A965" s="56"/>
      <c r="B965" s="57"/>
      <c r="C965" s="111"/>
      <c r="D965" s="59"/>
      <c r="E965" s="271" t="str">
        <v/>
      </c>
      <c r="F965" s="43" t="str">
        <v/>
      </c>
      <c r="G965" s="33" t="str">
        <v/>
      </c>
      <c r="H965" s="43" t="e">
        <f ca="1"/>
        <v>#N/A</v>
      </c>
      <c r="I965" s="42" t="str">
        <f ca="1"/>
        <v/>
      </c>
      <c r="J965" s="54" t="s">
        <v>4</v>
      </c>
    </row>
    <row r="966" spans="1:10" x14ac:dyDescent="0.25">
      <c r="A966" s="56"/>
      <c r="B966" s="57"/>
      <c r="C966" s="111"/>
      <c r="D966" s="59"/>
      <c r="E966" s="271" t="str">
        <v/>
      </c>
      <c r="F966" s="43" t="str">
        <v/>
      </c>
      <c r="G966" s="33" t="str">
        <v/>
      </c>
      <c r="H966" s="43" t="e">
        <f ca="1"/>
        <v>#N/A</v>
      </c>
      <c r="I966" s="42" t="str">
        <f ca="1"/>
        <v/>
      </c>
      <c r="J966" s="54" t="s">
        <v>4</v>
      </c>
    </row>
    <row r="967" spans="1:10" x14ac:dyDescent="0.25">
      <c r="A967" s="56"/>
      <c r="B967" s="57"/>
      <c r="C967" s="111"/>
      <c r="D967" s="59"/>
      <c r="E967" s="271" t="str">
        <v/>
      </c>
      <c r="F967" s="43" t="str">
        <v/>
      </c>
      <c r="G967" s="33" t="str">
        <v/>
      </c>
      <c r="H967" s="43" t="e">
        <f ca="1"/>
        <v>#N/A</v>
      </c>
      <c r="I967" s="42" t="str">
        <f ca="1"/>
        <v/>
      </c>
      <c r="J967" s="54" t="s">
        <v>4</v>
      </c>
    </row>
    <row r="968" spans="1:10" x14ac:dyDescent="0.25">
      <c r="A968" s="56"/>
      <c r="B968" s="57"/>
      <c r="C968" s="111"/>
      <c r="D968" s="59"/>
      <c r="E968" s="271" t="str">
        <v/>
      </c>
      <c r="F968" s="43" t="str">
        <v/>
      </c>
      <c r="G968" s="33" t="str">
        <v/>
      </c>
      <c r="H968" s="43" t="e">
        <f ca="1"/>
        <v>#N/A</v>
      </c>
      <c r="I968" s="42" t="str">
        <f ca="1"/>
        <v/>
      </c>
      <c r="J968" s="54" t="s">
        <v>4</v>
      </c>
    </row>
    <row r="969" spans="1:10" x14ac:dyDescent="0.25">
      <c r="A969" s="56"/>
      <c r="B969" s="57"/>
      <c r="C969" s="111"/>
      <c r="D969" s="59"/>
      <c r="E969" s="271" t="str">
        <v/>
      </c>
      <c r="F969" s="43" t="str">
        <v/>
      </c>
      <c r="G969" s="33" t="str">
        <v/>
      </c>
      <c r="H969" s="43" t="e">
        <f ca="1"/>
        <v>#N/A</v>
      </c>
      <c r="I969" s="42" t="str">
        <f ca="1"/>
        <v/>
      </c>
      <c r="J969" s="54" t="s">
        <v>4</v>
      </c>
    </row>
    <row r="970" spans="1:10" x14ac:dyDescent="0.25">
      <c r="A970" s="56"/>
      <c r="B970" s="57"/>
      <c r="C970" s="111"/>
      <c r="D970" s="59"/>
      <c r="E970" s="271" t="str">
        <v/>
      </c>
      <c r="F970" s="43" t="str">
        <v/>
      </c>
      <c r="G970" s="33" t="str">
        <v/>
      </c>
      <c r="H970" s="43" t="e">
        <f ca="1"/>
        <v>#N/A</v>
      </c>
      <c r="I970" s="42" t="str">
        <f ca="1"/>
        <v/>
      </c>
      <c r="J970" s="54" t="s">
        <v>4</v>
      </c>
    </row>
    <row r="971" spans="1:10" x14ac:dyDescent="0.25">
      <c r="A971" s="56"/>
      <c r="B971" s="57"/>
      <c r="C971" s="111"/>
      <c r="D971" s="59"/>
      <c r="E971" s="271" t="str">
        <v/>
      </c>
      <c r="F971" s="43" t="str">
        <v/>
      </c>
      <c r="G971" s="33" t="str">
        <v/>
      </c>
      <c r="H971" s="43" t="e">
        <f ca="1"/>
        <v>#N/A</v>
      </c>
      <c r="I971" s="42" t="str">
        <f ca="1"/>
        <v/>
      </c>
      <c r="J971" s="54" t="s">
        <v>4</v>
      </c>
    </row>
    <row r="972" spans="1:10" x14ac:dyDescent="0.25">
      <c r="A972" s="56"/>
      <c r="B972" s="57"/>
      <c r="C972" s="111"/>
      <c r="D972" s="59"/>
      <c r="E972" s="271" t="str">
        <v/>
      </c>
      <c r="F972" s="43" t="str">
        <v/>
      </c>
      <c r="G972" s="33" t="str">
        <v/>
      </c>
      <c r="H972" s="43" t="e">
        <f ca="1"/>
        <v>#N/A</v>
      </c>
      <c r="I972" s="42" t="str">
        <f ca="1"/>
        <v/>
      </c>
      <c r="J972" s="54" t="s">
        <v>4</v>
      </c>
    </row>
    <row r="973" spans="1:10" x14ac:dyDescent="0.25">
      <c r="A973" s="56"/>
      <c r="B973" s="57"/>
      <c r="C973" s="111"/>
      <c r="D973" s="59"/>
      <c r="E973" s="271" t="str">
        <v/>
      </c>
      <c r="F973" s="43" t="str">
        <v/>
      </c>
      <c r="G973" s="33" t="str">
        <v/>
      </c>
      <c r="H973" s="43" t="e">
        <f ca="1"/>
        <v>#N/A</v>
      </c>
      <c r="I973" s="42" t="str">
        <f ca="1"/>
        <v/>
      </c>
      <c r="J973" s="54" t="s">
        <v>4</v>
      </c>
    </row>
    <row r="974" spans="1:10" x14ac:dyDescent="0.25">
      <c r="A974" s="56"/>
      <c r="B974" s="57"/>
      <c r="C974" s="111"/>
      <c r="D974" s="59"/>
      <c r="E974" s="271" t="str">
        <v/>
      </c>
      <c r="F974" s="43" t="str">
        <v/>
      </c>
      <c r="G974" s="33" t="str">
        <v/>
      </c>
      <c r="H974" s="43" t="e">
        <f ca="1"/>
        <v>#N/A</v>
      </c>
      <c r="I974" s="42" t="str">
        <f ca="1"/>
        <v/>
      </c>
      <c r="J974" s="54" t="s">
        <v>4</v>
      </c>
    </row>
    <row r="975" spans="1:10" x14ac:dyDescent="0.25">
      <c r="A975" s="56"/>
      <c r="B975" s="57"/>
      <c r="C975" s="111"/>
      <c r="D975" s="59"/>
      <c r="E975" s="271" t="str">
        <v/>
      </c>
      <c r="F975" s="43" t="str">
        <v/>
      </c>
      <c r="G975" s="33" t="str">
        <v/>
      </c>
      <c r="H975" s="43" t="e">
        <f ca="1"/>
        <v>#N/A</v>
      </c>
      <c r="I975" s="42" t="str">
        <f ca="1"/>
        <v/>
      </c>
      <c r="J975" s="54" t="s">
        <v>4</v>
      </c>
    </row>
    <row r="976" spans="1:10" x14ac:dyDescent="0.25">
      <c r="A976" s="56"/>
      <c r="B976" s="57"/>
      <c r="C976" s="111"/>
      <c r="D976" s="59"/>
      <c r="E976" s="271" t="str">
        <v/>
      </c>
      <c r="F976" s="43" t="str">
        <v/>
      </c>
      <c r="G976" s="33" t="str">
        <v/>
      </c>
      <c r="H976" s="43" t="e">
        <f ca="1"/>
        <v>#N/A</v>
      </c>
      <c r="I976" s="42" t="str">
        <f ca="1"/>
        <v/>
      </c>
      <c r="J976" s="54" t="s">
        <v>4</v>
      </c>
    </row>
    <row r="977" spans="1:10" x14ac:dyDescent="0.25">
      <c r="A977" s="56"/>
      <c r="B977" s="57"/>
      <c r="C977" s="111"/>
      <c r="D977" s="59"/>
      <c r="E977" s="271" t="str">
        <v/>
      </c>
      <c r="F977" s="43" t="str">
        <v/>
      </c>
      <c r="G977" s="33" t="str">
        <v/>
      </c>
      <c r="H977" s="43" t="e">
        <f ca="1"/>
        <v>#N/A</v>
      </c>
      <c r="I977" s="42" t="str">
        <f ca="1"/>
        <v/>
      </c>
      <c r="J977" s="54" t="s">
        <v>4</v>
      </c>
    </row>
    <row r="978" spans="1:10" x14ac:dyDescent="0.25">
      <c r="A978" s="56"/>
      <c r="B978" s="57"/>
      <c r="C978" s="111"/>
      <c r="D978" s="59"/>
      <c r="E978" s="271" t="str">
        <v/>
      </c>
      <c r="F978" s="43" t="str">
        <v/>
      </c>
      <c r="G978" s="33" t="str">
        <v/>
      </c>
      <c r="H978" s="43" t="e">
        <f ca="1"/>
        <v>#N/A</v>
      </c>
      <c r="I978" s="42" t="str">
        <f ca="1"/>
        <v/>
      </c>
      <c r="J978" s="54" t="s">
        <v>4</v>
      </c>
    </row>
    <row r="979" spans="1:10" x14ac:dyDescent="0.25">
      <c r="A979" s="56"/>
      <c r="B979" s="57"/>
      <c r="C979" s="111"/>
      <c r="D979" s="59"/>
      <c r="E979" s="271" t="str">
        <v/>
      </c>
      <c r="F979" s="43" t="str">
        <v/>
      </c>
      <c r="G979" s="33" t="str">
        <v/>
      </c>
      <c r="H979" s="43" t="e">
        <f ca="1"/>
        <v>#N/A</v>
      </c>
      <c r="I979" s="42" t="str">
        <f ca="1"/>
        <v/>
      </c>
      <c r="J979" s="54" t="s">
        <v>4</v>
      </c>
    </row>
    <row r="980" spans="1:10" x14ac:dyDescent="0.25">
      <c r="A980" s="56"/>
      <c r="B980" s="57"/>
      <c r="C980" s="111"/>
      <c r="D980" s="59"/>
      <c r="E980" s="271" t="str">
        <v/>
      </c>
      <c r="F980" s="43" t="str">
        <v/>
      </c>
      <c r="G980" s="33" t="str">
        <v/>
      </c>
      <c r="H980" s="43" t="e">
        <f ca="1"/>
        <v>#N/A</v>
      </c>
      <c r="I980" s="42" t="str">
        <f ca="1"/>
        <v/>
      </c>
      <c r="J980" s="54" t="s">
        <v>4</v>
      </c>
    </row>
    <row r="981" spans="1:10" x14ac:dyDescent="0.25">
      <c r="A981" s="56"/>
      <c r="B981" s="57"/>
      <c r="C981" s="111"/>
      <c r="D981" s="59"/>
      <c r="E981" s="271" t="str">
        <v/>
      </c>
      <c r="F981" s="43" t="str">
        <v/>
      </c>
      <c r="G981" s="33" t="str">
        <v/>
      </c>
      <c r="H981" s="43" t="e">
        <f ca="1"/>
        <v>#N/A</v>
      </c>
      <c r="I981" s="42" t="str">
        <f ca="1"/>
        <v/>
      </c>
      <c r="J981" s="54" t="s">
        <v>4</v>
      </c>
    </row>
    <row r="982" spans="1:10" x14ac:dyDescent="0.25">
      <c r="A982" s="56"/>
      <c r="B982" s="57"/>
      <c r="C982" s="111"/>
      <c r="D982" s="59"/>
      <c r="E982" s="271" t="str">
        <v/>
      </c>
      <c r="F982" s="43" t="str">
        <v/>
      </c>
      <c r="G982" s="33" t="str">
        <v/>
      </c>
      <c r="H982" s="43" t="e">
        <f ca="1"/>
        <v>#N/A</v>
      </c>
      <c r="I982" s="42" t="str">
        <f ca="1"/>
        <v/>
      </c>
      <c r="J982" s="54" t="s">
        <v>4</v>
      </c>
    </row>
    <row r="983" spans="1:10" x14ac:dyDescent="0.25">
      <c r="A983" s="56"/>
      <c r="B983" s="57"/>
      <c r="C983" s="111"/>
      <c r="D983" s="59"/>
      <c r="E983" s="271" t="str">
        <v/>
      </c>
      <c r="F983" s="43" t="str">
        <v/>
      </c>
      <c r="G983" s="33" t="str">
        <v/>
      </c>
      <c r="H983" s="43" t="e">
        <f ca="1"/>
        <v>#N/A</v>
      </c>
      <c r="I983" s="42" t="str">
        <f ca="1"/>
        <v/>
      </c>
      <c r="J983" s="54" t="s">
        <v>4</v>
      </c>
    </row>
    <row r="984" spans="1:10" x14ac:dyDescent="0.25">
      <c r="A984" s="56"/>
      <c r="B984" s="57"/>
      <c r="C984" s="111"/>
      <c r="D984" s="59"/>
      <c r="E984" s="271" t="str">
        <v/>
      </c>
      <c r="F984" s="43" t="str">
        <v/>
      </c>
      <c r="G984" s="33" t="str">
        <v/>
      </c>
      <c r="H984" s="43" t="e">
        <f ca="1"/>
        <v>#N/A</v>
      </c>
      <c r="I984" s="42" t="str">
        <f ca="1"/>
        <v/>
      </c>
      <c r="J984" s="54" t="s">
        <v>4</v>
      </c>
    </row>
    <row r="985" spans="1:10" x14ac:dyDescent="0.25">
      <c r="A985" s="56"/>
      <c r="B985" s="57"/>
      <c r="C985" s="111"/>
      <c r="D985" s="59"/>
      <c r="E985" s="271" t="str">
        <v/>
      </c>
      <c r="F985" s="43" t="str">
        <v/>
      </c>
      <c r="G985" s="33" t="str">
        <v/>
      </c>
      <c r="H985" s="43" t="e">
        <f ca="1"/>
        <v>#N/A</v>
      </c>
      <c r="I985" s="42" t="str">
        <f ca="1"/>
        <v/>
      </c>
      <c r="J985" s="54" t="s">
        <v>4</v>
      </c>
    </row>
    <row r="986" spans="1:10" x14ac:dyDescent="0.25">
      <c r="A986" s="56"/>
      <c r="B986" s="57"/>
      <c r="C986" s="111"/>
      <c r="D986" s="59"/>
      <c r="E986" s="271" t="str">
        <v/>
      </c>
      <c r="F986" s="43" t="str">
        <v/>
      </c>
      <c r="G986" s="33" t="str">
        <v/>
      </c>
      <c r="H986" s="43" t="e">
        <f ca="1"/>
        <v>#N/A</v>
      </c>
      <c r="I986" s="42" t="str">
        <f ca="1"/>
        <v/>
      </c>
      <c r="J986" s="54" t="s">
        <v>4</v>
      </c>
    </row>
    <row r="987" spans="1:10" x14ac:dyDescent="0.25">
      <c r="A987" s="56"/>
      <c r="B987" s="57"/>
      <c r="C987" s="111"/>
      <c r="D987" s="59"/>
      <c r="E987" s="271" t="str">
        <v/>
      </c>
      <c r="F987" s="43" t="str">
        <v/>
      </c>
      <c r="G987" s="33" t="str">
        <v/>
      </c>
      <c r="H987" s="43" t="e">
        <f ca="1"/>
        <v>#N/A</v>
      </c>
      <c r="I987" s="42" t="str">
        <f ca="1"/>
        <v/>
      </c>
      <c r="J987" s="54" t="s">
        <v>4</v>
      </c>
    </row>
    <row r="988" spans="1:10" x14ac:dyDescent="0.25">
      <c r="A988" s="56"/>
      <c r="B988" s="57"/>
      <c r="C988" s="111"/>
      <c r="D988" s="59"/>
      <c r="E988" s="271" t="str">
        <v/>
      </c>
      <c r="F988" s="43" t="str">
        <v/>
      </c>
      <c r="G988" s="33" t="str">
        <v/>
      </c>
      <c r="H988" s="43" t="e">
        <f ca="1"/>
        <v>#N/A</v>
      </c>
      <c r="I988" s="42" t="str">
        <f ca="1"/>
        <v/>
      </c>
      <c r="J988" s="54" t="s">
        <v>4</v>
      </c>
    </row>
    <row r="989" spans="1:10" x14ac:dyDescent="0.25">
      <c r="A989" s="56"/>
      <c r="B989" s="57"/>
      <c r="C989" s="111"/>
      <c r="D989" s="59"/>
      <c r="E989" s="271" t="str">
        <v/>
      </c>
      <c r="F989" s="43" t="str">
        <v/>
      </c>
      <c r="G989" s="33" t="str">
        <v/>
      </c>
      <c r="H989" s="43" t="e">
        <f ca="1"/>
        <v>#N/A</v>
      </c>
      <c r="I989" s="42" t="str">
        <f ca="1"/>
        <v/>
      </c>
      <c r="J989" s="54" t="s">
        <v>4</v>
      </c>
    </row>
    <row r="990" spans="1:10" x14ac:dyDescent="0.25">
      <c r="A990" s="56"/>
      <c r="B990" s="57"/>
      <c r="C990" s="111"/>
      <c r="D990" s="59"/>
      <c r="E990" s="271" t="str">
        <v/>
      </c>
      <c r="F990" s="43" t="str">
        <v/>
      </c>
      <c r="G990" s="33" t="str">
        <v/>
      </c>
      <c r="H990" s="43" t="e">
        <f ca="1"/>
        <v>#N/A</v>
      </c>
      <c r="I990" s="42" t="str">
        <f ca="1"/>
        <v/>
      </c>
      <c r="J990" s="54" t="s">
        <v>4</v>
      </c>
    </row>
    <row r="991" spans="1:10" x14ac:dyDescent="0.25">
      <c r="A991" s="56"/>
      <c r="B991" s="57"/>
      <c r="C991" s="111"/>
      <c r="D991" s="59"/>
      <c r="E991" s="271" t="str">
        <v/>
      </c>
      <c r="F991" s="43" t="str">
        <v/>
      </c>
      <c r="G991" s="33" t="str">
        <v/>
      </c>
      <c r="H991" s="43" t="e">
        <f ca="1"/>
        <v>#N/A</v>
      </c>
      <c r="I991" s="42" t="str">
        <f ca="1"/>
        <v/>
      </c>
      <c r="J991" s="54" t="s">
        <v>4</v>
      </c>
    </row>
    <row r="992" spans="1:10" x14ac:dyDescent="0.25">
      <c r="A992" s="56"/>
      <c r="B992" s="57"/>
      <c r="C992" s="111"/>
      <c r="D992" s="59"/>
      <c r="E992" s="271" t="str">
        <v/>
      </c>
      <c r="F992" s="43" t="str">
        <v/>
      </c>
      <c r="G992" s="33" t="str">
        <v/>
      </c>
      <c r="H992" s="43" t="e">
        <f ca="1"/>
        <v>#N/A</v>
      </c>
      <c r="I992" s="42" t="str">
        <f ca="1"/>
        <v/>
      </c>
      <c r="J992" s="54" t="s">
        <v>4</v>
      </c>
    </row>
    <row r="993" spans="1:12" x14ac:dyDescent="0.25">
      <c r="A993" s="56"/>
      <c r="B993" s="57"/>
      <c r="C993" s="111"/>
      <c r="D993" s="59"/>
      <c r="E993" s="271" t="str">
        <v/>
      </c>
      <c r="F993" s="43" t="str">
        <v/>
      </c>
      <c r="G993" s="33" t="str">
        <v/>
      </c>
      <c r="H993" s="43" t="e">
        <f ca="1"/>
        <v>#N/A</v>
      </c>
      <c r="I993" s="42" t="str">
        <f ca="1"/>
        <v/>
      </c>
      <c r="J993" s="54" t="s">
        <v>4</v>
      </c>
    </row>
    <row r="994" spans="1:12" x14ac:dyDescent="0.25">
      <c r="A994" s="56"/>
      <c r="B994" s="57"/>
      <c r="C994" s="111"/>
      <c r="D994" s="59"/>
      <c r="E994" s="271" t="str">
        <v/>
      </c>
      <c r="F994" s="43" t="str">
        <v/>
      </c>
      <c r="G994" s="33" t="str">
        <v/>
      </c>
      <c r="H994" s="43" t="e">
        <f ca="1"/>
        <v>#N/A</v>
      </c>
      <c r="I994" s="42" t="str">
        <f ca="1"/>
        <v/>
      </c>
      <c r="J994" s="54" t="s">
        <v>4</v>
      </c>
    </row>
    <row r="995" spans="1:12" x14ac:dyDescent="0.25">
      <c r="A995" s="56"/>
      <c r="B995" s="57"/>
      <c r="C995" s="111"/>
      <c r="D995" s="59"/>
      <c r="E995" s="271" t="str">
        <v/>
      </c>
      <c r="F995" s="43" t="str">
        <v/>
      </c>
      <c r="G995" s="43" t="str">
        <v/>
      </c>
      <c r="H995" s="43" t="e">
        <f ca="1"/>
        <v>#N/A</v>
      </c>
      <c r="I995" s="42" t="str">
        <f ca="1"/>
        <v/>
      </c>
      <c r="J995" s="54" t="s">
        <v>4</v>
      </c>
    </row>
    <row r="996" spans="1:12" x14ac:dyDescent="0.25">
      <c r="A996" s="56"/>
      <c r="B996" s="57"/>
      <c r="C996" s="111"/>
      <c r="D996" s="59"/>
      <c r="E996" s="271" t="str">
        <v/>
      </c>
      <c r="F996" s="115" t="str">
        <v/>
      </c>
      <c r="G996" s="43" t="str">
        <v/>
      </c>
      <c r="H996" s="43" t="e">
        <f ca="1"/>
        <v>#N/A</v>
      </c>
      <c r="I996" s="42" t="str">
        <f ca="1"/>
        <v/>
      </c>
      <c r="J996" s="54" t="s">
        <v>4</v>
      </c>
    </row>
    <row r="997" spans="1:12" x14ac:dyDescent="0.25">
      <c r="A997" s="56"/>
      <c r="B997" s="57"/>
      <c r="C997" s="111"/>
      <c r="D997" s="59"/>
      <c r="E997" s="271" t="str">
        <v/>
      </c>
      <c r="F997" s="115" t="str">
        <v/>
      </c>
      <c r="G997" s="43" t="str">
        <v/>
      </c>
      <c r="H997" s="43" t="e">
        <f ca="1"/>
        <v>#N/A</v>
      </c>
      <c r="I997" s="42" t="str">
        <f ca="1"/>
        <v/>
      </c>
      <c r="J997" s="54" t="s">
        <v>4</v>
      </c>
    </row>
    <row r="998" spans="1:12" x14ac:dyDescent="0.25">
      <c r="A998" s="56"/>
      <c r="B998" s="57"/>
      <c r="C998" s="111"/>
      <c r="D998" s="59"/>
      <c r="E998" s="271" t="str">
        <v/>
      </c>
      <c r="F998" s="115" t="str">
        <v/>
      </c>
      <c r="G998" s="43" t="str">
        <v/>
      </c>
      <c r="H998" s="43" t="e">
        <f ca="1"/>
        <v>#N/A</v>
      </c>
      <c r="I998" s="42" t="str">
        <f ca="1"/>
        <v/>
      </c>
      <c r="J998" s="54" t="s">
        <v>4</v>
      </c>
    </row>
    <row r="999" spans="1:12" x14ac:dyDescent="0.25">
      <c r="A999" s="56"/>
      <c r="B999" s="57"/>
      <c r="C999" s="111"/>
      <c r="D999" s="59"/>
      <c r="E999" s="271" t="str">
        <v/>
      </c>
      <c r="F999" s="115" t="str">
        <v/>
      </c>
      <c r="G999" s="43" t="str">
        <v/>
      </c>
      <c r="H999" s="43" t="e">
        <f ca="1"/>
        <v>#N/A</v>
      </c>
      <c r="I999" s="42" t="str">
        <f ca="1"/>
        <v/>
      </c>
      <c r="J999" s="54" t="s">
        <v>4</v>
      </c>
    </row>
    <row r="1000" spans="1:12" x14ac:dyDescent="0.25">
      <c r="A1000" s="116"/>
      <c r="B1000" s="117"/>
      <c r="C1000" s="118"/>
      <c r="D1000" s="119"/>
      <c r="E1000" s="272" t="str">
        <v/>
      </c>
      <c r="F1000" s="120" t="str">
        <v/>
      </c>
      <c r="G1000" s="43" t="str">
        <v/>
      </c>
      <c r="H1000" s="43" t="e">
        <f ca="1"/>
        <v>#N/A</v>
      </c>
      <c r="I1000" t="str">
        <f ca="1"/>
        <v/>
      </c>
      <c r="J1000" s="246" t="s">
        <v>4</v>
      </c>
      <c r="L1000" s="229"/>
    </row>
    <row r="1001" spans="1:12" x14ac:dyDescent="0.25">
      <c r="D1001" s="19"/>
      <c r="F1001" s="122">
        <f>IF(MyLBoundC=0,$M$106,"")</f>
        <v>-500</v>
      </c>
      <c r="G1001" s="43" t="str">
        <v/>
      </c>
      <c r="H1001" s="43" t="e">
        <f ca="1"/>
        <v>#N/A</v>
      </c>
      <c r="I1001" s="42" t="str">
        <f ca="1"/>
        <v/>
      </c>
    </row>
    <row r="1002" spans="1:12" x14ac:dyDescent="0.25">
      <c r="D1002" s="19"/>
      <c r="F1002" s="123">
        <f>IF(MyUBoundC=0,$N$106,"")</f>
        <v>3000</v>
      </c>
      <c r="G1002" s="43" t="str">
        <v/>
      </c>
      <c r="H1002" s="43" t="e">
        <f ca="1"/>
        <v>#N/A</v>
      </c>
      <c r="I1002" s="42" t="str">
        <f ca="1"/>
        <v/>
      </c>
    </row>
    <row r="1003" spans="1:12" x14ac:dyDescent="0.25">
      <c r="D1003" s="19"/>
      <c r="F1003" s="124">
        <f>IF(ISERROR(LARGE($F$6:$F$1000,COUNTIF($F$6:$F$1000,"&gt;=" &amp; MIN($N$80:$N$103))+1)+MyLists!$F$2),"",LARGE($F$6:$F$1000,COUNTIF($F$6:$F$1000,"&gt;=" &amp; MIN($N$80:$N$103))+1)+MyLists!$F$2)</f>
        <v>82.199999999999989</v>
      </c>
      <c r="G1003" s="43" t="str">
        <v/>
      </c>
      <c r="H1003" s="43" t="e">
        <f ca="1"/>
        <v>#N/A</v>
      </c>
      <c r="I1003" s="42" t="str">
        <f ca="1"/>
        <v/>
      </c>
    </row>
    <row r="1004" spans="1:12" x14ac:dyDescent="0.25">
      <c r="D1004" s="19"/>
      <c r="F1004" s="124">
        <f>IF(ISERROR(SMALL($F$6:$F$1000,COUNTIF($F$6:$F$1000,"&lt;="&amp;MAX($M$80:$M$103))+1)-(MyLists!$F$2+MyLists!$F$2)),"",SMALL($F$6:$F$1000,COUNTIF($F$6:$F$1000,"&lt;="&amp;MAX($M$80:$M$103))+1)-(MyLists!$F$2+MyLists!$F$2))</f>
        <v>42.699999999999996</v>
      </c>
      <c r="G1004" s="43" t="str">
        <v/>
      </c>
      <c r="H1004" s="43" t="e">
        <f ca="1"/>
        <v>#N/A</v>
      </c>
      <c r="I1004" s="42" t="str">
        <f ca="1"/>
        <v/>
      </c>
    </row>
    <row r="1005" spans="1:12" x14ac:dyDescent="0.25">
      <c r="D1005" s="19"/>
      <c r="F1005" s="125">
        <f>IF(F1003&lt;&gt;"",MAX($F$6:$F$1000,$N$80:$N$103)+MyLists!$F$2,"")</f>
        <v>1000.1</v>
      </c>
      <c r="G1005" s="43" t="str">
        <v/>
      </c>
      <c r="H1005" s="43" t="e">
        <f ca="1"/>
        <v>#N/A</v>
      </c>
      <c r="I1005" s="42" t="str">
        <f ca="1"/>
        <v/>
      </c>
    </row>
    <row r="1006" spans="1:12" x14ac:dyDescent="0.25">
      <c r="D1006" s="19"/>
      <c r="F1006" s="126">
        <f>IF(F1004&lt;&gt;"",MIN($F$6:$F$1000,$M$80:$M$103)-MyLists!$F$2,"")</f>
        <v>-100.1</v>
      </c>
      <c r="G1006" s="43" t="str">
        <v/>
      </c>
      <c r="H1006" s="43" t="e">
        <f ca="1"/>
        <v>#N/A</v>
      </c>
      <c r="I1006" s="42" t="str">
        <f ca="1"/>
        <v/>
      </c>
    </row>
    <row r="1007" spans="1:12" x14ac:dyDescent="0.25">
      <c r="D1007" s="19"/>
      <c r="F1007" s="127"/>
      <c r="G1007" s="43" t="str">
        <v/>
      </c>
      <c r="H1007" s="43" t="e">
        <f ca="1"/>
        <v>#N/A</v>
      </c>
      <c r="I1007" s="42" t="str">
        <f ca="1"/>
        <v/>
      </c>
    </row>
    <row r="1008" spans="1:12" x14ac:dyDescent="0.25">
      <c r="D1008" s="19"/>
      <c r="F1008" s="127"/>
      <c r="G1008" s="43" t="str">
        <v/>
      </c>
      <c r="H1008" s="43" t="e">
        <f ca="1"/>
        <v>#N/A</v>
      </c>
      <c r="I1008" s="42" t="str">
        <f ca="1"/>
        <v/>
      </c>
    </row>
    <row r="1009" spans="4:9" x14ac:dyDescent="0.25">
      <c r="D1009" s="19"/>
      <c r="G1009" s="43" t="str">
        <v/>
      </c>
      <c r="H1009" s="43" t="e">
        <f ca="1"/>
        <v>#N/A</v>
      </c>
      <c r="I1009" s="42" t="str">
        <f ca="1"/>
        <v/>
      </c>
    </row>
    <row r="1010" spans="4:9" x14ac:dyDescent="0.25">
      <c r="D1010" s="19"/>
      <c r="G1010" s="43" t="str">
        <v/>
      </c>
      <c r="H1010" s="43" t="e">
        <f ca="1"/>
        <v>#N/A</v>
      </c>
      <c r="I1010" s="42" t="str">
        <f ca="1"/>
        <v/>
      </c>
    </row>
    <row r="1011" spans="4:9" x14ac:dyDescent="0.25">
      <c r="D1011" s="19"/>
      <c r="G1011" s="43" t="str">
        <v/>
      </c>
      <c r="H1011" s="43" t="e">
        <f ca="1"/>
        <v>#N/A</v>
      </c>
      <c r="I1011" s="42" t="str">
        <f ca="1"/>
        <v/>
      </c>
    </row>
    <row r="1012" spans="4:9" x14ac:dyDescent="0.25">
      <c r="D1012" s="19"/>
      <c r="G1012" s="43" t="str">
        <v/>
      </c>
      <c r="H1012" s="43" t="e">
        <f ca="1"/>
        <v>#N/A</v>
      </c>
      <c r="I1012" s="42" t="str">
        <f ca="1"/>
        <v/>
      </c>
    </row>
    <row r="1013" spans="4:9" x14ac:dyDescent="0.25">
      <c r="D1013" s="19"/>
      <c r="G1013" s="43" t="str">
        <v/>
      </c>
      <c r="H1013" s="43" t="e">
        <f ca="1"/>
        <v>#N/A</v>
      </c>
      <c r="I1013" s="42" t="str">
        <f ca="1"/>
        <v/>
      </c>
    </row>
    <row r="1014" spans="4:9" x14ac:dyDescent="0.25">
      <c r="D1014" s="19"/>
      <c r="G1014" s="43" t="str">
        <v/>
      </c>
      <c r="H1014" s="43" t="e">
        <f ca="1"/>
        <v>#N/A</v>
      </c>
      <c r="I1014" s="42" t="str">
        <f ca="1"/>
        <v/>
      </c>
    </row>
    <row r="1015" spans="4:9" x14ac:dyDescent="0.25">
      <c r="D1015" s="19"/>
      <c r="G1015" s="43" t="str">
        <v/>
      </c>
      <c r="H1015" s="43" t="e">
        <f ca="1"/>
        <v>#N/A</v>
      </c>
      <c r="I1015" s="42" t="str">
        <f ca="1"/>
        <v/>
      </c>
    </row>
    <row r="1016" spans="4:9" x14ac:dyDescent="0.25">
      <c r="D1016" s="19"/>
      <c r="G1016" s="43" t="str">
        <v/>
      </c>
      <c r="H1016" s="43" t="e">
        <f ca="1"/>
        <v>#N/A</v>
      </c>
      <c r="I1016" s="42" t="str">
        <f ca="1"/>
        <v/>
      </c>
    </row>
    <row r="1017" spans="4:9" x14ac:dyDescent="0.25">
      <c r="D1017" s="19"/>
      <c r="G1017" s="43" t="str">
        <v/>
      </c>
      <c r="H1017" s="43" t="e">
        <f ca="1"/>
        <v>#N/A</v>
      </c>
      <c r="I1017" s="42" t="str">
        <f ca="1"/>
        <v/>
      </c>
    </row>
    <row r="1018" spans="4:9" x14ac:dyDescent="0.25">
      <c r="D1018" s="19"/>
      <c r="G1018" s="43" t="str">
        <v/>
      </c>
      <c r="H1018" s="43" t="e">
        <f ca="1"/>
        <v>#N/A</v>
      </c>
      <c r="I1018" s="42" t="str">
        <f ca="1"/>
        <v/>
      </c>
    </row>
    <row r="1019" spans="4:9" x14ac:dyDescent="0.25">
      <c r="D1019" s="19"/>
      <c r="G1019" s="43" t="str">
        <v/>
      </c>
      <c r="H1019" s="43" t="e">
        <f ca="1"/>
        <v>#N/A</v>
      </c>
      <c r="I1019" s="42" t="str">
        <f ca="1"/>
        <v/>
      </c>
    </row>
    <row r="1020" spans="4:9" x14ac:dyDescent="0.25">
      <c r="D1020" s="19"/>
      <c r="G1020" s="43" t="str">
        <v/>
      </c>
      <c r="H1020" s="43" t="e">
        <f ca="1"/>
        <v>#N/A</v>
      </c>
      <c r="I1020" s="42" t="str">
        <f ca="1"/>
        <v/>
      </c>
    </row>
    <row r="1021" spans="4:9" x14ac:dyDescent="0.25">
      <c r="D1021" s="19"/>
      <c r="G1021" s="43" t="str">
        <v/>
      </c>
      <c r="H1021" s="43" t="e">
        <f ca="1"/>
        <v>#N/A</v>
      </c>
      <c r="I1021" s="42" t="str">
        <f ca="1"/>
        <v/>
      </c>
    </row>
    <row r="1022" spans="4:9" x14ac:dyDescent="0.25">
      <c r="D1022" s="19"/>
      <c r="G1022" s="43" t="str">
        <v/>
      </c>
      <c r="H1022" s="43" t="e">
        <f ca="1"/>
        <v>#N/A</v>
      </c>
      <c r="I1022" s="42" t="str">
        <f ca="1"/>
        <v/>
      </c>
    </row>
    <row r="1023" spans="4:9" x14ac:dyDescent="0.25">
      <c r="D1023" s="19"/>
      <c r="G1023" s="43" t="str">
        <v/>
      </c>
      <c r="H1023" s="43" t="e">
        <f ca="1"/>
        <v>#N/A</v>
      </c>
      <c r="I1023" s="42" t="str">
        <f ca="1"/>
        <v/>
      </c>
    </row>
    <row r="1024" spans="4:9" x14ac:dyDescent="0.25">
      <c r="D1024" s="19"/>
      <c r="G1024" s="43" t="str">
        <v/>
      </c>
      <c r="H1024" s="43" t="e">
        <f ca="1"/>
        <v>#N/A</v>
      </c>
      <c r="I1024" s="42" t="str">
        <f ca="1"/>
        <v/>
      </c>
    </row>
    <row r="1025" spans="4:9" x14ac:dyDescent="0.25">
      <c r="D1025" s="19"/>
      <c r="G1025" s="43" t="str">
        <v/>
      </c>
      <c r="H1025" s="43" t="e">
        <f ca="1"/>
        <v>#N/A</v>
      </c>
      <c r="I1025" s="42" t="str">
        <f ca="1"/>
        <v/>
      </c>
    </row>
    <row r="1026" spans="4:9" x14ac:dyDescent="0.25">
      <c r="D1026" s="19"/>
      <c r="G1026" s="43" t="str">
        <v/>
      </c>
      <c r="H1026" s="43" t="e">
        <f ca="1"/>
        <v>#N/A</v>
      </c>
      <c r="I1026" s="42" t="str">
        <f ca="1"/>
        <v/>
      </c>
    </row>
    <row r="1027" spans="4:9" x14ac:dyDescent="0.25">
      <c r="D1027" s="19"/>
      <c r="G1027" s="43" t="str">
        <v/>
      </c>
      <c r="H1027" s="43" t="e">
        <f ca="1"/>
        <v>#N/A</v>
      </c>
      <c r="I1027" s="42" t="str">
        <f ca="1"/>
        <v/>
      </c>
    </row>
    <row r="1028" spans="4:9" x14ac:dyDescent="0.25">
      <c r="D1028" s="19"/>
      <c r="G1028" s="43" t="str">
        <v/>
      </c>
      <c r="H1028" s="43" t="e">
        <f ca="1"/>
        <v>#N/A</v>
      </c>
      <c r="I1028" s="42" t="str">
        <f ca="1"/>
        <v/>
      </c>
    </row>
    <row r="1029" spans="4:9" x14ac:dyDescent="0.25">
      <c r="D1029" s="19"/>
      <c r="G1029" s="43" t="str">
        <v/>
      </c>
      <c r="H1029" s="43" t="e">
        <f ca="1"/>
        <v>#N/A</v>
      </c>
      <c r="I1029" s="42" t="str">
        <f ca="1"/>
        <v/>
      </c>
    </row>
    <row r="1030" spans="4:9" x14ac:dyDescent="0.25">
      <c r="D1030" s="19"/>
      <c r="G1030" s="43" t="str">
        <v/>
      </c>
      <c r="H1030" s="43" t="e">
        <f ca="1"/>
        <v>#N/A</v>
      </c>
      <c r="I1030" s="42" t="str">
        <f ca="1"/>
        <v/>
      </c>
    </row>
    <row r="1031" spans="4:9" x14ac:dyDescent="0.25">
      <c r="D1031" s="19"/>
      <c r="G1031" s="43" t="str">
        <v/>
      </c>
      <c r="H1031" s="43" t="e">
        <f ca="1"/>
        <v>#N/A</v>
      </c>
      <c r="I1031" s="42" t="str">
        <f ca="1"/>
        <v/>
      </c>
    </row>
    <row r="1032" spans="4:9" x14ac:dyDescent="0.25">
      <c r="D1032" s="19"/>
      <c r="G1032" s="43" t="str">
        <v/>
      </c>
      <c r="H1032" s="43" t="e">
        <f ca="1"/>
        <v>#N/A</v>
      </c>
      <c r="I1032" s="42" t="str">
        <f ca="1"/>
        <v/>
      </c>
    </row>
    <row r="1033" spans="4:9" x14ac:dyDescent="0.25">
      <c r="D1033" s="19"/>
      <c r="G1033" s="43" t="str">
        <v/>
      </c>
      <c r="H1033" s="43" t="e">
        <f ca="1"/>
        <v>#N/A</v>
      </c>
      <c r="I1033" s="42" t="str">
        <f ca="1"/>
        <v/>
      </c>
    </row>
    <row r="1034" spans="4:9" x14ac:dyDescent="0.25">
      <c r="D1034" s="19"/>
      <c r="G1034" s="43" t="str">
        <v/>
      </c>
      <c r="H1034" s="43" t="e">
        <f ca="1"/>
        <v>#N/A</v>
      </c>
      <c r="I1034" s="42" t="str">
        <f ca="1"/>
        <v/>
      </c>
    </row>
    <row r="1035" spans="4:9" x14ac:dyDescent="0.25">
      <c r="D1035" s="19"/>
      <c r="G1035" s="43" t="str">
        <v/>
      </c>
      <c r="H1035" s="43" t="e">
        <f ca="1"/>
        <v>#N/A</v>
      </c>
      <c r="I1035" s="42" t="str">
        <f ca="1"/>
        <v/>
      </c>
    </row>
    <row r="1036" spans="4:9" x14ac:dyDescent="0.25">
      <c r="D1036" s="19"/>
      <c r="G1036" s="43" t="str">
        <v/>
      </c>
      <c r="H1036" s="43" t="e">
        <f ca="1"/>
        <v>#N/A</v>
      </c>
      <c r="I1036" s="42" t="str">
        <f ca="1"/>
        <v/>
      </c>
    </row>
    <row r="1037" spans="4:9" x14ac:dyDescent="0.25">
      <c r="D1037" s="19"/>
      <c r="G1037" s="43" t="str">
        <v/>
      </c>
      <c r="H1037" s="43" t="e">
        <f ca="1"/>
        <v>#N/A</v>
      </c>
      <c r="I1037" s="42" t="str">
        <f ca="1"/>
        <v/>
      </c>
    </row>
    <row r="1038" spans="4:9" x14ac:dyDescent="0.25">
      <c r="D1038" s="19"/>
      <c r="G1038" s="43" t="str">
        <v/>
      </c>
      <c r="H1038" s="43" t="e">
        <f ca="1"/>
        <v>#N/A</v>
      </c>
      <c r="I1038" s="42" t="str">
        <f ca="1"/>
        <v/>
      </c>
    </row>
    <row r="1039" spans="4:9" x14ac:dyDescent="0.25">
      <c r="D1039" s="19"/>
      <c r="G1039" s="43" t="str">
        <v/>
      </c>
      <c r="H1039" s="43" t="e">
        <f ca="1"/>
        <v>#N/A</v>
      </c>
      <c r="I1039" s="42" t="str">
        <f ca="1"/>
        <v/>
      </c>
    </row>
    <row r="1040" spans="4:9" x14ac:dyDescent="0.25">
      <c r="D1040" s="19"/>
      <c r="G1040" s="43" t="str">
        <v/>
      </c>
      <c r="H1040" s="43" t="e">
        <f ca="1"/>
        <v>#N/A</v>
      </c>
      <c r="I1040" s="42" t="str">
        <f ca="1"/>
        <v/>
      </c>
    </row>
    <row r="1041" spans="4:9" x14ac:dyDescent="0.25">
      <c r="D1041" s="19"/>
      <c r="G1041" s="43" t="str">
        <v/>
      </c>
      <c r="H1041" s="43" t="e">
        <f ca="1"/>
        <v>#N/A</v>
      </c>
      <c r="I1041" s="42" t="str">
        <f ca="1"/>
        <v/>
      </c>
    </row>
    <row r="1042" spans="4:9" x14ac:dyDescent="0.25">
      <c r="D1042" s="19"/>
      <c r="G1042" s="43" t="str">
        <v/>
      </c>
      <c r="H1042" s="43" t="e">
        <f ca="1"/>
        <v>#N/A</v>
      </c>
      <c r="I1042" s="42" t="str">
        <f ca="1"/>
        <v/>
      </c>
    </row>
    <row r="1043" spans="4:9" x14ac:dyDescent="0.25">
      <c r="D1043" s="19"/>
      <c r="G1043" s="43" t="str">
        <v/>
      </c>
      <c r="H1043" s="43" t="e">
        <f ca="1"/>
        <v>#N/A</v>
      </c>
      <c r="I1043" s="42" t="str">
        <f ca="1"/>
        <v/>
      </c>
    </row>
    <row r="1044" spans="4:9" x14ac:dyDescent="0.25">
      <c r="D1044" s="19"/>
      <c r="G1044" s="43" t="str">
        <v/>
      </c>
      <c r="H1044" s="43" t="e">
        <f ca="1"/>
        <v>#N/A</v>
      </c>
      <c r="I1044" s="42" t="str">
        <f ca="1"/>
        <v/>
      </c>
    </row>
    <row r="1045" spans="4:9" x14ac:dyDescent="0.25">
      <c r="D1045" s="19"/>
      <c r="G1045" s="43" t="str">
        <v/>
      </c>
      <c r="H1045" s="43" t="e">
        <f ca="1"/>
        <v>#N/A</v>
      </c>
      <c r="I1045" s="42" t="str">
        <f ca="1"/>
        <v/>
      </c>
    </row>
    <row r="1046" spans="4:9" x14ac:dyDescent="0.25">
      <c r="D1046" s="19"/>
      <c r="G1046" s="43" t="str">
        <v/>
      </c>
      <c r="H1046" s="43" t="e">
        <f ca="1"/>
        <v>#N/A</v>
      </c>
      <c r="I1046" s="42" t="str">
        <f ca="1"/>
        <v/>
      </c>
    </row>
    <row r="1047" spans="4:9" x14ac:dyDescent="0.25">
      <c r="D1047" s="19"/>
      <c r="G1047" s="43" t="str">
        <v/>
      </c>
      <c r="H1047" s="43" t="e">
        <f ca="1"/>
        <v>#N/A</v>
      </c>
      <c r="I1047" s="42" t="str">
        <f ca="1"/>
        <v/>
      </c>
    </row>
    <row r="1048" spans="4:9" x14ac:dyDescent="0.25">
      <c r="D1048" s="19"/>
      <c r="G1048" s="43" t="str">
        <v/>
      </c>
      <c r="H1048" s="43" t="e">
        <f ca="1"/>
        <v>#N/A</v>
      </c>
      <c r="I1048" s="42" t="str">
        <f ca="1"/>
        <v/>
      </c>
    </row>
    <row r="1049" spans="4:9" x14ac:dyDescent="0.25">
      <c r="D1049" s="19"/>
      <c r="G1049" s="43" t="str">
        <v/>
      </c>
      <c r="H1049" s="43" t="e">
        <f ca="1"/>
        <v>#N/A</v>
      </c>
      <c r="I1049" s="42" t="str">
        <f ca="1"/>
        <v/>
      </c>
    </row>
    <row r="1050" spans="4:9" x14ac:dyDescent="0.25">
      <c r="D1050" s="19"/>
      <c r="G1050" s="43" t="str">
        <v/>
      </c>
      <c r="H1050" s="43" t="e">
        <f ca="1"/>
        <v>#N/A</v>
      </c>
      <c r="I1050" s="42" t="str">
        <f ca="1"/>
        <v/>
      </c>
    </row>
    <row r="1051" spans="4:9" x14ac:dyDescent="0.25">
      <c r="D1051" s="19"/>
      <c r="G1051" s="43" t="str">
        <v/>
      </c>
      <c r="H1051" s="43" t="e">
        <f ca="1"/>
        <v>#N/A</v>
      </c>
      <c r="I1051" s="42" t="str">
        <f ca="1"/>
        <v/>
      </c>
    </row>
    <row r="1052" spans="4:9" x14ac:dyDescent="0.25">
      <c r="D1052" s="19"/>
      <c r="G1052" s="43" t="str">
        <v/>
      </c>
      <c r="H1052" s="43" t="e">
        <f ca="1"/>
        <v>#N/A</v>
      </c>
      <c r="I1052" s="42" t="str">
        <f ca="1"/>
        <v/>
      </c>
    </row>
    <row r="1053" spans="4:9" x14ac:dyDescent="0.25">
      <c r="D1053" s="19"/>
      <c r="G1053" s="43" t="str">
        <v/>
      </c>
      <c r="H1053" s="43" t="e">
        <f ca="1"/>
        <v>#N/A</v>
      </c>
      <c r="I1053" s="42" t="str">
        <f ca="1"/>
        <v/>
      </c>
    </row>
    <row r="1054" spans="4:9" x14ac:dyDescent="0.25">
      <c r="D1054" s="19"/>
      <c r="G1054" s="43" t="str">
        <v/>
      </c>
      <c r="H1054" s="43" t="e">
        <f ca="1"/>
        <v>#N/A</v>
      </c>
      <c r="I1054" s="42" t="str">
        <f ca="1"/>
        <v/>
      </c>
    </row>
    <row r="1055" spans="4:9" x14ac:dyDescent="0.25">
      <c r="D1055" s="19"/>
      <c r="G1055" s="43" t="str">
        <v/>
      </c>
      <c r="H1055" s="43" t="e">
        <f ca="1"/>
        <v>#N/A</v>
      </c>
      <c r="I1055" s="42" t="str">
        <f ca="1"/>
        <v/>
      </c>
    </row>
    <row r="1056" spans="4:9" x14ac:dyDescent="0.25">
      <c r="D1056" s="19"/>
      <c r="G1056" s="43" t="str">
        <v/>
      </c>
      <c r="H1056" s="43" t="e">
        <f ca="1"/>
        <v>#N/A</v>
      </c>
      <c r="I1056" s="42" t="str">
        <f ca="1"/>
        <v/>
      </c>
    </row>
    <row r="1057" spans="4:9" x14ac:dyDescent="0.25">
      <c r="D1057" s="19"/>
      <c r="G1057" s="43" t="str">
        <v/>
      </c>
      <c r="H1057" s="43" t="e">
        <f ca="1"/>
        <v>#N/A</v>
      </c>
      <c r="I1057" s="42" t="str">
        <f ca="1"/>
        <v/>
      </c>
    </row>
    <row r="1058" spans="4:9" x14ac:dyDescent="0.25">
      <c r="D1058" s="19"/>
      <c r="G1058" s="43" t="str">
        <v/>
      </c>
      <c r="H1058" s="43" t="e">
        <f ca="1"/>
        <v>#N/A</v>
      </c>
      <c r="I1058" s="42" t="str">
        <f ca="1"/>
        <v/>
      </c>
    </row>
    <row r="1059" spans="4:9" x14ac:dyDescent="0.25">
      <c r="D1059" s="19"/>
      <c r="G1059" s="43" t="str">
        <v/>
      </c>
      <c r="H1059" s="43" t="e">
        <f ca="1"/>
        <v>#N/A</v>
      </c>
      <c r="I1059" s="42" t="str">
        <f ca="1"/>
        <v/>
      </c>
    </row>
    <row r="1060" spans="4:9" x14ac:dyDescent="0.25">
      <c r="D1060" s="19"/>
      <c r="G1060" s="43" t="str">
        <v/>
      </c>
      <c r="H1060" s="43" t="e">
        <f ca="1"/>
        <v>#N/A</v>
      </c>
      <c r="I1060" s="42" t="str">
        <f ca="1"/>
        <v/>
      </c>
    </row>
    <row r="1061" spans="4:9" x14ac:dyDescent="0.25">
      <c r="D1061" s="19"/>
      <c r="G1061" s="43" t="str">
        <v/>
      </c>
      <c r="H1061" s="43" t="e">
        <f ca="1"/>
        <v>#N/A</v>
      </c>
      <c r="I1061" s="42" t="str">
        <f ca="1"/>
        <v/>
      </c>
    </row>
    <row r="1062" spans="4:9" x14ac:dyDescent="0.25">
      <c r="D1062" s="19"/>
      <c r="G1062" s="43" t="str">
        <v/>
      </c>
      <c r="H1062" s="43" t="e">
        <f ca="1"/>
        <v>#N/A</v>
      </c>
      <c r="I1062" s="42" t="str">
        <f ca="1"/>
        <v/>
      </c>
    </row>
    <row r="1063" spans="4:9" x14ac:dyDescent="0.25">
      <c r="D1063" s="19"/>
      <c r="G1063" s="43" t="str">
        <v/>
      </c>
      <c r="H1063" s="43" t="e">
        <f ca="1"/>
        <v>#N/A</v>
      </c>
      <c r="I1063" s="42" t="str">
        <f ca="1"/>
        <v/>
      </c>
    </row>
    <row r="1064" spans="4:9" x14ac:dyDescent="0.25">
      <c r="D1064" s="19"/>
      <c r="G1064" s="43" t="str">
        <v/>
      </c>
      <c r="H1064" s="43" t="e">
        <f ca="1"/>
        <v>#N/A</v>
      </c>
      <c r="I1064" s="42" t="str">
        <f ca="1"/>
        <v/>
      </c>
    </row>
    <row r="1065" spans="4:9" x14ac:dyDescent="0.25">
      <c r="D1065" s="19"/>
      <c r="G1065" s="43" t="str">
        <v/>
      </c>
      <c r="H1065" s="43" t="e">
        <f ca="1"/>
        <v>#N/A</v>
      </c>
      <c r="I1065" s="42" t="str">
        <f ca="1"/>
        <v/>
      </c>
    </row>
    <row r="1066" spans="4:9" x14ac:dyDescent="0.25">
      <c r="D1066" s="19"/>
      <c r="G1066" s="43" t="str">
        <v/>
      </c>
      <c r="H1066" s="43" t="e">
        <f ca="1"/>
        <v>#N/A</v>
      </c>
      <c r="I1066" s="42" t="str">
        <f ca="1"/>
        <v/>
      </c>
    </row>
    <row r="1067" spans="4:9" x14ac:dyDescent="0.25">
      <c r="D1067" s="19"/>
      <c r="G1067" s="43" t="str">
        <v/>
      </c>
      <c r="H1067" s="43" t="e">
        <f ca="1"/>
        <v>#N/A</v>
      </c>
      <c r="I1067" s="42" t="str">
        <f ca="1"/>
        <v/>
      </c>
    </row>
    <row r="1068" spans="4:9" x14ac:dyDescent="0.25">
      <c r="D1068" s="19"/>
      <c r="G1068" s="43" t="str">
        <v/>
      </c>
      <c r="H1068" s="43" t="e">
        <f ca="1"/>
        <v>#N/A</v>
      </c>
      <c r="I1068" s="42" t="str">
        <f ca="1"/>
        <v/>
      </c>
    </row>
    <row r="1069" spans="4:9" x14ac:dyDescent="0.25">
      <c r="D1069" s="19"/>
      <c r="G1069" s="43" t="str">
        <v/>
      </c>
      <c r="H1069" s="43" t="e">
        <f ca="1"/>
        <v>#N/A</v>
      </c>
      <c r="I1069" s="42" t="str">
        <f ca="1"/>
        <v/>
      </c>
    </row>
    <row r="1070" spans="4:9" x14ac:dyDescent="0.25">
      <c r="D1070" s="19"/>
      <c r="G1070" s="43" t="str">
        <v/>
      </c>
      <c r="H1070" s="43" t="e">
        <f ca="1"/>
        <v>#N/A</v>
      </c>
      <c r="I1070" s="42" t="str">
        <f ca="1"/>
        <v/>
      </c>
    </row>
    <row r="1071" spans="4:9" x14ac:dyDescent="0.25">
      <c r="D1071" s="19"/>
      <c r="G1071" s="43" t="str">
        <v/>
      </c>
      <c r="H1071" s="43" t="e">
        <f ca="1"/>
        <v>#N/A</v>
      </c>
      <c r="I1071" s="42" t="str">
        <f ca="1"/>
        <v/>
      </c>
    </row>
    <row r="1072" spans="4:9" x14ac:dyDescent="0.25">
      <c r="D1072" s="19"/>
      <c r="G1072" s="43" t="str">
        <v/>
      </c>
      <c r="H1072" s="43" t="e">
        <f ca="1"/>
        <v>#N/A</v>
      </c>
      <c r="I1072" s="42" t="str">
        <f ca="1"/>
        <v/>
      </c>
    </row>
    <row r="1073" spans="4:9" x14ac:dyDescent="0.25">
      <c r="D1073" s="19"/>
      <c r="G1073" s="43" t="str">
        <v/>
      </c>
      <c r="H1073" s="43" t="e">
        <f ca="1"/>
        <v>#N/A</v>
      </c>
      <c r="I1073" s="42" t="str">
        <f ca="1"/>
        <v/>
      </c>
    </row>
    <row r="1074" spans="4:9" x14ac:dyDescent="0.25">
      <c r="D1074" s="19"/>
      <c r="G1074" s="43" t="str">
        <v/>
      </c>
      <c r="H1074" s="43" t="e">
        <f ca="1"/>
        <v>#N/A</v>
      </c>
      <c r="I1074" s="42" t="str">
        <f ca="1"/>
        <v/>
      </c>
    </row>
    <row r="1075" spans="4:9" x14ac:dyDescent="0.25">
      <c r="D1075" s="19"/>
      <c r="G1075" s="43" t="str">
        <v/>
      </c>
      <c r="H1075" s="43" t="e">
        <f ca="1"/>
        <v>#N/A</v>
      </c>
      <c r="I1075" s="42" t="str">
        <f ca="1"/>
        <v/>
      </c>
    </row>
    <row r="1076" spans="4:9" x14ac:dyDescent="0.25">
      <c r="D1076" s="19"/>
      <c r="G1076" s="43" t="str">
        <v/>
      </c>
      <c r="H1076" s="43" t="e">
        <f ca="1"/>
        <v>#N/A</v>
      </c>
      <c r="I1076" s="42" t="str">
        <f ca="1"/>
        <v/>
      </c>
    </row>
    <row r="1077" spans="4:9" x14ac:dyDescent="0.25">
      <c r="D1077" s="19"/>
      <c r="G1077" s="43" t="str">
        <v/>
      </c>
      <c r="H1077" s="43" t="e">
        <f ca="1"/>
        <v>#N/A</v>
      </c>
      <c r="I1077" s="42" t="str">
        <f ca="1"/>
        <v/>
      </c>
    </row>
    <row r="1078" spans="4:9" x14ac:dyDescent="0.25">
      <c r="D1078" s="19"/>
      <c r="G1078" s="43" t="str">
        <v/>
      </c>
      <c r="H1078" s="43" t="e">
        <f ca="1"/>
        <v>#N/A</v>
      </c>
      <c r="I1078" s="42" t="str">
        <f ca="1"/>
        <v/>
      </c>
    </row>
    <row r="1079" spans="4:9" x14ac:dyDescent="0.25">
      <c r="D1079" s="19"/>
      <c r="G1079" s="43" t="str">
        <v/>
      </c>
      <c r="H1079" s="43" t="e">
        <f ca="1"/>
        <v>#N/A</v>
      </c>
      <c r="I1079" s="42" t="str">
        <f ca="1"/>
        <v/>
      </c>
    </row>
    <row r="1080" spans="4:9" x14ac:dyDescent="0.25">
      <c r="D1080" s="19"/>
      <c r="G1080" s="43" t="str">
        <v/>
      </c>
      <c r="H1080" s="43" t="e">
        <f ca="1"/>
        <v>#N/A</v>
      </c>
      <c r="I1080" s="42" t="str">
        <f ca="1"/>
        <v/>
      </c>
    </row>
    <row r="1081" spans="4:9" x14ac:dyDescent="0.25">
      <c r="D1081" s="19"/>
      <c r="G1081" s="43" t="str">
        <v/>
      </c>
      <c r="H1081" s="43" t="e">
        <f ca="1"/>
        <v>#N/A</v>
      </c>
      <c r="I1081" s="42" t="str">
        <f ca="1"/>
        <v/>
      </c>
    </row>
    <row r="1082" spans="4:9" x14ac:dyDescent="0.25">
      <c r="D1082" s="19"/>
      <c r="G1082" s="43" t="str">
        <v/>
      </c>
      <c r="H1082" s="43" t="e">
        <f ca="1"/>
        <v>#N/A</v>
      </c>
      <c r="I1082" s="42" t="str">
        <f ca="1"/>
        <v/>
      </c>
    </row>
    <row r="1083" spans="4:9" x14ac:dyDescent="0.25">
      <c r="D1083" s="19"/>
      <c r="G1083" s="43" t="str">
        <v/>
      </c>
      <c r="H1083" s="43" t="e">
        <f ca="1"/>
        <v>#N/A</v>
      </c>
      <c r="I1083" s="42" t="str">
        <f ca="1"/>
        <v/>
      </c>
    </row>
    <row r="1084" spans="4:9" x14ac:dyDescent="0.25">
      <c r="D1084" s="19"/>
      <c r="G1084" s="43" t="str">
        <v/>
      </c>
      <c r="H1084" s="43" t="e">
        <f ca="1"/>
        <v>#N/A</v>
      </c>
      <c r="I1084" s="42" t="str">
        <f ca="1"/>
        <v/>
      </c>
    </row>
    <row r="1085" spans="4:9" x14ac:dyDescent="0.25">
      <c r="D1085" s="19"/>
      <c r="G1085" s="43" t="str">
        <v/>
      </c>
      <c r="H1085" s="43" t="e">
        <f ca="1"/>
        <v>#N/A</v>
      </c>
      <c r="I1085" s="42" t="str">
        <f ca="1"/>
        <v/>
      </c>
    </row>
    <row r="1086" spans="4:9" x14ac:dyDescent="0.25">
      <c r="D1086" s="19"/>
      <c r="G1086" s="43" t="str">
        <v/>
      </c>
      <c r="H1086" s="43" t="e">
        <f ca="1"/>
        <v>#N/A</v>
      </c>
      <c r="I1086" s="42" t="str">
        <f ca="1"/>
        <v/>
      </c>
    </row>
    <row r="1087" spans="4:9" x14ac:dyDescent="0.25">
      <c r="D1087" s="19"/>
      <c r="G1087" s="43" t="str">
        <v/>
      </c>
      <c r="H1087" s="43" t="e">
        <f ca="1"/>
        <v>#N/A</v>
      </c>
      <c r="I1087" s="42" t="str">
        <f ca="1"/>
        <v/>
      </c>
    </row>
    <row r="1088" spans="4:9" x14ac:dyDescent="0.25">
      <c r="D1088" s="19"/>
      <c r="G1088" s="43" t="str">
        <v/>
      </c>
      <c r="H1088" s="43" t="e">
        <f ca="1"/>
        <v>#N/A</v>
      </c>
      <c r="I1088" s="42" t="str">
        <f ca="1"/>
        <v/>
      </c>
    </row>
    <row r="1089" spans="4:9" x14ac:dyDescent="0.25">
      <c r="D1089" s="19"/>
      <c r="G1089" s="43" t="str">
        <v/>
      </c>
      <c r="H1089" s="43" t="e">
        <f ca="1"/>
        <v>#N/A</v>
      </c>
      <c r="I1089" s="42" t="str">
        <f ca="1"/>
        <v/>
      </c>
    </row>
    <row r="1090" spans="4:9" x14ac:dyDescent="0.25">
      <c r="D1090" s="19"/>
      <c r="G1090" s="43" t="str">
        <v/>
      </c>
      <c r="H1090" s="43" t="e">
        <f ca="1"/>
        <v>#N/A</v>
      </c>
      <c r="I1090" s="42" t="str">
        <f ca="1"/>
        <v/>
      </c>
    </row>
    <row r="1091" spans="4:9" x14ac:dyDescent="0.25">
      <c r="D1091" s="19"/>
      <c r="G1091" s="43" t="str">
        <v/>
      </c>
      <c r="H1091" s="43" t="e">
        <f ca="1"/>
        <v>#N/A</v>
      </c>
      <c r="I1091" s="42" t="str">
        <f ca="1"/>
        <v/>
      </c>
    </row>
    <row r="1092" spans="4:9" x14ac:dyDescent="0.25">
      <c r="D1092" s="19"/>
      <c r="G1092" s="43" t="str">
        <v/>
      </c>
      <c r="H1092" s="43" t="e">
        <f ca="1"/>
        <v>#N/A</v>
      </c>
      <c r="I1092" s="42" t="str">
        <f ca="1"/>
        <v/>
      </c>
    </row>
    <row r="1093" spans="4:9" x14ac:dyDescent="0.25">
      <c r="D1093" s="19"/>
      <c r="G1093" s="43" t="str">
        <v/>
      </c>
      <c r="H1093" s="43" t="e">
        <f ca="1"/>
        <v>#N/A</v>
      </c>
      <c r="I1093" s="42" t="str">
        <f ca="1"/>
        <v/>
      </c>
    </row>
    <row r="1094" spans="4:9" x14ac:dyDescent="0.25">
      <c r="D1094" s="19"/>
      <c r="G1094" s="43" t="str">
        <v/>
      </c>
      <c r="H1094" s="43" t="e">
        <f ca="1"/>
        <v>#N/A</v>
      </c>
      <c r="I1094" s="42" t="str">
        <f ca="1"/>
        <v/>
      </c>
    </row>
    <row r="1095" spans="4:9" x14ac:dyDescent="0.25">
      <c r="D1095" s="19"/>
      <c r="G1095" s="43" t="str">
        <v/>
      </c>
      <c r="H1095" s="43" t="e">
        <f ca="1"/>
        <v>#N/A</v>
      </c>
      <c r="I1095" s="42" t="str">
        <f ca="1"/>
        <v/>
      </c>
    </row>
    <row r="1096" spans="4:9" x14ac:dyDescent="0.25">
      <c r="D1096" s="19"/>
      <c r="G1096" s="43" t="str">
        <v/>
      </c>
      <c r="H1096" s="43" t="e">
        <f ca="1"/>
        <v>#N/A</v>
      </c>
      <c r="I1096" s="42" t="str">
        <f ca="1"/>
        <v/>
      </c>
    </row>
    <row r="1097" spans="4:9" x14ac:dyDescent="0.25">
      <c r="D1097" s="19"/>
      <c r="G1097" s="43" t="str">
        <v/>
      </c>
      <c r="H1097" s="43" t="e">
        <f ca="1"/>
        <v>#N/A</v>
      </c>
      <c r="I1097" s="42" t="str">
        <f ca="1"/>
        <v/>
      </c>
    </row>
    <row r="1098" spans="4:9" x14ac:dyDescent="0.25">
      <c r="D1098" s="19"/>
      <c r="G1098" s="43" t="str">
        <v/>
      </c>
      <c r="H1098" s="43" t="e">
        <f ca="1"/>
        <v>#N/A</v>
      </c>
      <c r="I1098" s="42" t="str">
        <f ca="1"/>
        <v/>
      </c>
    </row>
    <row r="1099" spans="4:9" x14ac:dyDescent="0.25">
      <c r="D1099" s="19"/>
      <c r="G1099" s="43" t="str">
        <v/>
      </c>
      <c r="H1099" s="43" t="e">
        <f ca="1"/>
        <v>#N/A</v>
      </c>
      <c r="I1099" s="42" t="str">
        <f ca="1"/>
        <v/>
      </c>
    </row>
    <row r="1100" spans="4:9" x14ac:dyDescent="0.25">
      <c r="D1100" s="19"/>
      <c r="G1100" s="43" t="str">
        <v/>
      </c>
      <c r="H1100" s="43" t="e">
        <f ca="1"/>
        <v>#N/A</v>
      </c>
      <c r="I1100" s="42" t="str">
        <f ca="1"/>
        <v/>
      </c>
    </row>
    <row r="1101" spans="4:9" x14ac:dyDescent="0.25">
      <c r="D1101" s="19"/>
      <c r="G1101" s="43" t="str">
        <v/>
      </c>
      <c r="H1101" s="43" t="e">
        <f ca="1"/>
        <v>#N/A</v>
      </c>
      <c r="I1101" s="42" t="str">
        <f ca="1"/>
        <v/>
      </c>
    </row>
    <row r="1102" spans="4:9" x14ac:dyDescent="0.25">
      <c r="D1102" s="19"/>
      <c r="G1102" s="43" t="str">
        <v/>
      </c>
      <c r="H1102" s="43" t="e">
        <f ca="1"/>
        <v>#N/A</v>
      </c>
      <c r="I1102" s="42" t="str">
        <f ca="1"/>
        <v/>
      </c>
    </row>
    <row r="1103" spans="4:9" x14ac:dyDescent="0.25">
      <c r="D1103" s="19"/>
      <c r="G1103" s="43" t="str">
        <v/>
      </c>
      <c r="H1103" s="43" t="e">
        <f ca="1"/>
        <v>#N/A</v>
      </c>
      <c r="I1103" s="42" t="str">
        <f ca="1"/>
        <v/>
      </c>
    </row>
    <row r="1104" spans="4:9" x14ac:dyDescent="0.25">
      <c r="D1104" s="19"/>
      <c r="G1104" s="43" t="str">
        <v/>
      </c>
      <c r="H1104" s="43" t="e">
        <f ca="1"/>
        <v>#N/A</v>
      </c>
      <c r="I1104" s="42" t="str">
        <f ca="1"/>
        <v/>
      </c>
    </row>
    <row r="1105" spans="4:9" x14ac:dyDescent="0.25">
      <c r="D1105" s="19"/>
      <c r="G1105" s="43" t="str">
        <v/>
      </c>
      <c r="H1105" s="43" t="e">
        <f ca="1"/>
        <v>#N/A</v>
      </c>
      <c r="I1105" s="42" t="str">
        <f ca="1"/>
        <v/>
      </c>
    </row>
    <row r="1106" spans="4:9" x14ac:dyDescent="0.25">
      <c r="D1106" s="19"/>
      <c r="G1106" s="43" t="str">
        <v/>
      </c>
      <c r="H1106" s="43" t="e">
        <f ca="1"/>
        <v>#N/A</v>
      </c>
      <c r="I1106" s="42" t="str">
        <f ca="1"/>
        <v/>
      </c>
    </row>
    <row r="1107" spans="4:9" x14ac:dyDescent="0.25">
      <c r="D1107" s="19"/>
      <c r="G1107" s="43" t="str">
        <v/>
      </c>
      <c r="H1107" s="43" t="e">
        <f ca="1"/>
        <v>#N/A</v>
      </c>
      <c r="I1107" s="42" t="str">
        <f ca="1"/>
        <v/>
      </c>
    </row>
    <row r="1108" spans="4:9" x14ac:dyDescent="0.25">
      <c r="D1108" s="19"/>
      <c r="G1108" s="43" t="str">
        <v/>
      </c>
      <c r="H1108" s="43" t="e">
        <f ca="1"/>
        <v>#N/A</v>
      </c>
      <c r="I1108" s="42" t="str">
        <f ca="1"/>
        <v/>
      </c>
    </row>
    <row r="1109" spans="4:9" x14ac:dyDescent="0.25">
      <c r="D1109" s="19"/>
      <c r="G1109" s="43" t="str">
        <v/>
      </c>
      <c r="H1109" s="43" t="e">
        <f ca="1"/>
        <v>#N/A</v>
      </c>
      <c r="I1109" s="42" t="str">
        <f ca="1"/>
        <v/>
      </c>
    </row>
    <row r="1110" spans="4:9" x14ac:dyDescent="0.25">
      <c r="D1110" s="19"/>
      <c r="G1110" s="43" t="str">
        <v/>
      </c>
      <c r="H1110" s="43" t="e">
        <f ca="1"/>
        <v>#N/A</v>
      </c>
      <c r="I1110" s="42" t="str">
        <f ca="1"/>
        <v/>
      </c>
    </row>
    <row r="1111" spans="4:9" x14ac:dyDescent="0.25">
      <c r="D1111" s="19"/>
      <c r="G1111" s="43" t="str">
        <v/>
      </c>
      <c r="H1111" s="43" t="e">
        <f ca="1"/>
        <v>#N/A</v>
      </c>
      <c r="I1111" s="42" t="str">
        <f ca="1"/>
        <v/>
      </c>
    </row>
    <row r="1112" spans="4:9" x14ac:dyDescent="0.25">
      <c r="D1112" s="19"/>
      <c r="G1112" s="43" t="str">
        <v/>
      </c>
      <c r="H1112" s="43" t="e">
        <f ca="1"/>
        <v>#N/A</v>
      </c>
      <c r="I1112" s="42" t="str">
        <f ca="1"/>
        <v/>
      </c>
    </row>
    <row r="1113" spans="4:9" x14ac:dyDescent="0.25">
      <c r="D1113" s="19"/>
      <c r="G1113" s="43" t="str">
        <v/>
      </c>
      <c r="H1113" s="43" t="e">
        <f ca="1"/>
        <v>#N/A</v>
      </c>
      <c r="I1113" s="42" t="str">
        <f ca="1"/>
        <v/>
      </c>
    </row>
    <row r="1114" spans="4:9" x14ac:dyDescent="0.25">
      <c r="D1114" s="19"/>
      <c r="G1114" s="43" t="str">
        <v/>
      </c>
      <c r="H1114" s="43" t="e">
        <f ca="1"/>
        <v>#N/A</v>
      </c>
      <c r="I1114" s="42" t="str">
        <f ca="1"/>
        <v/>
      </c>
    </row>
    <row r="1115" spans="4:9" x14ac:dyDescent="0.25">
      <c r="D1115" s="19"/>
      <c r="G1115" s="43" t="str">
        <v/>
      </c>
      <c r="H1115" s="43" t="e">
        <f ca="1"/>
        <v>#N/A</v>
      </c>
      <c r="I1115" s="42" t="str">
        <f ca="1"/>
        <v/>
      </c>
    </row>
    <row r="1116" spans="4:9" x14ac:dyDescent="0.25">
      <c r="D1116" s="19"/>
      <c r="G1116" s="43" t="str">
        <v/>
      </c>
      <c r="H1116" s="43" t="e">
        <f ca="1"/>
        <v>#N/A</v>
      </c>
      <c r="I1116" s="42" t="str">
        <f ca="1"/>
        <v/>
      </c>
    </row>
    <row r="1117" spans="4:9" x14ac:dyDescent="0.25">
      <c r="D1117" s="19"/>
      <c r="G1117" s="43" t="str">
        <v/>
      </c>
      <c r="H1117" s="43" t="e">
        <f ca="1"/>
        <v>#N/A</v>
      </c>
      <c r="I1117" s="42" t="str">
        <f ca="1"/>
        <v/>
      </c>
    </row>
    <row r="1118" spans="4:9" x14ac:dyDescent="0.25">
      <c r="D1118" s="19"/>
      <c r="G1118" s="43" t="str">
        <v/>
      </c>
      <c r="H1118" s="43" t="e">
        <f ca="1"/>
        <v>#N/A</v>
      </c>
      <c r="I1118" s="42" t="str">
        <f ca="1"/>
        <v/>
      </c>
    </row>
    <row r="1119" spans="4:9" x14ac:dyDescent="0.25">
      <c r="D1119" s="19"/>
      <c r="G1119" s="43" t="str">
        <v/>
      </c>
      <c r="H1119" s="43" t="e">
        <f ca="1"/>
        <v>#N/A</v>
      </c>
      <c r="I1119" s="42" t="str">
        <f ca="1"/>
        <v/>
      </c>
    </row>
    <row r="1120" spans="4:9" x14ac:dyDescent="0.25">
      <c r="D1120" s="19"/>
      <c r="G1120" s="43" t="str">
        <v/>
      </c>
      <c r="H1120" s="43" t="e">
        <f ca="1"/>
        <v>#N/A</v>
      </c>
      <c r="I1120" s="42" t="str">
        <f ca="1"/>
        <v/>
      </c>
    </row>
    <row r="1121" spans="4:9" x14ac:dyDescent="0.25">
      <c r="D1121" s="19"/>
      <c r="G1121" s="43" t="str">
        <v/>
      </c>
      <c r="H1121" s="43" t="e">
        <f ca="1"/>
        <v>#N/A</v>
      </c>
      <c r="I1121" s="42" t="str">
        <f ca="1"/>
        <v/>
      </c>
    </row>
    <row r="1122" spans="4:9" x14ac:dyDescent="0.25">
      <c r="D1122" s="19"/>
      <c r="G1122" s="43" t="str">
        <v/>
      </c>
      <c r="H1122" s="43" t="e">
        <f ca="1"/>
        <v>#N/A</v>
      </c>
      <c r="I1122" s="42" t="str">
        <f ca="1"/>
        <v/>
      </c>
    </row>
    <row r="1123" spans="4:9" x14ac:dyDescent="0.25">
      <c r="D1123" s="19"/>
      <c r="G1123" s="43" t="str">
        <v/>
      </c>
      <c r="H1123" s="43" t="e">
        <f ca="1"/>
        <v>#N/A</v>
      </c>
      <c r="I1123" s="42" t="str">
        <f ca="1"/>
        <v/>
      </c>
    </row>
    <row r="1124" spans="4:9" x14ac:dyDescent="0.25">
      <c r="D1124" s="19"/>
      <c r="G1124" s="43" t="str">
        <v/>
      </c>
      <c r="H1124" s="43" t="e">
        <f ca="1"/>
        <v>#N/A</v>
      </c>
      <c r="I1124" s="42" t="str">
        <f ca="1"/>
        <v/>
      </c>
    </row>
    <row r="1125" spans="4:9" x14ac:dyDescent="0.25">
      <c r="D1125" s="19"/>
      <c r="G1125" s="43" t="str">
        <v/>
      </c>
      <c r="H1125" s="43" t="e">
        <f ca="1"/>
        <v>#N/A</v>
      </c>
      <c r="I1125" s="42" t="str">
        <f ca="1"/>
        <v/>
      </c>
    </row>
    <row r="1126" spans="4:9" x14ac:dyDescent="0.25">
      <c r="D1126" s="19"/>
      <c r="G1126" s="43" t="str">
        <v/>
      </c>
      <c r="H1126" s="43" t="e">
        <f ca="1"/>
        <v>#N/A</v>
      </c>
      <c r="I1126" s="42" t="str">
        <f ca="1"/>
        <v/>
      </c>
    </row>
    <row r="1127" spans="4:9" x14ac:dyDescent="0.25">
      <c r="D1127" s="19"/>
      <c r="G1127" s="43" t="str">
        <v/>
      </c>
      <c r="H1127" s="43" t="e">
        <f ca="1"/>
        <v>#N/A</v>
      </c>
      <c r="I1127" s="42" t="str">
        <f ca="1"/>
        <v/>
      </c>
    </row>
    <row r="1128" spans="4:9" x14ac:dyDescent="0.25">
      <c r="D1128" s="19"/>
      <c r="G1128" s="43" t="str">
        <v/>
      </c>
      <c r="H1128" s="43" t="e">
        <f ca="1"/>
        <v>#N/A</v>
      </c>
      <c r="I1128" s="42" t="str">
        <f ca="1"/>
        <v/>
      </c>
    </row>
    <row r="1129" spans="4:9" x14ac:dyDescent="0.25">
      <c r="D1129" s="19"/>
      <c r="G1129" s="43" t="str">
        <v/>
      </c>
      <c r="H1129" s="43" t="e">
        <f ca="1"/>
        <v>#N/A</v>
      </c>
      <c r="I1129" s="42" t="str">
        <f ca="1"/>
        <v/>
      </c>
    </row>
    <row r="1130" spans="4:9" x14ac:dyDescent="0.25">
      <c r="D1130" s="19"/>
      <c r="G1130" s="43" t="str">
        <v/>
      </c>
      <c r="H1130" s="43" t="e">
        <f ca="1"/>
        <v>#N/A</v>
      </c>
      <c r="I1130" s="42" t="str">
        <f ca="1"/>
        <v/>
      </c>
    </row>
    <row r="1131" spans="4:9" x14ac:dyDescent="0.25">
      <c r="D1131" s="19"/>
      <c r="G1131" s="43" t="str">
        <v/>
      </c>
      <c r="H1131" s="43" t="e">
        <f ca="1"/>
        <v>#N/A</v>
      </c>
      <c r="I1131" s="42" t="str">
        <f ca="1"/>
        <v/>
      </c>
    </row>
    <row r="1132" spans="4:9" x14ac:dyDescent="0.25">
      <c r="D1132" s="19"/>
      <c r="G1132" s="43" t="str">
        <v/>
      </c>
      <c r="H1132" s="43" t="e">
        <f ca="1"/>
        <v>#N/A</v>
      </c>
      <c r="I1132" s="42" t="str">
        <f ca="1"/>
        <v/>
      </c>
    </row>
    <row r="1133" spans="4:9" x14ac:dyDescent="0.25">
      <c r="D1133" s="19"/>
      <c r="G1133" s="43" t="str">
        <v/>
      </c>
      <c r="H1133" s="43" t="e">
        <f ca="1"/>
        <v>#N/A</v>
      </c>
      <c r="I1133" s="42" t="str">
        <f ca="1"/>
        <v/>
      </c>
    </row>
    <row r="1134" spans="4:9" x14ac:dyDescent="0.25">
      <c r="D1134" s="19"/>
      <c r="G1134" s="43" t="str">
        <v/>
      </c>
      <c r="H1134" s="43" t="e">
        <f ca="1"/>
        <v>#N/A</v>
      </c>
      <c r="I1134" s="42" t="str">
        <f ca="1"/>
        <v/>
      </c>
    </row>
    <row r="1135" spans="4:9" x14ac:dyDescent="0.25">
      <c r="D1135" s="19"/>
      <c r="G1135" s="43" t="str">
        <v/>
      </c>
      <c r="H1135" s="43" t="e">
        <f ca="1"/>
        <v>#N/A</v>
      </c>
      <c r="I1135" s="42" t="str">
        <f ca="1"/>
        <v/>
      </c>
    </row>
    <row r="1136" spans="4:9" x14ac:dyDescent="0.25">
      <c r="D1136" s="19"/>
      <c r="G1136" s="43" t="str">
        <v/>
      </c>
      <c r="H1136" s="43" t="e">
        <f ca="1"/>
        <v>#N/A</v>
      </c>
      <c r="I1136" s="42" t="str">
        <f ca="1"/>
        <v/>
      </c>
    </row>
    <row r="1137" spans="4:9" x14ac:dyDescent="0.25">
      <c r="D1137" s="19"/>
      <c r="G1137" s="43" t="str">
        <v/>
      </c>
      <c r="H1137" s="43" t="e">
        <f ca="1"/>
        <v>#N/A</v>
      </c>
      <c r="I1137" s="42" t="str">
        <f ca="1"/>
        <v/>
      </c>
    </row>
    <row r="1138" spans="4:9" x14ac:dyDescent="0.25">
      <c r="D1138" s="19"/>
      <c r="G1138" s="43" t="str">
        <v/>
      </c>
      <c r="H1138" s="43" t="e">
        <f ca="1"/>
        <v>#N/A</v>
      </c>
      <c r="I1138" s="42" t="str">
        <f ca="1"/>
        <v/>
      </c>
    </row>
    <row r="1139" spans="4:9" x14ac:dyDescent="0.25">
      <c r="D1139" s="19"/>
      <c r="G1139" s="43" t="str">
        <v/>
      </c>
      <c r="H1139" s="43" t="e">
        <f ca="1"/>
        <v>#N/A</v>
      </c>
      <c r="I1139" s="42" t="str">
        <f ca="1"/>
        <v/>
      </c>
    </row>
    <row r="1140" spans="4:9" x14ac:dyDescent="0.25">
      <c r="D1140" s="19"/>
      <c r="G1140" s="43" t="str">
        <v/>
      </c>
      <c r="H1140" s="43" t="e">
        <f ca="1"/>
        <v>#N/A</v>
      </c>
      <c r="I1140" s="42" t="str">
        <f ca="1"/>
        <v/>
      </c>
    </row>
    <row r="1141" spans="4:9" x14ac:dyDescent="0.25">
      <c r="D1141" s="19"/>
      <c r="G1141" s="43" t="str">
        <v/>
      </c>
      <c r="H1141" s="43" t="e">
        <f ca="1"/>
        <v>#N/A</v>
      </c>
      <c r="I1141" s="42" t="str">
        <f ca="1"/>
        <v/>
      </c>
    </row>
    <row r="1142" spans="4:9" x14ac:dyDescent="0.25">
      <c r="D1142" s="19"/>
      <c r="G1142" s="43" t="str">
        <v/>
      </c>
      <c r="H1142" s="43" t="e">
        <f ca="1"/>
        <v>#N/A</v>
      </c>
      <c r="I1142" s="42" t="str">
        <f ca="1"/>
        <v/>
      </c>
    </row>
    <row r="1143" spans="4:9" x14ac:dyDescent="0.25">
      <c r="D1143" s="19"/>
      <c r="G1143" s="43" t="str">
        <v/>
      </c>
      <c r="H1143" s="43" t="e">
        <f ca="1"/>
        <v>#N/A</v>
      </c>
      <c r="I1143" s="42" t="str">
        <f ca="1"/>
        <v/>
      </c>
    </row>
    <row r="1144" spans="4:9" x14ac:dyDescent="0.25">
      <c r="D1144" s="19"/>
      <c r="G1144" s="43" t="str">
        <v/>
      </c>
      <c r="H1144" s="43" t="e">
        <f ca="1"/>
        <v>#N/A</v>
      </c>
      <c r="I1144" s="42" t="str">
        <f ca="1"/>
        <v/>
      </c>
    </row>
    <row r="1145" spans="4:9" x14ac:dyDescent="0.25">
      <c r="D1145" s="19"/>
      <c r="G1145" s="43" t="str">
        <v/>
      </c>
      <c r="H1145" s="43" t="e">
        <f ca="1"/>
        <v>#N/A</v>
      </c>
      <c r="I1145" s="42" t="str">
        <f ca="1"/>
        <v/>
      </c>
    </row>
    <row r="1146" spans="4:9" x14ac:dyDescent="0.25">
      <c r="D1146" s="19"/>
      <c r="G1146" s="43" t="str">
        <v/>
      </c>
      <c r="H1146" s="43" t="e">
        <f ca="1"/>
        <v>#N/A</v>
      </c>
      <c r="I1146" s="42" t="str">
        <f ca="1"/>
        <v/>
      </c>
    </row>
    <row r="1147" spans="4:9" x14ac:dyDescent="0.25">
      <c r="D1147" s="19"/>
      <c r="G1147" s="43" t="str">
        <v/>
      </c>
      <c r="H1147" s="43" t="e">
        <f ca="1"/>
        <v>#N/A</v>
      </c>
      <c r="I1147" s="42" t="str">
        <f ca="1"/>
        <v/>
      </c>
    </row>
    <row r="1148" spans="4:9" x14ac:dyDescent="0.25">
      <c r="D1148" s="19"/>
      <c r="G1148" s="43" t="str">
        <v/>
      </c>
      <c r="H1148" s="43" t="e">
        <f ca="1"/>
        <v>#N/A</v>
      </c>
      <c r="I1148" s="42" t="str">
        <f ca="1"/>
        <v/>
      </c>
    </row>
    <row r="1149" spans="4:9" x14ac:dyDescent="0.25">
      <c r="D1149" s="19"/>
      <c r="G1149" s="43" t="str">
        <v/>
      </c>
      <c r="H1149" s="43" t="e">
        <f ca="1"/>
        <v>#N/A</v>
      </c>
      <c r="I1149" s="42" t="str">
        <f ca="1"/>
        <v/>
      </c>
    </row>
    <row r="1150" spans="4:9" x14ac:dyDescent="0.25">
      <c r="D1150" s="19"/>
      <c r="G1150" s="43" t="str">
        <v/>
      </c>
      <c r="H1150" s="43" t="e">
        <f ca="1"/>
        <v>#N/A</v>
      </c>
      <c r="I1150" s="42" t="str">
        <f ca="1"/>
        <v/>
      </c>
    </row>
    <row r="1151" spans="4:9" x14ac:dyDescent="0.25">
      <c r="D1151" s="19"/>
      <c r="G1151" s="43" t="str">
        <v/>
      </c>
      <c r="H1151" s="43" t="e">
        <f ca="1"/>
        <v>#N/A</v>
      </c>
      <c r="I1151" s="42" t="str">
        <f ca="1"/>
        <v/>
      </c>
    </row>
    <row r="1152" spans="4:9" x14ac:dyDescent="0.25">
      <c r="D1152" s="19"/>
      <c r="G1152" s="43" t="str">
        <v/>
      </c>
      <c r="H1152" s="43" t="e">
        <f ca="1"/>
        <v>#N/A</v>
      </c>
      <c r="I1152" s="42" t="str">
        <f ca="1"/>
        <v/>
      </c>
    </row>
    <row r="1153" spans="4:9" x14ac:dyDescent="0.25">
      <c r="D1153" s="19"/>
      <c r="G1153" s="43" t="str">
        <v/>
      </c>
      <c r="H1153" s="43" t="e">
        <f ca="1"/>
        <v>#N/A</v>
      </c>
      <c r="I1153" s="42" t="str">
        <f ca="1"/>
        <v/>
      </c>
    </row>
    <row r="1154" spans="4:9" x14ac:dyDescent="0.25">
      <c r="D1154" s="19"/>
      <c r="G1154" s="43" t="str">
        <v/>
      </c>
      <c r="H1154" s="43" t="e">
        <f ca="1"/>
        <v>#N/A</v>
      </c>
      <c r="I1154" s="42" t="str">
        <f ca="1"/>
        <v/>
      </c>
    </row>
    <row r="1155" spans="4:9" x14ac:dyDescent="0.25">
      <c r="D1155" s="19"/>
      <c r="G1155" s="43" t="str">
        <v/>
      </c>
      <c r="H1155" s="43" t="e">
        <f ca="1"/>
        <v>#N/A</v>
      </c>
      <c r="I1155" s="42" t="str">
        <f ca="1"/>
        <v/>
      </c>
    </row>
    <row r="1156" spans="4:9" x14ac:dyDescent="0.25">
      <c r="D1156" s="19"/>
      <c r="G1156" s="43" t="str">
        <v/>
      </c>
      <c r="H1156" s="43" t="e">
        <f ca="1"/>
        <v>#N/A</v>
      </c>
      <c r="I1156" s="42" t="str">
        <f ca="1"/>
        <v/>
      </c>
    </row>
    <row r="1157" spans="4:9" x14ac:dyDescent="0.25">
      <c r="D1157" s="19"/>
      <c r="G1157" s="43" t="str">
        <v/>
      </c>
      <c r="H1157" s="43" t="e">
        <f ca="1"/>
        <v>#N/A</v>
      </c>
      <c r="I1157" s="42" t="str">
        <f ca="1"/>
        <v/>
      </c>
    </row>
    <row r="1158" spans="4:9" x14ac:dyDescent="0.25">
      <c r="D1158" s="19"/>
      <c r="G1158" s="43" t="str">
        <v/>
      </c>
      <c r="H1158" s="43" t="e">
        <f ca="1"/>
        <v>#N/A</v>
      </c>
      <c r="I1158" s="42" t="str">
        <f ca="1"/>
        <v/>
      </c>
    </row>
    <row r="1159" spans="4:9" x14ac:dyDescent="0.25">
      <c r="D1159" s="19"/>
      <c r="G1159" s="43" t="str">
        <v/>
      </c>
      <c r="H1159" s="43" t="e">
        <f ca="1"/>
        <v>#N/A</v>
      </c>
      <c r="I1159" s="42" t="str">
        <f ca="1"/>
        <v/>
      </c>
    </row>
    <row r="1160" spans="4:9" x14ac:dyDescent="0.25">
      <c r="D1160" s="19"/>
      <c r="G1160" s="43" t="str">
        <v/>
      </c>
      <c r="H1160" s="43" t="e">
        <f ca="1"/>
        <v>#N/A</v>
      </c>
      <c r="I1160" s="42" t="str">
        <f ca="1"/>
        <v/>
      </c>
    </row>
    <row r="1161" spans="4:9" x14ac:dyDescent="0.25">
      <c r="D1161" s="19"/>
      <c r="G1161" s="43" t="str">
        <v/>
      </c>
      <c r="H1161" s="43" t="e">
        <f ca="1"/>
        <v>#N/A</v>
      </c>
      <c r="I1161" s="42" t="str">
        <f ca="1"/>
        <v/>
      </c>
    </row>
    <row r="1162" spans="4:9" x14ac:dyDescent="0.25">
      <c r="D1162" s="19"/>
      <c r="G1162" s="43" t="str">
        <v/>
      </c>
      <c r="H1162" s="43" t="e">
        <f ca="1"/>
        <v>#N/A</v>
      </c>
      <c r="I1162" s="42" t="str">
        <f ca="1"/>
        <v/>
      </c>
    </row>
    <row r="1163" spans="4:9" x14ac:dyDescent="0.25">
      <c r="D1163" s="19"/>
      <c r="G1163" s="43" t="str">
        <v/>
      </c>
      <c r="H1163" s="43" t="e">
        <f ca="1"/>
        <v>#N/A</v>
      </c>
      <c r="I1163" s="42" t="str">
        <f ca="1"/>
        <v/>
      </c>
    </row>
    <row r="1164" spans="4:9" x14ac:dyDescent="0.25">
      <c r="D1164" s="19"/>
      <c r="G1164" s="43" t="str">
        <v/>
      </c>
      <c r="H1164" s="43" t="e">
        <f ca="1"/>
        <v>#N/A</v>
      </c>
      <c r="I1164" s="42" t="str">
        <f ca="1"/>
        <v/>
      </c>
    </row>
    <row r="1165" spans="4:9" x14ac:dyDescent="0.25">
      <c r="D1165" s="19"/>
      <c r="G1165" s="43" t="str">
        <v/>
      </c>
      <c r="H1165" s="43" t="e">
        <f ca="1"/>
        <v>#N/A</v>
      </c>
      <c r="I1165" s="42" t="str">
        <f ca="1"/>
        <v/>
      </c>
    </row>
    <row r="1166" spans="4:9" x14ac:dyDescent="0.25">
      <c r="D1166" s="19"/>
      <c r="G1166" s="43" t="str">
        <v/>
      </c>
      <c r="H1166" s="43" t="e">
        <f ca="1"/>
        <v>#N/A</v>
      </c>
      <c r="I1166" s="42" t="str">
        <f ca="1"/>
        <v/>
      </c>
    </row>
    <row r="1167" spans="4:9" x14ac:dyDescent="0.25">
      <c r="D1167" s="19"/>
      <c r="G1167" s="43" t="str">
        <v/>
      </c>
      <c r="H1167" s="43" t="e">
        <f ca="1"/>
        <v>#N/A</v>
      </c>
      <c r="I1167" s="42" t="str">
        <f ca="1"/>
        <v/>
      </c>
    </row>
    <row r="1168" spans="4:9" x14ac:dyDescent="0.25">
      <c r="D1168" s="19"/>
      <c r="G1168" s="43" t="str">
        <v/>
      </c>
      <c r="H1168" s="43" t="e">
        <f ca="1"/>
        <v>#N/A</v>
      </c>
      <c r="I1168" s="42" t="str">
        <f ca="1"/>
        <v/>
      </c>
    </row>
    <row r="1169" spans="4:9" x14ac:dyDescent="0.25">
      <c r="D1169" s="19"/>
      <c r="G1169" s="43" t="str">
        <v/>
      </c>
      <c r="H1169" s="43" t="e">
        <f ca="1"/>
        <v>#N/A</v>
      </c>
      <c r="I1169" s="42" t="str">
        <f ca="1"/>
        <v/>
      </c>
    </row>
    <row r="1170" spans="4:9" x14ac:dyDescent="0.25">
      <c r="D1170" s="19"/>
      <c r="G1170" s="43" t="str">
        <v/>
      </c>
      <c r="H1170" s="43" t="e">
        <f ca="1"/>
        <v>#N/A</v>
      </c>
      <c r="I1170" s="42" t="str">
        <f ca="1"/>
        <v/>
      </c>
    </row>
    <row r="1171" spans="4:9" x14ac:dyDescent="0.25">
      <c r="D1171" s="19"/>
      <c r="G1171" s="43" t="str">
        <v/>
      </c>
      <c r="H1171" s="43" t="e">
        <f ca="1"/>
        <v>#N/A</v>
      </c>
      <c r="I1171" s="42" t="str">
        <f ca="1"/>
        <v/>
      </c>
    </row>
    <row r="1172" spans="4:9" x14ac:dyDescent="0.25">
      <c r="D1172" s="19"/>
      <c r="G1172" s="43" t="str">
        <v/>
      </c>
      <c r="H1172" s="43" t="e">
        <f ca="1"/>
        <v>#N/A</v>
      </c>
      <c r="I1172" s="42" t="str">
        <f ca="1"/>
        <v/>
      </c>
    </row>
    <row r="1173" spans="4:9" x14ac:dyDescent="0.25">
      <c r="D1173" s="19"/>
      <c r="G1173" s="43" t="str">
        <v/>
      </c>
      <c r="H1173" s="43" t="e">
        <f ca="1"/>
        <v>#N/A</v>
      </c>
      <c r="I1173" s="42" t="str">
        <f ca="1"/>
        <v/>
      </c>
    </row>
    <row r="1174" spans="4:9" x14ac:dyDescent="0.25">
      <c r="D1174" s="19"/>
      <c r="G1174" s="43" t="str">
        <v/>
      </c>
      <c r="H1174" s="43" t="e">
        <f ca="1"/>
        <v>#N/A</v>
      </c>
      <c r="I1174" s="42" t="str">
        <f ca="1"/>
        <v/>
      </c>
    </row>
    <row r="1175" spans="4:9" x14ac:dyDescent="0.25">
      <c r="D1175" s="19"/>
      <c r="G1175" s="43" t="str">
        <v/>
      </c>
      <c r="H1175" s="43" t="e">
        <f ca="1"/>
        <v>#N/A</v>
      </c>
      <c r="I1175" s="42" t="str">
        <f ca="1"/>
        <v/>
      </c>
    </row>
    <row r="1176" spans="4:9" x14ac:dyDescent="0.25">
      <c r="D1176" s="19"/>
      <c r="G1176" s="43" t="str">
        <v/>
      </c>
      <c r="H1176" s="43" t="e">
        <f ca="1"/>
        <v>#N/A</v>
      </c>
      <c r="I1176" s="42" t="str">
        <f ca="1"/>
        <v/>
      </c>
    </row>
    <row r="1177" spans="4:9" x14ac:dyDescent="0.25">
      <c r="D1177" s="19"/>
      <c r="G1177" s="43" t="str">
        <v/>
      </c>
      <c r="H1177" s="43" t="e">
        <f ca="1"/>
        <v>#N/A</v>
      </c>
      <c r="I1177" s="42" t="str">
        <f ca="1"/>
        <v/>
      </c>
    </row>
    <row r="1178" spans="4:9" x14ac:dyDescent="0.25">
      <c r="D1178" s="19"/>
      <c r="G1178" s="43" t="str">
        <v/>
      </c>
      <c r="H1178" s="43" t="e">
        <f ca="1"/>
        <v>#N/A</v>
      </c>
      <c r="I1178" s="42" t="str">
        <f ca="1"/>
        <v/>
      </c>
    </row>
    <row r="1179" spans="4:9" x14ac:dyDescent="0.25">
      <c r="D1179" s="19"/>
      <c r="G1179" s="43" t="str">
        <v/>
      </c>
      <c r="H1179" s="43" t="e">
        <f ca="1"/>
        <v>#N/A</v>
      </c>
      <c r="I1179" s="42" t="str">
        <f ca="1"/>
        <v/>
      </c>
    </row>
    <row r="1180" spans="4:9" x14ac:dyDescent="0.25">
      <c r="D1180" s="19"/>
      <c r="G1180" s="43" t="str">
        <v/>
      </c>
      <c r="H1180" s="43" t="e">
        <f ca="1"/>
        <v>#N/A</v>
      </c>
      <c r="I1180" s="42" t="str">
        <f ca="1"/>
        <v/>
      </c>
    </row>
    <row r="1181" spans="4:9" x14ac:dyDescent="0.25">
      <c r="D1181" s="19"/>
      <c r="G1181" s="43" t="str">
        <v/>
      </c>
      <c r="H1181" s="43" t="e">
        <f ca="1"/>
        <v>#N/A</v>
      </c>
      <c r="I1181" s="42" t="str">
        <f ca="1"/>
        <v/>
      </c>
    </row>
    <row r="1182" spans="4:9" x14ac:dyDescent="0.25">
      <c r="D1182" s="19"/>
      <c r="G1182" s="43" t="str">
        <v/>
      </c>
      <c r="H1182" s="43" t="e">
        <f ca="1"/>
        <v>#N/A</v>
      </c>
      <c r="I1182" s="42" t="str">
        <f ca="1"/>
        <v/>
      </c>
    </row>
    <row r="1183" spans="4:9" x14ac:dyDescent="0.25">
      <c r="D1183" s="19"/>
      <c r="G1183" s="43" t="str">
        <v/>
      </c>
      <c r="H1183" s="43" t="e">
        <f ca="1"/>
        <v>#N/A</v>
      </c>
      <c r="I1183" s="42" t="str">
        <f ca="1"/>
        <v/>
      </c>
    </row>
    <row r="1184" spans="4:9" x14ac:dyDescent="0.25">
      <c r="D1184" s="19"/>
      <c r="G1184" s="43" t="str">
        <v/>
      </c>
      <c r="H1184" s="43" t="e">
        <f ca="1"/>
        <v>#N/A</v>
      </c>
      <c r="I1184" s="42" t="str">
        <f ca="1"/>
        <v/>
      </c>
    </row>
    <row r="1185" spans="4:9" x14ac:dyDescent="0.25">
      <c r="D1185" s="19"/>
      <c r="G1185" s="43" t="str">
        <v/>
      </c>
      <c r="H1185" s="43" t="e">
        <f ca="1"/>
        <v>#N/A</v>
      </c>
      <c r="I1185" s="42" t="str">
        <f ca="1"/>
        <v/>
      </c>
    </row>
    <row r="1186" spans="4:9" x14ac:dyDescent="0.25">
      <c r="D1186" s="19"/>
      <c r="G1186" s="43" t="str">
        <v/>
      </c>
      <c r="H1186" s="43" t="e">
        <f ca="1"/>
        <v>#N/A</v>
      </c>
      <c r="I1186" s="42" t="str">
        <f ca="1"/>
        <v/>
      </c>
    </row>
    <row r="1187" spans="4:9" x14ac:dyDescent="0.25">
      <c r="D1187" s="19"/>
      <c r="G1187" s="43" t="str">
        <v/>
      </c>
      <c r="H1187" s="43" t="e">
        <f ca="1"/>
        <v>#N/A</v>
      </c>
      <c r="I1187" s="42" t="str">
        <f ca="1"/>
        <v/>
      </c>
    </row>
    <row r="1188" spans="4:9" x14ac:dyDescent="0.25">
      <c r="D1188" s="19"/>
      <c r="G1188" s="43" t="str">
        <v/>
      </c>
      <c r="H1188" s="43" t="e">
        <f ca="1"/>
        <v>#N/A</v>
      </c>
      <c r="I1188" s="42" t="str">
        <f ca="1"/>
        <v/>
      </c>
    </row>
    <row r="1189" spans="4:9" x14ac:dyDescent="0.25">
      <c r="D1189" s="19"/>
      <c r="G1189" s="43" t="str">
        <v/>
      </c>
      <c r="H1189" s="43" t="e">
        <f ca="1"/>
        <v>#N/A</v>
      </c>
      <c r="I1189" s="42" t="str">
        <f ca="1"/>
        <v/>
      </c>
    </row>
    <row r="1190" spans="4:9" x14ac:dyDescent="0.25">
      <c r="D1190" s="19"/>
      <c r="G1190" s="43" t="str">
        <v/>
      </c>
      <c r="H1190" s="43" t="e">
        <f ca="1"/>
        <v>#N/A</v>
      </c>
      <c r="I1190" s="42" t="str">
        <f ca="1"/>
        <v/>
      </c>
    </row>
    <row r="1191" spans="4:9" x14ac:dyDescent="0.25">
      <c r="D1191" s="19"/>
      <c r="G1191" s="43" t="str">
        <v/>
      </c>
      <c r="H1191" s="43" t="e">
        <f ca="1"/>
        <v>#N/A</v>
      </c>
      <c r="I1191" s="42" t="str">
        <f ca="1"/>
        <v/>
      </c>
    </row>
    <row r="1192" spans="4:9" x14ac:dyDescent="0.25">
      <c r="D1192" s="19"/>
      <c r="G1192" s="43" t="str">
        <v/>
      </c>
      <c r="H1192" s="43" t="e">
        <f ca="1"/>
        <v>#N/A</v>
      </c>
      <c r="I1192" s="42" t="str">
        <f ca="1"/>
        <v/>
      </c>
    </row>
    <row r="1193" spans="4:9" x14ac:dyDescent="0.25">
      <c r="D1193" s="19"/>
      <c r="G1193" s="43" t="str">
        <v/>
      </c>
      <c r="H1193" s="43" t="e">
        <f ca="1"/>
        <v>#N/A</v>
      </c>
      <c r="I1193" s="42" t="str">
        <f ca="1"/>
        <v/>
      </c>
    </row>
    <row r="1194" spans="4:9" x14ac:dyDescent="0.25">
      <c r="D1194" s="19"/>
      <c r="G1194" s="43" t="str">
        <v/>
      </c>
      <c r="H1194" s="43" t="e">
        <f ca="1"/>
        <v>#N/A</v>
      </c>
      <c r="I1194" s="42" t="str">
        <f ca="1"/>
        <v/>
      </c>
    </row>
    <row r="1195" spans="4:9" x14ac:dyDescent="0.25">
      <c r="D1195" s="19"/>
      <c r="G1195" s="43" t="str">
        <v/>
      </c>
      <c r="H1195" s="43" t="e">
        <f ca="1"/>
        <v>#N/A</v>
      </c>
      <c r="I1195" s="42" t="str">
        <f ca="1"/>
        <v/>
      </c>
    </row>
    <row r="1196" spans="4:9" x14ac:dyDescent="0.25">
      <c r="D1196" s="19"/>
      <c r="G1196" s="43" t="str">
        <v/>
      </c>
      <c r="H1196" s="43" t="e">
        <f ca="1"/>
        <v>#N/A</v>
      </c>
      <c r="I1196" s="42" t="str">
        <f ca="1"/>
        <v/>
      </c>
    </row>
    <row r="1197" spans="4:9" x14ac:dyDescent="0.25">
      <c r="D1197" s="19"/>
      <c r="G1197" s="43" t="str">
        <v/>
      </c>
      <c r="H1197" s="43" t="e">
        <f ca="1"/>
        <v>#N/A</v>
      </c>
      <c r="I1197" s="42" t="str">
        <f ca="1"/>
        <v/>
      </c>
    </row>
    <row r="1198" spans="4:9" x14ac:dyDescent="0.25">
      <c r="D1198" s="19"/>
      <c r="G1198" s="43" t="str">
        <v/>
      </c>
      <c r="H1198" s="43" t="e">
        <f ca="1"/>
        <v>#N/A</v>
      </c>
      <c r="I1198" s="42" t="str">
        <f ca="1"/>
        <v/>
      </c>
    </row>
    <row r="1199" spans="4:9" x14ac:dyDescent="0.25">
      <c r="D1199" s="19"/>
      <c r="G1199" s="43" t="str">
        <v/>
      </c>
      <c r="H1199" s="43" t="e">
        <f ca="1"/>
        <v>#N/A</v>
      </c>
      <c r="I1199" s="42" t="str">
        <f ca="1"/>
        <v/>
      </c>
    </row>
    <row r="1200" spans="4:9" x14ac:dyDescent="0.25">
      <c r="D1200" s="19"/>
      <c r="G1200" s="43" t="str">
        <v/>
      </c>
      <c r="H1200" s="43" t="e">
        <f ca="1"/>
        <v>#N/A</v>
      </c>
      <c r="I1200" s="42" t="str">
        <f ca="1"/>
        <v/>
      </c>
    </row>
    <row r="1201" spans="4:9" x14ac:dyDescent="0.25">
      <c r="D1201" s="19"/>
      <c r="G1201" s="43" t="str">
        <v/>
      </c>
      <c r="H1201" s="43" t="e">
        <f ca="1"/>
        <v>#N/A</v>
      </c>
      <c r="I1201" s="42" t="str">
        <f ca="1"/>
        <v/>
      </c>
    </row>
    <row r="1202" spans="4:9" x14ac:dyDescent="0.25">
      <c r="D1202" s="19"/>
      <c r="G1202" s="43" t="str">
        <v/>
      </c>
      <c r="H1202" s="43" t="e">
        <f ca="1"/>
        <v>#N/A</v>
      </c>
      <c r="I1202" s="42" t="str">
        <f ca="1"/>
        <v/>
      </c>
    </row>
    <row r="1203" spans="4:9" x14ac:dyDescent="0.25">
      <c r="D1203" s="19"/>
      <c r="G1203" s="43" t="str">
        <v/>
      </c>
      <c r="H1203" s="43" t="e">
        <f ca="1"/>
        <v>#N/A</v>
      </c>
      <c r="I1203" s="42" t="str">
        <f ca="1"/>
        <v/>
      </c>
    </row>
    <row r="1204" spans="4:9" x14ac:dyDescent="0.25">
      <c r="D1204" s="19"/>
      <c r="G1204" s="43" t="str">
        <v/>
      </c>
      <c r="H1204" s="43" t="e">
        <f ca="1"/>
        <v>#N/A</v>
      </c>
      <c r="I1204" s="42" t="str">
        <f ca="1"/>
        <v/>
      </c>
    </row>
    <row r="1205" spans="4:9" x14ac:dyDescent="0.25">
      <c r="D1205" s="19"/>
      <c r="G1205" s="43" t="str">
        <v/>
      </c>
      <c r="H1205" s="43" t="e">
        <f ca="1"/>
        <v>#N/A</v>
      </c>
      <c r="I1205" s="42" t="str">
        <f ca="1"/>
        <v/>
      </c>
    </row>
    <row r="1206" spans="4:9" x14ac:dyDescent="0.25">
      <c r="D1206" s="19"/>
      <c r="G1206" s="43" t="str">
        <v/>
      </c>
      <c r="H1206" s="43" t="e">
        <f ca="1"/>
        <v>#N/A</v>
      </c>
      <c r="I1206" s="42" t="str">
        <f ca="1"/>
        <v/>
      </c>
    </row>
    <row r="1207" spans="4:9" x14ac:dyDescent="0.25">
      <c r="D1207" s="19"/>
      <c r="G1207" s="43" t="str">
        <v/>
      </c>
      <c r="H1207" s="43" t="e">
        <f ca="1"/>
        <v>#N/A</v>
      </c>
      <c r="I1207" s="42" t="str">
        <f ca="1"/>
        <v/>
      </c>
    </row>
    <row r="1208" spans="4:9" x14ac:dyDescent="0.25">
      <c r="D1208" s="19"/>
      <c r="G1208" s="43" t="str">
        <v/>
      </c>
      <c r="H1208" s="43" t="e">
        <f ca="1"/>
        <v>#N/A</v>
      </c>
      <c r="I1208" s="42" t="str">
        <f ca="1"/>
        <v/>
      </c>
    </row>
    <row r="1209" spans="4:9" x14ac:dyDescent="0.25">
      <c r="D1209" s="19"/>
      <c r="G1209" s="43" t="str">
        <v/>
      </c>
      <c r="H1209" s="43" t="e">
        <f ca="1"/>
        <v>#N/A</v>
      </c>
      <c r="I1209" s="42" t="str">
        <f ca="1"/>
        <v/>
      </c>
    </row>
    <row r="1210" spans="4:9" x14ac:dyDescent="0.25">
      <c r="D1210" s="19"/>
      <c r="G1210" s="43" t="str">
        <v/>
      </c>
      <c r="H1210" s="43" t="e">
        <f ca="1"/>
        <v>#N/A</v>
      </c>
      <c r="I1210" s="42" t="str">
        <f ca="1"/>
        <v/>
      </c>
    </row>
    <row r="1211" spans="4:9" x14ac:dyDescent="0.25">
      <c r="D1211" s="19"/>
      <c r="G1211" s="43" t="str">
        <v/>
      </c>
      <c r="H1211" s="43" t="e">
        <f ca="1"/>
        <v>#N/A</v>
      </c>
      <c r="I1211" s="42" t="str">
        <f ca="1"/>
        <v/>
      </c>
    </row>
    <row r="1212" spans="4:9" x14ac:dyDescent="0.25">
      <c r="D1212" s="19"/>
      <c r="G1212" s="43" t="str">
        <v/>
      </c>
      <c r="H1212" s="43" t="e">
        <f ca="1"/>
        <v>#N/A</v>
      </c>
      <c r="I1212" s="42" t="str">
        <f ca="1"/>
        <v/>
      </c>
    </row>
    <row r="1213" spans="4:9" x14ac:dyDescent="0.25">
      <c r="D1213" s="19"/>
      <c r="G1213" s="43" t="str">
        <v/>
      </c>
      <c r="H1213" s="43" t="e">
        <f ca="1"/>
        <v>#N/A</v>
      </c>
      <c r="I1213" s="42" t="str">
        <f ca="1"/>
        <v/>
      </c>
    </row>
    <row r="1214" spans="4:9" x14ac:dyDescent="0.25">
      <c r="D1214" s="19"/>
      <c r="G1214" s="43" t="str">
        <v/>
      </c>
      <c r="H1214" s="43" t="e">
        <f ca="1"/>
        <v>#N/A</v>
      </c>
      <c r="I1214" s="42" t="str">
        <f ca="1"/>
        <v/>
      </c>
    </row>
    <row r="1215" spans="4:9" x14ac:dyDescent="0.25">
      <c r="D1215" s="19"/>
      <c r="G1215" s="43" t="str">
        <v/>
      </c>
      <c r="H1215" s="43" t="e">
        <f ca="1"/>
        <v>#N/A</v>
      </c>
      <c r="I1215" s="42" t="str">
        <f ca="1"/>
        <v/>
      </c>
    </row>
    <row r="1216" spans="4:9" x14ac:dyDescent="0.25">
      <c r="D1216" s="19"/>
      <c r="G1216" s="43" t="str">
        <v/>
      </c>
      <c r="H1216" s="43" t="e">
        <f ca="1"/>
        <v>#N/A</v>
      </c>
      <c r="I1216" s="42" t="str">
        <f ca="1"/>
        <v/>
      </c>
    </row>
    <row r="1217" spans="4:9" x14ac:dyDescent="0.25">
      <c r="D1217" s="19"/>
      <c r="G1217" s="43" t="str">
        <v/>
      </c>
      <c r="H1217" s="43" t="e">
        <f ca="1"/>
        <v>#N/A</v>
      </c>
      <c r="I1217" s="42" t="str">
        <f ca="1"/>
        <v/>
      </c>
    </row>
    <row r="1218" spans="4:9" x14ac:dyDescent="0.25">
      <c r="D1218" s="19"/>
      <c r="G1218" s="43" t="str">
        <v/>
      </c>
      <c r="H1218" s="43" t="e">
        <f ca="1"/>
        <v>#N/A</v>
      </c>
      <c r="I1218" s="42" t="str">
        <f ca="1"/>
        <v/>
      </c>
    </row>
    <row r="1219" spans="4:9" x14ac:dyDescent="0.25">
      <c r="D1219" s="19"/>
      <c r="G1219" s="43" t="str">
        <v/>
      </c>
      <c r="H1219" s="43" t="e">
        <f ca="1"/>
        <v>#N/A</v>
      </c>
      <c r="I1219" s="42" t="str">
        <f ca="1"/>
        <v/>
      </c>
    </row>
    <row r="1220" spans="4:9" x14ac:dyDescent="0.25">
      <c r="D1220" s="19"/>
      <c r="G1220" s="43" t="str">
        <v/>
      </c>
      <c r="H1220" s="43" t="e">
        <f ca="1"/>
        <v>#N/A</v>
      </c>
      <c r="I1220" s="42" t="str">
        <f ca="1"/>
        <v/>
      </c>
    </row>
    <row r="1221" spans="4:9" x14ac:dyDescent="0.25">
      <c r="D1221" s="19"/>
      <c r="G1221" s="43" t="str">
        <v/>
      </c>
      <c r="H1221" s="43" t="e">
        <f ca="1"/>
        <v>#N/A</v>
      </c>
      <c r="I1221" s="42" t="str">
        <f ca="1"/>
        <v/>
      </c>
    </row>
    <row r="1222" spans="4:9" x14ac:dyDescent="0.25">
      <c r="D1222" s="19"/>
      <c r="G1222" s="43" t="str">
        <v/>
      </c>
      <c r="H1222" s="43" t="e">
        <f ca="1"/>
        <v>#N/A</v>
      </c>
      <c r="I1222" s="42" t="str">
        <f ca="1"/>
        <v/>
      </c>
    </row>
    <row r="1223" spans="4:9" x14ac:dyDescent="0.25">
      <c r="D1223" s="19"/>
      <c r="G1223" s="43" t="str">
        <v/>
      </c>
      <c r="H1223" s="43" t="e">
        <f ca="1"/>
        <v>#N/A</v>
      </c>
      <c r="I1223" s="42" t="str">
        <f ca="1"/>
        <v/>
      </c>
    </row>
    <row r="1224" spans="4:9" x14ac:dyDescent="0.25">
      <c r="D1224" s="19"/>
      <c r="G1224" s="43" t="str">
        <v/>
      </c>
      <c r="H1224" s="43" t="e">
        <f ca="1"/>
        <v>#N/A</v>
      </c>
      <c r="I1224" s="42" t="str">
        <f ca="1"/>
        <v/>
      </c>
    </row>
    <row r="1225" spans="4:9" x14ac:dyDescent="0.25">
      <c r="D1225" s="19"/>
      <c r="G1225" s="43" t="str">
        <v/>
      </c>
      <c r="H1225" s="43" t="e">
        <f ca="1"/>
        <v>#N/A</v>
      </c>
      <c r="I1225" s="42" t="str">
        <f ca="1"/>
        <v/>
      </c>
    </row>
    <row r="1226" spans="4:9" x14ac:dyDescent="0.25">
      <c r="D1226" s="19"/>
      <c r="G1226" s="43" t="str">
        <v/>
      </c>
      <c r="H1226" s="43" t="e">
        <f ca="1"/>
        <v>#N/A</v>
      </c>
      <c r="I1226" s="42" t="str">
        <f ca="1"/>
        <v/>
      </c>
    </row>
    <row r="1227" spans="4:9" x14ac:dyDescent="0.25">
      <c r="D1227" s="19"/>
      <c r="G1227" s="43" t="str">
        <v/>
      </c>
      <c r="H1227" s="43" t="e">
        <f ca="1"/>
        <v>#N/A</v>
      </c>
      <c r="I1227" s="42" t="str">
        <f ca="1"/>
        <v/>
      </c>
    </row>
    <row r="1228" spans="4:9" x14ac:dyDescent="0.25">
      <c r="D1228" s="19"/>
      <c r="G1228" s="43" t="str">
        <v/>
      </c>
      <c r="H1228" s="43" t="e">
        <f ca="1"/>
        <v>#N/A</v>
      </c>
      <c r="I1228" s="42" t="str">
        <f ca="1"/>
        <v/>
      </c>
    </row>
    <row r="1229" spans="4:9" x14ac:dyDescent="0.25">
      <c r="D1229" s="19"/>
      <c r="G1229" s="43" t="str">
        <v/>
      </c>
      <c r="H1229" s="43" t="e">
        <f ca="1"/>
        <v>#N/A</v>
      </c>
      <c r="I1229" s="42" t="str">
        <f ca="1"/>
        <v/>
      </c>
    </row>
    <row r="1230" spans="4:9" x14ac:dyDescent="0.25">
      <c r="D1230" s="19"/>
      <c r="G1230" s="43" t="str">
        <v/>
      </c>
      <c r="H1230" s="43" t="e">
        <f ca="1"/>
        <v>#N/A</v>
      </c>
      <c r="I1230" s="42" t="str">
        <f ca="1"/>
        <v/>
      </c>
    </row>
    <row r="1231" spans="4:9" x14ac:dyDescent="0.25">
      <c r="D1231" s="19"/>
      <c r="G1231" s="43" t="str">
        <v/>
      </c>
      <c r="H1231" s="43" t="e">
        <f ca="1"/>
        <v>#N/A</v>
      </c>
      <c r="I1231" s="42" t="str">
        <f ca="1"/>
        <v/>
      </c>
    </row>
    <row r="1232" spans="4:9" x14ac:dyDescent="0.25">
      <c r="D1232" s="19"/>
      <c r="G1232" s="43" t="str">
        <v/>
      </c>
      <c r="H1232" s="43" t="e">
        <f ca="1"/>
        <v>#N/A</v>
      </c>
      <c r="I1232" s="42" t="str">
        <f ca="1"/>
        <v/>
      </c>
    </row>
    <row r="1233" spans="4:9" x14ac:dyDescent="0.25">
      <c r="D1233" s="19"/>
      <c r="G1233" s="43" t="str">
        <v/>
      </c>
      <c r="H1233" s="43" t="e">
        <f ca="1"/>
        <v>#N/A</v>
      </c>
      <c r="I1233" s="42" t="str">
        <f ca="1"/>
        <v/>
      </c>
    </row>
    <row r="1234" spans="4:9" x14ac:dyDescent="0.25">
      <c r="D1234" s="19"/>
      <c r="G1234" s="43" t="str">
        <v/>
      </c>
      <c r="H1234" s="43" t="e">
        <f ca="1"/>
        <v>#N/A</v>
      </c>
      <c r="I1234" s="42" t="str">
        <f ca="1"/>
        <v/>
      </c>
    </row>
    <row r="1235" spans="4:9" x14ac:dyDescent="0.25">
      <c r="D1235" s="19"/>
      <c r="G1235" s="43" t="str">
        <v/>
      </c>
      <c r="H1235" s="43" t="e">
        <f ca="1"/>
        <v>#N/A</v>
      </c>
      <c r="I1235" s="42" t="str">
        <f ca="1"/>
        <v/>
      </c>
    </row>
    <row r="1236" spans="4:9" x14ac:dyDescent="0.25">
      <c r="D1236" s="19"/>
      <c r="G1236" s="43" t="str">
        <v/>
      </c>
      <c r="H1236" s="43" t="e">
        <f ca="1"/>
        <v>#N/A</v>
      </c>
      <c r="I1236" s="42" t="str">
        <f ca="1"/>
        <v/>
      </c>
    </row>
    <row r="1237" spans="4:9" x14ac:dyDescent="0.25">
      <c r="D1237" s="19"/>
      <c r="G1237" s="43" t="str">
        <v/>
      </c>
      <c r="H1237" s="43" t="e">
        <f ca="1"/>
        <v>#N/A</v>
      </c>
      <c r="I1237" s="42" t="str">
        <f ca="1"/>
        <v/>
      </c>
    </row>
    <row r="1238" spans="4:9" x14ac:dyDescent="0.25">
      <c r="D1238" s="19"/>
      <c r="G1238" s="43" t="str">
        <v/>
      </c>
      <c r="H1238" s="43" t="e">
        <f ca="1"/>
        <v>#N/A</v>
      </c>
      <c r="I1238" s="42" t="str">
        <f ca="1"/>
        <v/>
      </c>
    </row>
    <row r="1239" spans="4:9" x14ac:dyDescent="0.25">
      <c r="D1239" s="19"/>
      <c r="G1239" s="43" t="str">
        <v/>
      </c>
      <c r="H1239" s="43" t="e">
        <f ca="1"/>
        <v>#N/A</v>
      </c>
      <c r="I1239" s="42" t="str">
        <f ca="1"/>
        <v/>
      </c>
    </row>
    <row r="1240" spans="4:9" x14ac:dyDescent="0.25">
      <c r="D1240" s="19"/>
      <c r="G1240" s="43" t="str">
        <v/>
      </c>
      <c r="H1240" s="43" t="e">
        <f ca="1"/>
        <v>#N/A</v>
      </c>
      <c r="I1240" s="42" t="str">
        <f ca="1"/>
        <v/>
      </c>
    </row>
    <row r="1241" spans="4:9" x14ac:dyDescent="0.25">
      <c r="D1241" s="19"/>
      <c r="G1241" s="43" t="str">
        <v/>
      </c>
      <c r="H1241" s="43" t="e">
        <f ca="1"/>
        <v>#N/A</v>
      </c>
      <c r="I1241" s="42" t="str">
        <f ca="1"/>
        <v/>
      </c>
    </row>
    <row r="1242" spans="4:9" x14ac:dyDescent="0.25">
      <c r="D1242" s="19"/>
      <c r="G1242" s="43" t="str">
        <v/>
      </c>
      <c r="H1242" s="43" t="e">
        <f ca="1"/>
        <v>#N/A</v>
      </c>
      <c r="I1242" s="42" t="str">
        <f ca="1"/>
        <v/>
      </c>
    </row>
    <row r="1243" spans="4:9" x14ac:dyDescent="0.25">
      <c r="D1243" s="19"/>
      <c r="G1243" s="43" t="str">
        <v/>
      </c>
      <c r="H1243" s="43" t="e">
        <f ca="1"/>
        <v>#N/A</v>
      </c>
      <c r="I1243" s="42" t="str">
        <f ca="1"/>
        <v/>
      </c>
    </row>
    <row r="1244" spans="4:9" x14ac:dyDescent="0.25">
      <c r="D1244" s="19"/>
      <c r="G1244" s="43" t="str">
        <v/>
      </c>
      <c r="H1244" s="43" t="e">
        <f ca="1"/>
        <v>#N/A</v>
      </c>
      <c r="I1244" s="42" t="str">
        <f ca="1"/>
        <v/>
      </c>
    </row>
    <row r="1245" spans="4:9" x14ac:dyDescent="0.25">
      <c r="D1245" s="19"/>
      <c r="G1245" s="43" t="str">
        <v/>
      </c>
      <c r="H1245" s="43" t="e">
        <f ca="1"/>
        <v>#N/A</v>
      </c>
      <c r="I1245" s="42" t="str">
        <f ca="1"/>
        <v/>
      </c>
    </row>
    <row r="1246" spans="4:9" x14ac:dyDescent="0.25">
      <c r="D1246" s="19"/>
      <c r="G1246" s="43" t="str">
        <v/>
      </c>
      <c r="H1246" s="43" t="e">
        <f ca="1"/>
        <v>#N/A</v>
      </c>
      <c r="I1246" s="42" t="str">
        <f ca="1"/>
        <v/>
      </c>
    </row>
    <row r="1247" spans="4:9" x14ac:dyDescent="0.25">
      <c r="D1247" s="19"/>
      <c r="G1247" s="43" t="str">
        <v/>
      </c>
      <c r="H1247" s="43" t="e">
        <f ca="1"/>
        <v>#N/A</v>
      </c>
      <c r="I1247" s="42" t="str">
        <f ca="1"/>
        <v/>
      </c>
    </row>
    <row r="1248" spans="4:9" x14ac:dyDescent="0.25">
      <c r="D1248" s="19"/>
      <c r="G1248" s="43" t="str">
        <v/>
      </c>
      <c r="H1248" s="43" t="e">
        <f ca="1"/>
        <v>#N/A</v>
      </c>
      <c r="I1248" s="42" t="str">
        <f ca="1"/>
        <v/>
      </c>
    </row>
    <row r="1249" spans="4:9" x14ac:dyDescent="0.25">
      <c r="D1249" s="19"/>
      <c r="G1249" s="43" t="str">
        <v/>
      </c>
      <c r="H1249" s="43" t="e">
        <f ca="1"/>
        <v>#N/A</v>
      </c>
      <c r="I1249" s="42" t="str">
        <f ca="1"/>
        <v/>
      </c>
    </row>
    <row r="1250" spans="4:9" x14ac:dyDescent="0.25">
      <c r="D1250" s="19"/>
      <c r="G1250" s="43" t="str">
        <v/>
      </c>
      <c r="H1250" s="43" t="e">
        <f ca="1"/>
        <v>#N/A</v>
      </c>
      <c r="I1250" s="42" t="str">
        <f ca="1"/>
        <v/>
      </c>
    </row>
    <row r="1251" spans="4:9" x14ac:dyDescent="0.25">
      <c r="D1251" s="19"/>
      <c r="G1251" s="43" t="str">
        <v/>
      </c>
      <c r="H1251" s="43" t="e">
        <f ca="1"/>
        <v>#N/A</v>
      </c>
      <c r="I1251" s="42" t="str">
        <f ca="1"/>
        <v/>
      </c>
    </row>
    <row r="1252" spans="4:9" x14ac:dyDescent="0.25">
      <c r="D1252" s="19"/>
      <c r="G1252" s="43" t="str">
        <v/>
      </c>
      <c r="H1252" s="43" t="e">
        <f ca="1"/>
        <v>#N/A</v>
      </c>
      <c r="I1252" s="42" t="str">
        <f ca="1"/>
        <v/>
      </c>
    </row>
    <row r="1253" spans="4:9" x14ac:dyDescent="0.25">
      <c r="D1253" s="19"/>
      <c r="G1253" s="43" t="str">
        <v/>
      </c>
      <c r="H1253" s="43" t="e">
        <f ca="1"/>
        <v>#N/A</v>
      </c>
      <c r="I1253" s="42" t="str">
        <f ca="1"/>
        <v/>
      </c>
    </row>
    <row r="1254" spans="4:9" x14ac:dyDescent="0.25">
      <c r="D1254" s="19"/>
      <c r="G1254" s="43" t="str">
        <v/>
      </c>
      <c r="H1254" s="43" t="e">
        <f ca="1"/>
        <v>#N/A</v>
      </c>
      <c r="I1254" s="42" t="str">
        <f ca="1"/>
        <v/>
      </c>
    </row>
    <row r="1255" spans="4:9" x14ac:dyDescent="0.25">
      <c r="D1255" s="19"/>
      <c r="G1255" s="43" t="str">
        <v/>
      </c>
      <c r="H1255" s="43" t="e">
        <f ca="1"/>
        <v>#N/A</v>
      </c>
      <c r="I1255" s="42" t="str">
        <f ca="1"/>
        <v/>
      </c>
    </row>
    <row r="1256" spans="4:9" x14ac:dyDescent="0.25">
      <c r="D1256" s="19"/>
      <c r="G1256" s="43" t="str">
        <v/>
      </c>
      <c r="H1256" s="43" t="e">
        <f ca="1"/>
        <v>#N/A</v>
      </c>
      <c r="I1256" s="42" t="str">
        <f ca="1"/>
        <v/>
      </c>
    </row>
    <row r="1257" spans="4:9" x14ac:dyDescent="0.25">
      <c r="D1257" s="19"/>
      <c r="G1257" s="43" t="str">
        <v/>
      </c>
      <c r="H1257" s="43" t="e">
        <f ca="1"/>
        <v>#N/A</v>
      </c>
      <c r="I1257" s="42" t="str">
        <f ca="1"/>
        <v/>
      </c>
    </row>
    <row r="1258" spans="4:9" x14ac:dyDescent="0.25">
      <c r="D1258" s="19"/>
      <c r="G1258" s="43" t="str">
        <v/>
      </c>
      <c r="H1258" s="43" t="e">
        <f ca="1"/>
        <v>#N/A</v>
      </c>
      <c r="I1258" s="42" t="str">
        <f ca="1"/>
        <v/>
      </c>
    </row>
    <row r="1259" spans="4:9" x14ac:dyDescent="0.25">
      <c r="D1259" s="19"/>
      <c r="G1259" s="43" t="str">
        <v/>
      </c>
      <c r="H1259" s="43" t="e">
        <f ca="1"/>
        <v>#N/A</v>
      </c>
      <c r="I1259" s="42" t="str">
        <f ca="1"/>
        <v/>
      </c>
    </row>
    <row r="1260" spans="4:9" x14ac:dyDescent="0.25">
      <c r="D1260" s="19"/>
      <c r="G1260" s="43" t="str">
        <v/>
      </c>
      <c r="H1260" s="43" t="e">
        <f ca="1"/>
        <v>#N/A</v>
      </c>
      <c r="I1260" s="42" t="str">
        <f ca="1"/>
        <v/>
      </c>
    </row>
    <row r="1261" spans="4:9" x14ac:dyDescent="0.25">
      <c r="D1261" s="19"/>
      <c r="G1261" s="43" t="str">
        <v/>
      </c>
      <c r="H1261" s="43" t="e">
        <f ca="1"/>
        <v>#N/A</v>
      </c>
      <c r="I1261" s="42" t="str">
        <f ca="1"/>
        <v/>
      </c>
    </row>
    <row r="1262" spans="4:9" x14ac:dyDescent="0.25">
      <c r="D1262" s="19"/>
      <c r="G1262" s="43" t="str">
        <v/>
      </c>
      <c r="H1262" s="43" t="e">
        <f ca="1"/>
        <v>#N/A</v>
      </c>
      <c r="I1262" s="42" t="str">
        <f ca="1"/>
        <v/>
      </c>
    </row>
    <row r="1263" spans="4:9" x14ac:dyDescent="0.25">
      <c r="D1263" s="19"/>
      <c r="G1263" s="43" t="str">
        <v/>
      </c>
      <c r="H1263" s="43" t="e">
        <f ca="1"/>
        <v>#N/A</v>
      </c>
      <c r="I1263" s="42" t="str">
        <f ca="1"/>
        <v/>
      </c>
    </row>
    <row r="1264" spans="4:9" x14ac:dyDescent="0.25">
      <c r="D1264" s="19"/>
      <c r="G1264" s="43" t="str">
        <v/>
      </c>
      <c r="H1264" s="43" t="e">
        <f ca="1"/>
        <v>#N/A</v>
      </c>
      <c r="I1264" s="42" t="str">
        <f ca="1"/>
        <v/>
      </c>
    </row>
    <row r="1265" spans="4:9" x14ac:dyDescent="0.25">
      <c r="D1265" s="19"/>
      <c r="G1265" s="43" t="str">
        <v/>
      </c>
      <c r="H1265" s="43" t="e">
        <f ca="1"/>
        <v>#N/A</v>
      </c>
      <c r="I1265" s="42" t="str">
        <f ca="1"/>
        <v/>
      </c>
    </row>
    <row r="1266" spans="4:9" x14ac:dyDescent="0.25">
      <c r="D1266" s="19"/>
      <c r="G1266" s="43" t="str">
        <v/>
      </c>
      <c r="H1266" s="43" t="e">
        <f ca="1"/>
        <v>#N/A</v>
      </c>
      <c r="I1266" s="42" t="str">
        <f ca="1"/>
        <v/>
      </c>
    </row>
    <row r="1267" spans="4:9" x14ac:dyDescent="0.25">
      <c r="D1267" s="19"/>
      <c r="G1267" s="43" t="str">
        <v/>
      </c>
      <c r="H1267" s="43" t="e">
        <f ca="1"/>
        <v>#N/A</v>
      </c>
      <c r="I1267" s="42" t="str">
        <f ca="1"/>
        <v/>
      </c>
    </row>
    <row r="1268" spans="4:9" x14ac:dyDescent="0.25">
      <c r="D1268" s="19"/>
      <c r="G1268" s="43" t="str">
        <v/>
      </c>
      <c r="H1268" s="43" t="e">
        <f ca="1"/>
        <v>#N/A</v>
      </c>
      <c r="I1268" s="42" t="str">
        <f ca="1"/>
        <v/>
      </c>
    </row>
    <row r="1269" spans="4:9" x14ac:dyDescent="0.25">
      <c r="D1269" s="19"/>
      <c r="G1269" s="43" t="str">
        <v/>
      </c>
      <c r="H1269" s="43" t="e">
        <f ca="1"/>
        <v>#N/A</v>
      </c>
      <c r="I1269" s="42" t="str">
        <f ca="1"/>
        <v/>
      </c>
    </row>
    <row r="1270" spans="4:9" x14ac:dyDescent="0.25">
      <c r="D1270" s="19"/>
      <c r="G1270" s="43" t="str">
        <v/>
      </c>
      <c r="H1270" s="43" t="e">
        <f ca="1"/>
        <v>#N/A</v>
      </c>
      <c r="I1270" s="42" t="str">
        <f ca="1"/>
        <v/>
      </c>
    </row>
    <row r="1271" spans="4:9" x14ac:dyDescent="0.25">
      <c r="D1271" s="19"/>
      <c r="G1271" s="43" t="str">
        <v/>
      </c>
      <c r="H1271" s="43" t="e">
        <f ca="1"/>
        <v>#N/A</v>
      </c>
      <c r="I1271" s="42" t="str">
        <f ca="1"/>
        <v/>
      </c>
    </row>
    <row r="1272" spans="4:9" x14ac:dyDescent="0.25">
      <c r="D1272" s="19"/>
      <c r="G1272" s="43" t="str">
        <v/>
      </c>
      <c r="H1272" s="43" t="e">
        <f ca="1"/>
        <v>#N/A</v>
      </c>
      <c r="I1272" s="42" t="str">
        <f ca="1"/>
        <v/>
      </c>
    </row>
    <row r="1273" spans="4:9" x14ac:dyDescent="0.25">
      <c r="D1273" s="19"/>
      <c r="G1273" s="43" t="str">
        <v/>
      </c>
      <c r="H1273" s="43" t="e">
        <f ca="1"/>
        <v>#N/A</v>
      </c>
      <c r="I1273" s="42" t="str">
        <f ca="1"/>
        <v/>
      </c>
    </row>
    <row r="1274" spans="4:9" x14ac:dyDescent="0.25">
      <c r="D1274" s="19"/>
      <c r="G1274" s="43" t="str">
        <v/>
      </c>
      <c r="H1274" s="43" t="e">
        <f ca="1"/>
        <v>#N/A</v>
      </c>
      <c r="I1274" s="42" t="str">
        <f ca="1"/>
        <v/>
      </c>
    </row>
    <row r="1275" spans="4:9" x14ac:dyDescent="0.25">
      <c r="D1275" s="19"/>
      <c r="G1275" s="43" t="str">
        <v/>
      </c>
      <c r="H1275" s="43" t="e">
        <f ca="1"/>
        <v>#N/A</v>
      </c>
      <c r="I1275" s="42" t="str">
        <f ca="1"/>
        <v/>
      </c>
    </row>
    <row r="1276" spans="4:9" x14ac:dyDescent="0.25">
      <c r="D1276" s="19"/>
      <c r="G1276" s="43" t="str">
        <v/>
      </c>
      <c r="H1276" s="43" t="e">
        <f ca="1"/>
        <v>#N/A</v>
      </c>
      <c r="I1276" s="42" t="str">
        <f ca="1"/>
        <v/>
      </c>
    </row>
    <row r="1277" spans="4:9" x14ac:dyDescent="0.25">
      <c r="D1277" s="19"/>
      <c r="G1277" s="43" t="str">
        <v/>
      </c>
      <c r="H1277" s="43" t="e">
        <f ca="1"/>
        <v>#N/A</v>
      </c>
      <c r="I1277" s="42" t="str">
        <f ca="1"/>
        <v/>
      </c>
    </row>
    <row r="1278" spans="4:9" x14ac:dyDescent="0.25">
      <c r="D1278" s="19"/>
      <c r="G1278" s="43" t="str">
        <v/>
      </c>
      <c r="H1278" s="43" t="e">
        <f ca="1"/>
        <v>#N/A</v>
      </c>
      <c r="I1278" s="42" t="str">
        <f ca="1"/>
        <v/>
      </c>
    </row>
    <row r="1279" spans="4:9" x14ac:dyDescent="0.25">
      <c r="D1279" s="19"/>
      <c r="G1279" s="43" t="str">
        <v/>
      </c>
      <c r="H1279" s="43" t="e">
        <f ca="1"/>
        <v>#N/A</v>
      </c>
      <c r="I1279" s="42" t="str">
        <f ca="1"/>
        <v/>
      </c>
    </row>
    <row r="1280" spans="4:9" x14ac:dyDescent="0.25">
      <c r="D1280" s="19"/>
      <c r="G1280" s="43" t="str">
        <v/>
      </c>
      <c r="H1280" s="43" t="e">
        <f ca="1"/>
        <v>#N/A</v>
      </c>
      <c r="I1280" s="42" t="str">
        <f ca="1"/>
        <v/>
      </c>
    </row>
    <row r="1281" spans="4:9" x14ac:dyDescent="0.25">
      <c r="D1281" s="19"/>
      <c r="G1281" s="43" t="str">
        <v/>
      </c>
      <c r="H1281" s="43" t="e">
        <f ca="1"/>
        <v>#N/A</v>
      </c>
      <c r="I1281" s="42" t="str">
        <f ca="1"/>
        <v/>
      </c>
    </row>
    <row r="1282" spans="4:9" x14ac:dyDescent="0.25">
      <c r="D1282" s="19"/>
      <c r="G1282" s="43" t="str">
        <v/>
      </c>
      <c r="H1282" s="43" t="e">
        <f ca="1"/>
        <v>#N/A</v>
      </c>
      <c r="I1282" s="42" t="str">
        <f ca="1"/>
        <v/>
      </c>
    </row>
    <row r="1283" spans="4:9" x14ac:dyDescent="0.25">
      <c r="D1283" s="19"/>
      <c r="G1283" s="43" t="str">
        <v/>
      </c>
      <c r="H1283" s="43" t="e">
        <f ca="1"/>
        <v>#N/A</v>
      </c>
      <c r="I1283" s="42" t="str">
        <f ca="1"/>
        <v/>
      </c>
    </row>
    <row r="1284" spans="4:9" x14ac:dyDescent="0.25">
      <c r="D1284" s="19"/>
      <c r="G1284" s="43" t="str">
        <v/>
      </c>
      <c r="H1284" s="43" t="e">
        <f ca="1"/>
        <v>#N/A</v>
      </c>
      <c r="I1284" s="42" t="str">
        <f ca="1"/>
        <v/>
      </c>
    </row>
    <row r="1285" spans="4:9" x14ac:dyDescent="0.25">
      <c r="D1285" s="19"/>
      <c r="G1285" s="43" t="str">
        <v/>
      </c>
      <c r="H1285" s="43" t="e">
        <f ca="1"/>
        <v>#N/A</v>
      </c>
      <c r="I1285" s="42" t="str">
        <f ca="1"/>
        <v/>
      </c>
    </row>
    <row r="1286" spans="4:9" x14ac:dyDescent="0.25">
      <c r="D1286" s="19"/>
      <c r="G1286" s="43" t="str">
        <v/>
      </c>
      <c r="H1286" s="43" t="e">
        <f ca="1"/>
        <v>#N/A</v>
      </c>
      <c r="I1286" s="42" t="str">
        <f ca="1"/>
        <v/>
      </c>
    </row>
    <row r="1287" spans="4:9" x14ac:dyDescent="0.25">
      <c r="D1287" s="19"/>
      <c r="G1287" s="43" t="str">
        <v/>
      </c>
      <c r="H1287" s="43" t="e">
        <f ca="1"/>
        <v>#N/A</v>
      </c>
      <c r="I1287" s="42" t="str">
        <f ca="1"/>
        <v/>
      </c>
    </row>
    <row r="1288" spans="4:9" x14ac:dyDescent="0.25">
      <c r="D1288" s="19"/>
      <c r="G1288" s="43" t="str">
        <v/>
      </c>
      <c r="H1288" s="43" t="e">
        <f ca="1"/>
        <v>#N/A</v>
      </c>
      <c r="I1288" s="42" t="str">
        <f ca="1"/>
        <v/>
      </c>
    </row>
    <row r="1289" spans="4:9" x14ac:dyDescent="0.25">
      <c r="D1289" s="19"/>
      <c r="G1289" s="43" t="str">
        <v/>
      </c>
      <c r="H1289" s="43" t="e">
        <f ca="1"/>
        <v>#N/A</v>
      </c>
      <c r="I1289" s="42" t="str">
        <f ca="1"/>
        <v/>
      </c>
    </row>
    <row r="1290" spans="4:9" x14ac:dyDescent="0.25">
      <c r="D1290" s="19"/>
      <c r="G1290" s="43" t="str">
        <v/>
      </c>
      <c r="H1290" s="43" t="e">
        <f ca="1"/>
        <v>#N/A</v>
      </c>
      <c r="I1290" s="42" t="str">
        <f ca="1"/>
        <v/>
      </c>
    </row>
    <row r="1291" spans="4:9" x14ac:dyDescent="0.25">
      <c r="D1291" s="19"/>
      <c r="G1291" s="43" t="str">
        <v/>
      </c>
      <c r="H1291" s="43" t="e">
        <f ca="1"/>
        <v>#N/A</v>
      </c>
      <c r="I1291" s="42" t="str">
        <f ca="1"/>
        <v/>
      </c>
    </row>
    <row r="1292" spans="4:9" x14ac:dyDescent="0.25">
      <c r="D1292" s="19"/>
      <c r="G1292" s="43" t="str">
        <v/>
      </c>
      <c r="H1292" s="43" t="e">
        <f ca="1"/>
        <v>#N/A</v>
      </c>
      <c r="I1292" s="42" t="str">
        <f ca="1"/>
        <v/>
      </c>
    </row>
    <row r="1293" spans="4:9" x14ac:dyDescent="0.25">
      <c r="D1293" s="19"/>
      <c r="G1293" s="43" t="str">
        <v/>
      </c>
      <c r="H1293" s="43" t="e">
        <f ca="1"/>
        <v>#N/A</v>
      </c>
      <c r="I1293" s="42" t="str">
        <f ca="1"/>
        <v/>
      </c>
    </row>
    <row r="1294" spans="4:9" x14ac:dyDescent="0.25">
      <c r="D1294" s="19"/>
      <c r="G1294" s="43" t="str">
        <v/>
      </c>
      <c r="H1294" s="43" t="e">
        <f ca="1"/>
        <v>#N/A</v>
      </c>
      <c r="I1294" s="42" t="str">
        <f ca="1"/>
        <v/>
      </c>
    </row>
    <row r="1295" spans="4:9" x14ac:dyDescent="0.25">
      <c r="D1295" s="19"/>
      <c r="G1295" s="43" t="str">
        <v/>
      </c>
      <c r="H1295" s="43" t="e">
        <f ca="1"/>
        <v>#N/A</v>
      </c>
      <c r="I1295" s="42" t="str">
        <f ca="1"/>
        <v/>
      </c>
    </row>
    <row r="1296" spans="4:9" x14ac:dyDescent="0.25">
      <c r="D1296" s="19"/>
      <c r="G1296" s="43" t="str">
        <v/>
      </c>
      <c r="H1296" s="43" t="e">
        <f ca="1"/>
        <v>#N/A</v>
      </c>
      <c r="I1296" s="42" t="str">
        <f ca="1"/>
        <v/>
      </c>
    </row>
    <row r="1297" spans="4:9" x14ac:dyDescent="0.25">
      <c r="D1297" s="19"/>
      <c r="G1297" s="43" t="str">
        <v/>
      </c>
      <c r="H1297" s="43" t="e">
        <f ca="1"/>
        <v>#N/A</v>
      </c>
      <c r="I1297" s="42" t="str">
        <f ca="1"/>
        <v/>
      </c>
    </row>
    <row r="1298" spans="4:9" x14ac:dyDescent="0.25">
      <c r="D1298" s="19"/>
      <c r="G1298" s="43" t="str">
        <v/>
      </c>
      <c r="H1298" s="43" t="e">
        <f ca="1"/>
        <v>#N/A</v>
      </c>
      <c r="I1298" s="42" t="str">
        <f ca="1"/>
        <v/>
      </c>
    </row>
    <row r="1299" spans="4:9" x14ac:dyDescent="0.25">
      <c r="D1299" s="19"/>
      <c r="G1299" s="43" t="str">
        <v/>
      </c>
      <c r="H1299" s="43" t="e">
        <f ca="1"/>
        <v>#N/A</v>
      </c>
      <c r="I1299" s="42" t="str">
        <f ca="1"/>
        <v/>
      </c>
    </row>
    <row r="1300" spans="4:9" x14ac:dyDescent="0.25">
      <c r="D1300" s="19"/>
      <c r="G1300" s="43" t="str">
        <v/>
      </c>
      <c r="H1300" s="43" t="e">
        <f ca="1"/>
        <v>#N/A</v>
      </c>
      <c r="I1300" s="42" t="str">
        <f ca="1"/>
        <v/>
      </c>
    </row>
    <row r="1301" spans="4:9" x14ac:dyDescent="0.25">
      <c r="D1301" s="19"/>
      <c r="G1301" s="43" t="str">
        <v/>
      </c>
      <c r="H1301" s="43" t="e">
        <f ca="1"/>
        <v>#N/A</v>
      </c>
      <c r="I1301" s="42" t="str">
        <f ca="1"/>
        <v/>
      </c>
    </row>
    <row r="1302" spans="4:9" x14ac:dyDescent="0.25">
      <c r="D1302" s="19"/>
      <c r="G1302" s="43" t="str">
        <v/>
      </c>
      <c r="H1302" s="43" t="e">
        <f ca="1"/>
        <v>#N/A</v>
      </c>
      <c r="I1302" s="42" t="str">
        <f ca="1"/>
        <v/>
      </c>
    </row>
    <row r="1303" spans="4:9" x14ac:dyDescent="0.25">
      <c r="D1303" s="19"/>
      <c r="G1303" s="43" t="str">
        <v/>
      </c>
      <c r="H1303" s="43" t="e">
        <f ca="1"/>
        <v>#N/A</v>
      </c>
      <c r="I1303" s="42" t="str">
        <f ca="1"/>
        <v/>
      </c>
    </row>
    <row r="1304" spans="4:9" x14ac:dyDescent="0.25">
      <c r="D1304" s="19"/>
      <c r="G1304" s="43" t="str">
        <v/>
      </c>
      <c r="H1304" s="43" t="e">
        <f ca="1"/>
        <v>#N/A</v>
      </c>
      <c r="I1304" s="42" t="str">
        <f ca="1"/>
        <v/>
      </c>
    </row>
    <row r="1305" spans="4:9" x14ac:dyDescent="0.25">
      <c r="D1305" s="19"/>
      <c r="G1305" s="43" t="str">
        <v/>
      </c>
      <c r="H1305" s="43" t="e">
        <f ca="1"/>
        <v>#N/A</v>
      </c>
      <c r="I1305" s="42" t="str">
        <f ca="1"/>
        <v/>
      </c>
    </row>
    <row r="1306" spans="4:9" x14ac:dyDescent="0.25">
      <c r="D1306" s="19"/>
      <c r="G1306" s="43" t="str">
        <v/>
      </c>
      <c r="H1306" s="43" t="e">
        <f ca="1"/>
        <v>#N/A</v>
      </c>
      <c r="I1306" s="42" t="str">
        <f ca="1"/>
        <v/>
      </c>
    </row>
    <row r="1307" spans="4:9" x14ac:dyDescent="0.25">
      <c r="D1307" s="19"/>
      <c r="G1307" s="43" t="str">
        <v/>
      </c>
      <c r="H1307" s="43" t="e">
        <f ca="1"/>
        <v>#N/A</v>
      </c>
      <c r="I1307" s="42" t="str">
        <f ca="1"/>
        <v/>
      </c>
    </row>
    <row r="1308" spans="4:9" x14ac:dyDescent="0.25">
      <c r="D1308" s="19"/>
      <c r="G1308" s="43" t="str">
        <v/>
      </c>
      <c r="H1308" s="43" t="e">
        <f ca="1"/>
        <v>#N/A</v>
      </c>
      <c r="I1308" s="42" t="str">
        <f ca="1"/>
        <v/>
      </c>
    </row>
    <row r="1309" spans="4:9" x14ac:dyDescent="0.25">
      <c r="D1309" s="19"/>
      <c r="G1309" s="43" t="str">
        <v/>
      </c>
      <c r="H1309" s="43" t="e">
        <f ca="1"/>
        <v>#N/A</v>
      </c>
      <c r="I1309" s="42" t="str">
        <f ca="1"/>
        <v/>
      </c>
    </row>
    <row r="1310" spans="4:9" x14ac:dyDescent="0.25">
      <c r="D1310" s="19"/>
      <c r="G1310" s="43" t="str">
        <v/>
      </c>
      <c r="H1310" s="43" t="e">
        <f ca="1"/>
        <v>#N/A</v>
      </c>
      <c r="I1310" s="42" t="str">
        <f ca="1"/>
        <v/>
      </c>
    </row>
    <row r="1311" spans="4:9" x14ac:dyDescent="0.25">
      <c r="D1311" s="19"/>
      <c r="G1311" s="43" t="str">
        <v/>
      </c>
      <c r="H1311" s="43" t="e">
        <f ca="1"/>
        <v>#N/A</v>
      </c>
      <c r="I1311" s="42" t="str">
        <f ca="1"/>
        <v/>
      </c>
    </row>
    <row r="1312" spans="4:9" x14ac:dyDescent="0.25">
      <c r="D1312" s="19"/>
      <c r="G1312" s="43" t="str">
        <v/>
      </c>
      <c r="H1312" s="43" t="e">
        <f ca="1"/>
        <v>#N/A</v>
      </c>
      <c r="I1312" s="42" t="str">
        <f ca="1"/>
        <v/>
      </c>
    </row>
    <row r="1313" spans="4:9" x14ac:dyDescent="0.25">
      <c r="D1313" s="19"/>
      <c r="G1313" s="43" t="str">
        <v/>
      </c>
      <c r="H1313" s="43" t="e">
        <f ca="1"/>
        <v>#N/A</v>
      </c>
      <c r="I1313" s="42" t="str">
        <f ca="1"/>
        <v/>
      </c>
    </row>
    <row r="1314" spans="4:9" x14ac:dyDescent="0.25">
      <c r="D1314" s="19"/>
      <c r="G1314" s="43" t="str">
        <v/>
      </c>
      <c r="H1314" s="43" t="e">
        <f ca="1"/>
        <v>#N/A</v>
      </c>
      <c r="I1314" s="42" t="str">
        <f ca="1"/>
        <v/>
      </c>
    </row>
    <row r="1315" spans="4:9" x14ac:dyDescent="0.25">
      <c r="D1315" s="19"/>
      <c r="G1315" s="43" t="str">
        <v/>
      </c>
      <c r="H1315" s="43" t="e">
        <f ca="1"/>
        <v>#N/A</v>
      </c>
      <c r="I1315" s="42" t="str">
        <f ca="1"/>
        <v/>
      </c>
    </row>
    <row r="1316" spans="4:9" x14ac:dyDescent="0.25">
      <c r="D1316" s="19"/>
      <c r="G1316" s="43" t="str">
        <v/>
      </c>
      <c r="H1316" s="43" t="e">
        <f ca="1"/>
        <v>#N/A</v>
      </c>
      <c r="I1316" s="42" t="str">
        <f ca="1"/>
        <v/>
      </c>
    </row>
    <row r="1317" spans="4:9" x14ac:dyDescent="0.25">
      <c r="D1317" s="19"/>
      <c r="G1317" s="43" t="str">
        <v/>
      </c>
      <c r="H1317" s="43" t="e">
        <f ca="1"/>
        <v>#N/A</v>
      </c>
      <c r="I1317" s="42" t="str">
        <f ca="1"/>
        <v/>
      </c>
    </row>
    <row r="1318" spans="4:9" x14ac:dyDescent="0.25">
      <c r="D1318" s="19"/>
      <c r="G1318" s="43" t="str">
        <v/>
      </c>
      <c r="H1318" s="43" t="e">
        <f ca="1"/>
        <v>#N/A</v>
      </c>
      <c r="I1318" s="42" t="str">
        <f ca="1"/>
        <v/>
      </c>
    </row>
    <row r="1319" spans="4:9" x14ac:dyDescent="0.25">
      <c r="D1319" s="19"/>
      <c r="G1319" s="43" t="str">
        <v/>
      </c>
      <c r="H1319" s="43" t="e">
        <f ca="1"/>
        <v>#N/A</v>
      </c>
      <c r="I1319" s="42" t="str">
        <f ca="1"/>
        <v/>
      </c>
    </row>
    <row r="1320" spans="4:9" x14ac:dyDescent="0.25">
      <c r="D1320" s="19"/>
      <c r="G1320" s="43" t="str">
        <v/>
      </c>
      <c r="H1320" s="43" t="e">
        <f ca="1"/>
        <v>#N/A</v>
      </c>
      <c r="I1320" s="42" t="str">
        <f ca="1"/>
        <v/>
      </c>
    </row>
    <row r="1321" spans="4:9" x14ac:dyDescent="0.25">
      <c r="D1321" s="19"/>
      <c r="G1321" s="43" t="str">
        <v/>
      </c>
      <c r="H1321" s="43" t="e">
        <f ca="1"/>
        <v>#N/A</v>
      </c>
      <c r="I1321" s="42" t="str">
        <f ca="1"/>
        <v/>
      </c>
    </row>
    <row r="1322" spans="4:9" x14ac:dyDescent="0.25">
      <c r="D1322" s="19"/>
      <c r="G1322" s="43" t="str">
        <v/>
      </c>
      <c r="H1322" s="43" t="e">
        <f ca="1"/>
        <v>#N/A</v>
      </c>
      <c r="I1322" s="42" t="str">
        <f ca="1"/>
        <v/>
      </c>
    </row>
    <row r="1323" spans="4:9" x14ac:dyDescent="0.25">
      <c r="D1323" s="19"/>
      <c r="G1323" s="43" t="str">
        <v/>
      </c>
      <c r="H1323" s="43" t="e">
        <f ca="1"/>
        <v>#N/A</v>
      </c>
      <c r="I1323" s="42" t="str">
        <f ca="1"/>
        <v/>
      </c>
    </row>
    <row r="1324" spans="4:9" x14ac:dyDescent="0.25">
      <c r="D1324" s="19"/>
      <c r="G1324" s="43" t="str">
        <v/>
      </c>
      <c r="H1324" s="43" t="e">
        <f ca="1"/>
        <v>#N/A</v>
      </c>
      <c r="I1324" s="42" t="str">
        <f ca="1"/>
        <v/>
      </c>
    </row>
    <row r="1325" spans="4:9" x14ac:dyDescent="0.25">
      <c r="D1325" s="19"/>
      <c r="G1325" s="43" t="str">
        <v/>
      </c>
      <c r="H1325" s="43" t="e">
        <f ca="1"/>
        <v>#N/A</v>
      </c>
      <c r="I1325" s="42" t="str">
        <f ca="1"/>
        <v/>
      </c>
    </row>
    <row r="1326" spans="4:9" x14ac:dyDescent="0.25">
      <c r="D1326" s="19"/>
      <c r="G1326" s="43" t="str">
        <v/>
      </c>
      <c r="H1326" s="43" t="e">
        <f ca="1"/>
        <v>#N/A</v>
      </c>
      <c r="I1326" s="42" t="str">
        <f ca="1"/>
        <v/>
      </c>
    </row>
    <row r="1327" spans="4:9" x14ac:dyDescent="0.25">
      <c r="D1327" s="19"/>
      <c r="G1327" s="43" t="str">
        <v/>
      </c>
      <c r="H1327" s="43" t="e">
        <f ca="1"/>
        <v>#N/A</v>
      </c>
      <c r="I1327" s="42" t="str">
        <f ca="1"/>
        <v/>
      </c>
    </row>
    <row r="1328" spans="4:9" x14ac:dyDescent="0.25">
      <c r="D1328" s="19"/>
      <c r="G1328" s="43" t="str">
        <v/>
      </c>
      <c r="H1328" s="43" t="e">
        <f ca="1"/>
        <v>#N/A</v>
      </c>
      <c r="I1328" s="42" t="str">
        <f ca="1"/>
        <v/>
      </c>
    </row>
    <row r="1329" spans="4:9" x14ac:dyDescent="0.25">
      <c r="D1329" s="19"/>
      <c r="G1329" s="43" t="str">
        <v/>
      </c>
      <c r="H1329" s="43" t="e">
        <f ca="1"/>
        <v>#N/A</v>
      </c>
      <c r="I1329" s="42" t="str">
        <f ca="1"/>
        <v/>
      </c>
    </row>
    <row r="1330" spans="4:9" x14ac:dyDescent="0.25">
      <c r="D1330" s="19"/>
      <c r="G1330" s="43" t="str">
        <v/>
      </c>
      <c r="H1330" s="43" t="e">
        <f ca="1"/>
        <v>#N/A</v>
      </c>
      <c r="I1330" s="42" t="str">
        <f ca="1"/>
        <v/>
      </c>
    </row>
    <row r="1331" spans="4:9" x14ac:dyDescent="0.25">
      <c r="D1331" s="19"/>
      <c r="G1331" s="43" t="str">
        <v/>
      </c>
      <c r="H1331" s="43" t="e">
        <f ca="1"/>
        <v>#N/A</v>
      </c>
      <c r="I1331" s="42" t="str">
        <f ca="1"/>
        <v/>
      </c>
    </row>
    <row r="1332" spans="4:9" x14ac:dyDescent="0.25">
      <c r="D1332" s="19"/>
      <c r="G1332" s="43" t="str">
        <v/>
      </c>
      <c r="H1332" s="43" t="e">
        <f ca="1"/>
        <v>#N/A</v>
      </c>
      <c r="I1332" s="42" t="str">
        <f ca="1"/>
        <v/>
      </c>
    </row>
    <row r="1333" spans="4:9" x14ac:dyDescent="0.25">
      <c r="D1333" s="19"/>
      <c r="G1333" s="43" t="str">
        <v/>
      </c>
      <c r="H1333" s="43" t="e">
        <f ca="1"/>
        <v>#N/A</v>
      </c>
      <c r="I1333" s="42" t="str">
        <f ca="1"/>
        <v/>
      </c>
    </row>
    <row r="1334" spans="4:9" x14ac:dyDescent="0.25">
      <c r="D1334" s="19"/>
      <c r="G1334" s="43" t="str">
        <v/>
      </c>
      <c r="H1334" s="43" t="e">
        <f ca="1"/>
        <v>#N/A</v>
      </c>
      <c r="I1334" s="42" t="str">
        <f ca="1"/>
        <v/>
      </c>
    </row>
    <row r="1335" spans="4:9" x14ac:dyDescent="0.25">
      <c r="D1335" s="19"/>
      <c r="G1335" s="43" t="str">
        <v/>
      </c>
      <c r="H1335" s="43" t="e">
        <f ca="1"/>
        <v>#N/A</v>
      </c>
      <c r="I1335" s="42" t="str">
        <f ca="1"/>
        <v/>
      </c>
    </row>
    <row r="1336" spans="4:9" x14ac:dyDescent="0.25">
      <c r="D1336" s="19"/>
      <c r="G1336" s="43" t="str">
        <v/>
      </c>
      <c r="H1336" s="43" t="e">
        <f ca="1"/>
        <v>#N/A</v>
      </c>
      <c r="I1336" s="42" t="str">
        <f ca="1"/>
        <v/>
      </c>
    </row>
    <row r="1337" spans="4:9" x14ac:dyDescent="0.25">
      <c r="D1337" s="19"/>
      <c r="G1337" s="43" t="str">
        <v/>
      </c>
      <c r="H1337" s="43" t="e">
        <f ca="1"/>
        <v>#N/A</v>
      </c>
      <c r="I1337" s="42" t="str">
        <f ca="1"/>
        <v/>
      </c>
    </row>
    <row r="1338" spans="4:9" x14ac:dyDescent="0.25">
      <c r="D1338" s="19"/>
      <c r="G1338" s="43" t="str">
        <v/>
      </c>
      <c r="H1338" s="43" t="e">
        <f ca="1"/>
        <v>#N/A</v>
      </c>
      <c r="I1338" s="42" t="str">
        <f ca="1"/>
        <v/>
      </c>
    </row>
    <row r="1339" spans="4:9" x14ac:dyDescent="0.25">
      <c r="D1339" s="19"/>
      <c r="G1339" s="43" t="str">
        <v/>
      </c>
      <c r="H1339" s="43" t="e">
        <f ca="1"/>
        <v>#N/A</v>
      </c>
      <c r="I1339" s="42" t="str">
        <f ca="1"/>
        <v/>
      </c>
    </row>
    <row r="1340" spans="4:9" x14ac:dyDescent="0.25">
      <c r="D1340" s="19"/>
      <c r="G1340" s="43" t="str">
        <v/>
      </c>
      <c r="H1340" s="43" t="e">
        <f ca="1"/>
        <v>#N/A</v>
      </c>
      <c r="I1340" s="42" t="str">
        <f ca="1"/>
        <v/>
      </c>
    </row>
    <row r="1341" spans="4:9" x14ac:dyDescent="0.25">
      <c r="D1341" s="19"/>
      <c r="G1341" s="43" t="str">
        <v/>
      </c>
      <c r="H1341" s="43" t="e">
        <f ca="1"/>
        <v>#N/A</v>
      </c>
      <c r="I1341" s="42" t="str">
        <f ca="1"/>
        <v/>
      </c>
    </row>
    <row r="1342" spans="4:9" x14ac:dyDescent="0.25">
      <c r="D1342" s="19"/>
      <c r="G1342" s="43" t="str">
        <v/>
      </c>
      <c r="H1342" s="43" t="e">
        <f ca="1"/>
        <v>#N/A</v>
      </c>
      <c r="I1342" s="42" t="str">
        <f ca="1"/>
        <v/>
      </c>
    </row>
    <row r="1343" spans="4:9" x14ac:dyDescent="0.25">
      <c r="D1343" s="19"/>
      <c r="G1343" s="43" t="str">
        <v/>
      </c>
      <c r="H1343" s="43" t="e">
        <f ca="1"/>
        <v>#N/A</v>
      </c>
      <c r="I1343" s="42" t="str">
        <f ca="1"/>
        <v/>
      </c>
    </row>
    <row r="1344" spans="4:9" x14ac:dyDescent="0.25">
      <c r="D1344" s="19"/>
      <c r="G1344" s="43" t="str">
        <v/>
      </c>
      <c r="H1344" s="43" t="e">
        <f ca="1"/>
        <v>#N/A</v>
      </c>
      <c r="I1344" s="42" t="str">
        <f ca="1"/>
        <v/>
      </c>
    </row>
    <row r="1345" spans="4:9" x14ac:dyDescent="0.25">
      <c r="D1345" s="19"/>
      <c r="G1345" s="43" t="str">
        <v/>
      </c>
      <c r="H1345" s="43" t="e">
        <f ca="1"/>
        <v>#N/A</v>
      </c>
      <c r="I1345" s="42" t="str">
        <f ca="1"/>
        <v/>
      </c>
    </row>
    <row r="1346" spans="4:9" x14ac:dyDescent="0.25">
      <c r="D1346" s="19"/>
      <c r="G1346" s="43" t="str">
        <v/>
      </c>
      <c r="H1346" s="43" t="e">
        <f ca="1"/>
        <v>#N/A</v>
      </c>
      <c r="I1346" s="42" t="str">
        <f ca="1"/>
        <v/>
      </c>
    </row>
    <row r="1347" spans="4:9" x14ac:dyDescent="0.25">
      <c r="D1347" s="19"/>
      <c r="G1347" s="43" t="str">
        <v/>
      </c>
      <c r="H1347" s="43" t="e">
        <f ca="1"/>
        <v>#N/A</v>
      </c>
      <c r="I1347" s="42" t="str">
        <f ca="1"/>
        <v/>
      </c>
    </row>
    <row r="1348" spans="4:9" x14ac:dyDescent="0.25">
      <c r="D1348" s="19"/>
      <c r="G1348" s="43" t="str">
        <v/>
      </c>
      <c r="H1348" s="43" t="e">
        <f ca="1"/>
        <v>#N/A</v>
      </c>
      <c r="I1348" s="42" t="str">
        <f ca="1"/>
        <v/>
      </c>
    </row>
    <row r="1349" spans="4:9" x14ac:dyDescent="0.25">
      <c r="D1349" s="19"/>
      <c r="G1349" s="43" t="str">
        <v/>
      </c>
      <c r="H1349" s="43" t="e">
        <f ca="1"/>
        <v>#N/A</v>
      </c>
      <c r="I1349" s="42" t="str">
        <f ca="1"/>
        <v/>
      </c>
    </row>
    <row r="1350" spans="4:9" x14ac:dyDescent="0.25">
      <c r="D1350" s="19"/>
      <c r="G1350" s="43" t="str">
        <v/>
      </c>
      <c r="H1350" s="43" t="e">
        <f ca="1"/>
        <v>#N/A</v>
      </c>
      <c r="I1350" s="42" t="str">
        <f ca="1"/>
        <v/>
      </c>
    </row>
    <row r="1351" spans="4:9" x14ac:dyDescent="0.25">
      <c r="D1351" s="19"/>
      <c r="G1351" s="43" t="str">
        <v/>
      </c>
      <c r="H1351" s="43" t="e">
        <f ca="1"/>
        <v>#N/A</v>
      </c>
      <c r="I1351" s="42" t="str">
        <f ca="1"/>
        <v/>
      </c>
    </row>
    <row r="1352" spans="4:9" x14ac:dyDescent="0.25">
      <c r="D1352" s="19"/>
      <c r="G1352" s="43" t="str">
        <v/>
      </c>
      <c r="H1352" s="43" t="e">
        <f ca="1"/>
        <v>#N/A</v>
      </c>
      <c r="I1352" s="42" t="str">
        <f ca="1"/>
        <v/>
      </c>
    </row>
    <row r="1353" spans="4:9" x14ac:dyDescent="0.25">
      <c r="D1353" s="19"/>
      <c r="G1353" s="43" t="str">
        <v/>
      </c>
      <c r="H1353" s="43" t="e">
        <f ca="1"/>
        <v>#N/A</v>
      </c>
      <c r="I1353" s="42" t="str">
        <f ca="1"/>
        <v/>
      </c>
    </row>
    <row r="1354" spans="4:9" x14ac:dyDescent="0.25">
      <c r="D1354" s="19"/>
      <c r="G1354" s="43" t="str">
        <v/>
      </c>
      <c r="H1354" s="43" t="e">
        <f ca="1"/>
        <v>#N/A</v>
      </c>
      <c r="I1354" s="42" t="str">
        <f ca="1"/>
        <v/>
      </c>
    </row>
    <row r="1355" spans="4:9" x14ac:dyDescent="0.25">
      <c r="D1355" s="19"/>
      <c r="G1355" s="43" t="str">
        <v/>
      </c>
      <c r="H1355" s="43" t="e">
        <f ca="1"/>
        <v>#N/A</v>
      </c>
      <c r="I1355" s="42" t="str">
        <f ca="1"/>
        <v/>
      </c>
    </row>
    <row r="1356" spans="4:9" x14ac:dyDescent="0.25">
      <c r="D1356" s="19"/>
      <c r="G1356" s="43" t="str">
        <v/>
      </c>
      <c r="H1356" s="43" t="e">
        <f ca="1"/>
        <v>#N/A</v>
      </c>
      <c r="I1356" s="42" t="str">
        <f ca="1"/>
        <v/>
      </c>
    </row>
    <row r="1357" spans="4:9" x14ac:dyDescent="0.25">
      <c r="D1357" s="19"/>
      <c r="G1357" s="43" t="str">
        <v/>
      </c>
      <c r="H1357" s="43" t="e">
        <f ca="1"/>
        <v>#N/A</v>
      </c>
      <c r="I1357" s="42" t="str">
        <f ca="1"/>
        <v/>
      </c>
    </row>
    <row r="1358" spans="4:9" x14ac:dyDescent="0.25">
      <c r="D1358" s="19"/>
      <c r="G1358" s="43" t="str">
        <v/>
      </c>
      <c r="H1358" s="43" t="e">
        <f ca="1"/>
        <v>#N/A</v>
      </c>
      <c r="I1358" s="42" t="str">
        <f ca="1"/>
        <v/>
      </c>
    </row>
    <row r="1359" spans="4:9" x14ac:dyDescent="0.25">
      <c r="D1359" s="19"/>
      <c r="G1359" s="43" t="str">
        <v/>
      </c>
      <c r="H1359" s="43" t="e">
        <f ca="1"/>
        <v>#N/A</v>
      </c>
      <c r="I1359" s="42" t="str">
        <f ca="1"/>
        <v/>
      </c>
    </row>
    <row r="1360" spans="4:9" x14ac:dyDescent="0.25">
      <c r="D1360" s="19"/>
      <c r="G1360" s="43" t="str">
        <v/>
      </c>
      <c r="H1360" s="43" t="e">
        <f ca="1"/>
        <v>#N/A</v>
      </c>
      <c r="I1360" s="42" t="str">
        <f ca="1"/>
        <v/>
      </c>
    </row>
    <row r="1361" spans="4:9" x14ac:dyDescent="0.25">
      <c r="D1361" s="19"/>
      <c r="G1361" s="43" t="str">
        <v/>
      </c>
      <c r="H1361" s="43" t="e">
        <f ca="1"/>
        <v>#N/A</v>
      </c>
      <c r="I1361" s="42" t="str">
        <f ca="1"/>
        <v/>
      </c>
    </row>
    <row r="1362" spans="4:9" x14ac:dyDescent="0.25">
      <c r="D1362" s="19"/>
      <c r="G1362" s="43" t="str">
        <v/>
      </c>
      <c r="H1362" s="43" t="e">
        <f ca="1"/>
        <v>#N/A</v>
      </c>
      <c r="I1362" s="42" t="str">
        <f ca="1"/>
        <v/>
      </c>
    </row>
    <row r="1363" spans="4:9" x14ac:dyDescent="0.25">
      <c r="D1363" s="19"/>
      <c r="G1363" s="43" t="str">
        <v/>
      </c>
      <c r="H1363" s="43" t="e">
        <f ca="1"/>
        <v>#N/A</v>
      </c>
      <c r="I1363" s="42" t="str">
        <f ca="1"/>
        <v/>
      </c>
    </row>
    <row r="1364" spans="4:9" x14ac:dyDescent="0.25">
      <c r="D1364" s="19"/>
      <c r="G1364" s="43" t="str">
        <v/>
      </c>
      <c r="H1364" s="43" t="e">
        <f ca="1"/>
        <v>#N/A</v>
      </c>
      <c r="I1364" s="42" t="str">
        <f ca="1"/>
        <v/>
      </c>
    </row>
    <row r="1365" spans="4:9" x14ac:dyDescent="0.25">
      <c r="D1365" s="19"/>
      <c r="G1365" s="43" t="str">
        <v/>
      </c>
      <c r="H1365" s="43" t="e">
        <f ca="1"/>
        <v>#N/A</v>
      </c>
      <c r="I1365" s="42" t="str">
        <f ca="1"/>
        <v/>
      </c>
    </row>
    <row r="1366" spans="4:9" x14ac:dyDescent="0.25">
      <c r="D1366" s="19"/>
      <c r="G1366" s="43" t="str">
        <v/>
      </c>
      <c r="H1366" s="43" t="e">
        <f ca="1"/>
        <v>#N/A</v>
      </c>
      <c r="I1366" s="42" t="str">
        <f ca="1"/>
        <v/>
      </c>
    </row>
    <row r="1367" spans="4:9" x14ac:dyDescent="0.25">
      <c r="D1367" s="19"/>
      <c r="G1367" s="43" t="str">
        <v/>
      </c>
      <c r="H1367" s="43" t="e">
        <f ca="1"/>
        <v>#N/A</v>
      </c>
      <c r="I1367" s="42" t="str">
        <f ca="1"/>
        <v/>
      </c>
    </row>
    <row r="1368" spans="4:9" x14ac:dyDescent="0.25">
      <c r="D1368" s="19"/>
      <c r="G1368" s="43" t="str">
        <v/>
      </c>
      <c r="H1368" s="43" t="e">
        <f ca="1"/>
        <v>#N/A</v>
      </c>
      <c r="I1368" s="42" t="str">
        <f ca="1"/>
        <v/>
      </c>
    </row>
    <row r="1369" spans="4:9" x14ac:dyDescent="0.25">
      <c r="D1369" s="19"/>
      <c r="G1369" s="43" t="str">
        <v/>
      </c>
      <c r="H1369" s="43" t="e">
        <f ca="1"/>
        <v>#N/A</v>
      </c>
      <c r="I1369" s="42" t="str">
        <f ca="1"/>
        <v/>
      </c>
    </row>
    <row r="1370" spans="4:9" x14ac:dyDescent="0.25">
      <c r="D1370" s="19"/>
      <c r="G1370" s="43" t="str">
        <v/>
      </c>
      <c r="H1370" s="43" t="e">
        <f ca="1"/>
        <v>#N/A</v>
      </c>
      <c r="I1370" s="42" t="str">
        <f ca="1"/>
        <v/>
      </c>
    </row>
    <row r="1371" spans="4:9" x14ac:dyDescent="0.25">
      <c r="D1371" s="19"/>
      <c r="G1371" s="43" t="str">
        <v/>
      </c>
      <c r="H1371" s="43" t="e">
        <f ca="1"/>
        <v>#N/A</v>
      </c>
      <c r="I1371" s="42" t="str">
        <f ca="1"/>
        <v/>
      </c>
    </row>
    <row r="1372" spans="4:9" x14ac:dyDescent="0.25">
      <c r="D1372" s="19"/>
      <c r="G1372" s="43" t="str">
        <v/>
      </c>
      <c r="H1372" s="43" t="e">
        <f ca="1"/>
        <v>#N/A</v>
      </c>
      <c r="I1372" s="42" t="str">
        <f ca="1"/>
        <v/>
      </c>
    </row>
    <row r="1373" spans="4:9" x14ac:dyDescent="0.25">
      <c r="D1373" s="19"/>
      <c r="G1373" s="43" t="str">
        <v/>
      </c>
      <c r="H1373" s="43" t="e">
        <f ca="1"/>
        <v>#N/A</v>
      </c>
      <c r="I1373" s="42" t="str">
        <f ca="1"/>
        <v/>
      </c>
    </row>
    <row r="1374" spans="4:9" x14ac:dyDescent="0.25">
      <c r="D1374" s="19"/>
      <c r="G1374" s="43" t="str">
        <v/>
      </c>
      <c r="H1374" s="43" t="e">
        <f ca="1"/>
        <v>#N/A</v>
      </c>
      <c r="I1374" s="42" t="str">
        <f ca="1"/>
        <v/>
      </c>
    </row>
    <row r="1375" spans="4:9" x14ac:dyDescent="0.25">
      <c r="D1375" s="19"/>
      <c r="G1375" s="43" t="str">
        <v/>
      </c>
      <c r="H1375" s="43" t="e">
        <f ca="1"/>
        <v>#N/A</v>
      </c>
      <c r="I1375" s="42" t="str">
        <f ca="1"/>
        <v/>
      </c>
    </row>
    <row r="1376" spans="4:9" x14ac:dyDescent="0.25">
      <c r="D1376" s="19"/>
      <c r="G1376" s="43" t="str">
        <v/>
      </c>
      <c r="H1376" s="43" t="e">
        <f ca="1"/>
        <v>#N/A</v>
      </c>
      <c r="I1376" s="42" t="str">
        <f ca="1"/>
        <v/>
      </c>
    </row>
    <row r="1377" spans="4:9" x14ac:dyDescent="0.25">
      <c r="D1377" s="19"/>
      <c r="G1377" s="43" t="str">
        <v/>
      </c>
      <c r="H1377" s="43" t="e">
        <f ca="1"/>
        <v>#N/A</v>
      </c>
      <c r="I1377" s="42" t="str">
        <f ca="1"/>
        <v/>
      </c>
    </row>
    <row r="1378" spans="4:9" x14ac:dyDescent="0.25">
      <c r="D1378" s="19"/>
      <c r="G1378" s="43" t="str">
        <v/>
      </c>
      <c r="H1378" s="43" t="e">
        <f ca="1"/>
        <v>#N/A</v>
      </c>
      <c r="I1378" s="42" t="str">
        <f ca="1"/>
        <v/>
      </c>
    </row>
    <row r="1379" spans="4:9" x14ac:dyDescent="0.25">
      <c r="D1379" s="19"/>
      <c r="G1379" s="43" t="str">
        <v/>
      </c>
      <c r="H1379" s="43" t="e">
        <f ca="1"/>
        <v>#N/A</v>
      </c>
      <c r="I1379" s="42" t="str">
        <f ca="1"/>
        <v/>
      </c>
    </row>
    <row r="1380" spans="4:9" x14ac:dyDescent="0.25">
      <c r="D1380" s="19"/>
      <c r="G1380" s="43" t="str">
        <v/>
      </c>
      <c r="H1380" s="43" t="e">
        <f ca="1"/>
        <v>#N/A</v>
      </c>
      <c r="I1380" s="42" t="str">
        <f ca="1"/>
        <v/>
      </c>
    </row>
    <row r="1381" spans="4:9" x14ac:dyDescent="0.25">
      <c r="D1381" s="19"/>
      <c r="G1381" s="43" t="str">
        <v/>
      </c>
      <c r="H1381" s="43" t="e">
        <f ca="1"/>
        <v>#N/A</v>
      </c>
      <c r="I1381" s="42" t="str">
        <f ca="1"/>
        <v/>
      </c>
    </row>
    <row r="1382" spans="4:9" x14ac:dyDescent="0.25">
      <c r="D1382" s="19"/>
      <c r="G1382" s="43" t="str">
        <v/>
      </c>
      <c r="H1382" s="43" t="e">
        <f ca="1"/>
        <v>#N/A</v>
      </c>
      <c r="I1382" s="42" t="str">
        <f ca="1"/>
        <v/>
      </c>
    </row>
    <row r="1383" spans="4:9" x14ac:dyDescent="0.25">
      <c r="D1383" s="19"/>
      <c r="G1383" s="43" t="str">
        <v/>
      </c>
      <c r="H1383" s="43" t="e">
        <f ca="1"/>
        <v>#N/A</v>
      </c>
      <c r="I1383" s="42" t="str">
        <f ca="1"/>
        <v/>
      </c>
    </row>
    <row r="1384" spans="4:9" x14ac:dyDescent="0.25">
      <c r="D1384" s="19"/>
      <c r="G1384" s="43" t="str">
        <v/>
      </c>
      <c r="H1384" s="43" t="e">
        <f ca="1"/>
        <v>#N/A</v>
      </c>
      <c r="I1384" s="42" t="str">
        <f ca="1"/>
        <v/>
      </c>
    </row>
    <row r="1385" spans="4:9" x14ac:dyDescent="0.25">
      <c r="D1385" s="19"/>
      <c r="G1385" s="43" t="str">
        <v/>
      </c>
      <c r="H1385" s="43" t="e">
        <f ca="1"/>
        <v>#N/A</v>
      </c>
      <c r="I1385" s="42" t="str">
        <f ca="1"/>
        <v/>
      </c>
    </row>
    <row r="1386" spans="4:9" x14ac:dyDescent="0.25">
      <c r="D1386" s="19"/>
      <c r="G1386" s="43" t="str">
        <v/>
      </c>
      <c r="H1386" s="43" t="e">
        <f ca="1"/>
        <v>#N/A</v>
      </c>
      <c r="I1386" s="42" t="str">
        <f ca="1"/>
        <v/>
      </c>
    </row>
    <row r="1387" spans="4:9" x14ac:dyDescent="0.25">
      <c r="D1387" s="19"/>
      <c r="G1387" s="43" t="str">
        <v/>
      </c>
      <c r="H1387" s="43" t="e">
        <f ca="1"/>
        <v>#N/A</v>
      </c>
      <c r="I1387" s="42" t="str">
        <f ca="1"/>
        <v/>
      </c>
    </row>
    <row r="1388" spans="4:9" x14ac:dyDescent="0.25">
      <c r="D1388" s="19"/>
      <c r="G1388" s="43" t="str">
        <v/>
      </c>
      <c r="H1388" s="43" t="e">
        <f ca="1"/>
        <v>#N/A</v>
      </c>
      <c r="I1388" s="42" t="str">
        <f ca="1"/>
        <v/>
      </c>
    </row>
    <row r="1389" spans="4:9" x14ac:dyDescent="0.25">
      <c r="D1389" s="19"/>
      <c r="G1389" s="43" t="str">
        <v/>
      </c>
      <c r="H1389" s="43" t="e">
        <f ca="1"/>
        <v>#N/A</v>
      </c>
      <c r="I1389" s="42" t="str">
        <f ca="1"/>
        <v/>
      </c>
    </row>
    <row r="1390" spans="4:9" x14ac:dyDescent="0.25">
      <c r="D1390" s="19"/>
      <c r="G1390" s="43" t="str">
        <v/>
      </c>
      <c r="H1390" s="43" t="e">
        <f ca="1"/>
        <v>#N/A</v>
      </c>
      <c r="I1390" s="42" t="str">
        <f ca="1"/>
        <v/>
      </c>
    </row>
    <row r="1391" spans="4:9" x14ac:dyDescent="0.25">
      <c r="D1391" s="19"/>
      <c r="G1391" s="43" t="str">
        <v/>
      </c>
      <c r="H1391" s="43" t="e">
        <f ca="1"/>
        <v>#N/A</v>
      </c>
      <c r="I1391" s="42" t="str">
        <f ca="1"/>
        <v/>
      </c>
    </row>
    <row r="1392" spans="4:9" x14ac:dyDescent="0.25">
      <c r="D1392" s="19"/>
      <c r="G1392" s="43" t="str">
        <v/>
      </c>
      <c r="H1392" s="43" t="e">
        <f ca="1"/>
        <v>#N/A</v>
      </c>
      <c r="I1392" s="42" t="str">
        <f ca="1"/>
        <v/>
      </c>
    </row>
    <row r="1393" spans="4:9" x14ac:dyDescent="0.25">
      <c r="D1393" s="19"/>
      <c r="G1393" s="43" t="str">
        <v/>
      </c>
      <c r="H1393" s="43" t="e">
        <f ca="1"/>
        <v>#N/A</v>
      </c>
      <c r="I1393" s="42" t="str">
        <f ca="1"/>
        <v/>
      </c>
    </row>
    <row r="1394" spans="4:9" x14ac:dyDescent="0.25">
      <c r="D1394" s="19"/>
      <c r="G1394" s="43" t="str">
        <v/>
      </c>
      <c r="H1394" s="43" t="e">
        <f ca="1"/>
        <v>#N/A</v>
      </c>
      <c r="I1394" s="42" t="str">
        <f ca="1"/>
        <v/>
      </c>
    </row>
    <row r="1395" spans="4:9" x14ac:dyDescent="0.25">
      <c r="D1395" s="19"/>
      <c r="G1395" s="43" t="str">
        <v/>
      </c>
      <c r="H1395" s="43" t="e">
        <f ca="1"/>
        <v>#N/A</v>
      </c>
      <c r="I1395" s="42" t="str">
        <f ca="1"/>
        <v/>
      </c>
    </row>
    <row r="1396" spans="4:9" x14ac:dyDescent="0.25">
      <c r="D1396" s="19"/>
      <c r="G1396" s="43" t="str">
        <v/>
      </c>
      <c r="H1396" s="43" t="e">
        <f ca="1"/>
        <v>#N/A</v>
      </c>
      <c r="I1396" s="42" t="str">
        <f ca="1"/>
        <v/>
      </c>
    </row>
    <row r="1397" spans="4:9" x14ac:dyDescent="0.25">
      <c r="D1397" s="19"/>
      <c r="G1397" s="43" t="str">
        <v/>
      </c>
      <c r="H1397" s="43" t="e">
        <f ca="1"/>
        <v>#N/A</v>
      </c>
      <c r="I1397" s="42" t="str">
        <f ca="1"/>
        <v/>
      </c>
    </row>
    <row r="1398" spans="4:9" x14ac:dyDescent="0.25">
      <c r="D1398" s="19"/>
      <c r="G1398" s="43" t="str">
        <v/>
      </c>
      <c r="H1398" s="43" t="e">
        <f ca="1"/>
        <v>#N/A</v>
      </c>
      <c r="I1398" s="42" t="str">
        <f ca="1"/>
        <v/>
      </c>
    </row>
    <row r="1399" spans="4:9" x14ac:dyDescent="0.25">
      <c r="D1399" s="19"/>
      <c r="G1399" s="43" t="str">
        <v/>
      </c>
      <c r="H1399" s="43" t="e">
        <f ca="1"/>
        <v>#N/A</v>
      </c>
      <c r="I1399" s="42" t="str">
        <f ca="1"/>
        <v/>
      </c>
    </row>
    <row r="1400" spans="4:9" x14ac:dyDescent="0.25">
      <c r="D1400" s="19"/>
      <c r="G1400" s="43" t="str">
        <v/>
      </c>
      <c r="H1400" s="43" t="e">
        <f ca="1"/>
        <v>#N/A</v>
      </c>
      <c r="I1400" s="42" t="str">
        <f ca="1"/>
        <v/>
      </c>
    </row>
    <row r="1401" spans="4:9" x14ac:dyDescent="0.25">
      <c r="D1401" s="19"/>
      <c r="G1401" s="43" t="str">
        <v/>
      </c>
      <c r="H1401" s="43" t="e">
        <f ca="1"/>
        <v>#N/A</v>
      </c>
      <c r="I1401" s="42" t="str">
        <f ca="1"/>
        <v/>
      </c>
    </row>
    <row r="1402" spans="4:9" x14ac:dyDescent="0.25">
      <c r="D1402" s="19"/>
      <c r="G1402" s="43" t="str">
        <v/>
      </c>
      <c r="H1402" s="43" t="e">
        <f ca="1"/>
        <v>#N/A</v>
      </c>
      <c r="I1402" s="42" t="str">
        <f ca="1"/>
        <v/>
      </c>
    </row>
    <row r="1403" spans="4:9" x14ac:dyDescent="0.25">
      <c r="D1403" s="19"/>
      <c r="G1403" s="43" t="str">
        <v/>
      </c>
      <c r="H1403" s="43" t="e">
        <f ca="1"/>
        <v>#N/A</v>
      </c>
      <c r="I1403" s="42" t="str">
        <f ca="1"/>
        <v/>
      </c>
    </row>
    <row r="1404" spans="4:9" x14ac:dyDescent="0.25">
      <c r="D1404" s="19"/>
      <c r="G1404" s="43" t="str">
        <v/>
      </c>
      <c r="H1404" s="43" t="e">
        <f ca="1"/>
        <v>#N/A</v>
      </c>
      <c r="I1404" s="42" t="str">
        <f ca="1"/>
        <v/>
      </c>
    </row>
    <row r="1405" spans="4:9" x14ac:dyDescent="0.25">
      <c r="D1405" s="19"/>
      <c r="G1405" s="43" t="str">
        <v/>
      </c>
      <c r="H1405" s="43" t="e">
        <f ca="1"/>
        <v>#N/A</v>
      </c>
      <c r="I1405" s="42" t="str">
        <f ca="1"/>
        <v/>
      </c>
    </row>
    <row r="1406" spans="4:9" x14ac:dyDescent="0.25">
      <c r="D1406" s="19"/>
      <c r="G1406" s="43" t="str">
        <v/>
      </c>
      <c r="H1406" s="43" t="e">
        <f ca="1"/>
        <v>#N/A</v>
      </c>
      <c r="I1406" s="42" t="str">
        <f ca="1"/>
        <v/>
      </c>
    </row>
    <row r="1407" spans="4:9" x14ac:dyDescent="0.25">
      <c r="D1407" s="19"/>
      <c r="G1407" s="43" t="str">
        <v/>
      </c>
      <c r="H1407" s="43" t="e">
        <f ca="1"/>
        <v>#N/A</v>
      </c>
      <c r="I1407" s="42" t="str">
        <f ca="1"/>
        <v/>
      </c>
    </row>
    <row r="1408" spans="4:9" x14ac:dyDescent="0.25">
      <c r="D1408" s="19"/>
      <c r="G1408" s="43" t="str">
        <v/>
      </c>
      <c r="H1408" s="43" t="e">
        <f ca="1"/>
        <v>#N/A</v>
      </c>
      <c r="I1408" s="42" t="str">
        <f ca="1"/>
        <v/>
      </c>
    </row>
    <row r="1409" spans="4:9" x14ac:dyDescent="0.25">
      <c r="D1409" s="19"/>
      <c r="G1409" s="43" t="str">
        <v/>
      </c>
      <c r="H1409" s="43" t="e">
        <f ca="1"/>
        <v>#N/A</v>
      </c>
      <c r="I1409" s="42" t="str">
        <f ca="1"/>
        <v/>
      </c>
    </row>
    <row r="1410" spans="4:9" x14ac:dyDescent="0.25">
      <c r="D1410" s="19"/>
      <c r="G1410" s="43" t="str">
        <v/>
      </c>
      <c r="H1410" s="43" t="e">
        <f ca="1"/>
        <v>#N/A</v>
      </c>
      <c r="I1410" s="42" t="str">
        <f ca="1"/>
        <v/>
      </c>
    </row>
    <row r="1411" spans="4:9" x14ac:dyDescent="0.25">
      <c r="D1411" s="19"/>
      <c r="G1411" s="43" t="str">
        <v/>
      </c>
      <c r="H1411" s="43" t="e">
        <f ca="1"/>
        <v>#N/A</v>
      </c>
      <c r="I1411" s="42" t="str">
        <f ca="1"/>
        <v/>
      </c>
    </row>
    <row r="1412" spans="4:9" x14ac:dyDescent="0.25">
      <c r="D1412" s="19"/>
      <c r="G1412" s="43" t="str">
        <v/>
      </c>
      <c r="H1412" s="43" t="e">
        <f ca="1"/>
        <v>#N/A</v>
      </c>
      <c r="I1412" s="42" t="str">
        <f ca="1"/>
        <v/>
      </c>
    </row>
    <row r="1413" spans="4:9" x14ac:dyDescent="0.25">
      <c r="D1413" s="19"/>
      <c r="G1413" s="43" t="str">
        <v/>
      </c>
      <c r="H1413" s="43" t="e">
        <f ca="1"/>
        <v>#N/A</v>
      </c>
      <c r="I1413" s="42" t="str">
        <f ca="1"/>
        <v/>
      </c>
    </row>
    <row r="1414" spans="4:9" x14ac:dyDescent="0.25">
      <c r="D1414" s="19"/>
      <c r="G1414" s="43" t="str">
        <v/>
      </c>
      <c r="H1414" s="43" t="e">
        <f ca="1"/>
        <v>#N/A</v>
      </c>
      <c r="I1414" s="42" t="str">
        <f ca="1"/>
        <v/>
      </c>
    </row>
    <row r="1415" spans="4:9" x14ac:dyDescent="0.25">
      <c r="D1415" s="19"/>
      <c r="G1415" s="43" t="str">
        <v/>
      </c>
      <c r="H1415" s="43" t="e">
        <f ca="1"/>
        <v>#N/A</v>
      </c>
      <c r="I1415" s="42" t="str">
        <f ca="1"/>
        <v/>
      </c>
    </row>
    <row r="1416" spans="4:9" x14ac:dyDescent="0.25">
      <c r="D1416" s="19"/>
      <c r="G1416" s="43" t="str">
        <v/>
      </c>
      <c r="H1416" s="43" t="e">
        <f ca="1"/>
        <v>#N/A</v>
      </c>
      <c r="I1416" s="42" t="str">
        <f ca="1"/>
        <v/>
      </c>
    </row>
    <row r="1417" spans="4:9" x14ac:dyDescent="0.25">
      <c r="D1417" s="19"/>
      <c r="G1417" s="43" t="str">
        <v/>
      </c>
      <c r="H1417" s="43" t="e">
        <f ca="1"/>
        <v>#N/A</v>
      </c>
      <c r="I1417" s="42" t="str">
        <f ca="1"/>
        <v/>
      </c>
    </row>
    <row r="1418" spans="4:9" x14ac:dyDescent="0.25">
      <c r="D1418" s="19"/>
      <c r="G1418" s="43" t="str">
        <v/>
      </c>
      <c r="H1418" s="43" t="e">
        <f ca="1"/>
        <v>#N/A</v>
      </c>
      <c r="I1418" s="42" t="str">
        <f ca="1"/>
        <v/>
      </c>
    </row>
    <row r="1419" spans="4:9" x14ac:dyDescent="0.25">
      <c r="D1419" s="19"/>
      <c r="G1419" s="43" t="str">
        <v/>
      </c>
      <c r="H1419" s="43" t="e">
        <f ca="1"/>
        <v>#N/A</v>
      </c>
      <c r="I1419" s="42" t="str">
        <f ca="1"/>
        <v/>
      </c>
    </row>
    <row r="1420" spans="4:9" x14ac:dyDescent="0.25">
      <c r="D1420" s="19"/>
      <c r="G1420" s="43" t="str">
        <v/>
      </c>
      <c r="H1420" s="43" t="e">
        <f ca="1"/>
        <v>#N/A</v>
      </c>
      <c r="I1420" s="42" t="str">
        <f ca="1"/>
        <v/>
      </c>
    </row>
    <row r="1421" spans="4:9" x14ac:dyDescent="0.25">
      <c r="D1421" s="19"/>
      <c r="G1421" s="43" t="str">
        <v/>
      </c>
      <c r="H1421" s="43" t="e">
        <f ca="1"/>
        <v>#N/A</v>
      </c>
      <c r="I1421" s="42" t="str">
        <f ca="1"/>
        <v/>
      </c>
    </row>
    <row r="1422" spans="4:9" x14ac:dyDescent="0.25">
      <c r="D1422" s="19"/>
      <c r="G1422" s="43" t="str">
        <v/>
      </c>
      <c r="H1422" s="43" t="e">
        <f ca="1"/>
        <v>#N/A</v>
      </c>
      <c r="I1422" s="42" t="str">
        <f ca="1"/>
        <v/>
      </c>
    </row>
    <row r="1423" spans="4:9" x14ac:dyDescent="0.25">
      <c r="D1423" s="19"/>
      <c r="G1423" s="43" t="str">
        <v/>
      </c>
      <c r="H1423" s="43" t="e">
        <f ca="1"/>
        <v>#N/A</v>
      </c>
      <c r="I1423" s="42" t="str">
        <f ca="1"/>
        <v/>
      </c>
    </row>
    <row r="1424" spans="4:9" x14ac:dyDescent="0.25">
      <c r="D1424" s="19"/>
      <c r="G1424" s="43" t="str">
        <v/>
      </c>
      <c r="H1424" s="43" t="e">
        <f ca="1"/>
        <v>#N/A</v>
      </c>
      <c r="I1424" s="42" t="str">
        <f ca="1"/>
        <v/>
      </c>
    </row>
    <row r="1425" spans="4:9" x14ac:dyDescent="0.25">
      <c r="D1425" s="19"/>
      <c r="G1425" s="43" t="str">
        <v/>
      </c>
      <c r="H1425" s="43" t="e">
        <f ca="1"/>
        <v>#N/A</v>
      </c>
      <c r="I1425" s="42" t="str">
        <f ca="1"/>
        <v/>
      </c>
    </row>
    <row r="1426" spans="4:9" x14ac:dyDescent="0.25">
      <c r="D1426" s="19"/>
      <c r="G1426" s="43" t="str">
        <v/>
      </c>
      <c r="H1426" s="43" t="e">
        <f ca="1"/>
        <v>#N/A</v>
      </c>
      <c r="I1426" s="42" t="str">
        <f ca="1"/>
        <v/>
      </c>
    </row>
    <row r="1427" spans="4:9" x14ac:dyDescent="0.25">
      <c r="D1427" s="19"/>
      <c r="G1427" s="43" t="str">
        <v/>
      </c>
      <c r="H1427" s="43" t="e">
        <f ca="1"/>
        <v>#N/A</v>
      </c>
      <c r="I1427" s="42" t="str">
        <f ca="1"/>
        <v/>
      </c>
    </row>
    <row r="1428" spans="4:9" x14ac:dyDescent="0.25">
      <c r="D1428" s="19"/>
      <c r="G1428" s="43" t="str">
        <v/>
      </c>
      <c r="H1428" s="43" t="e">
        <f ca="1"/>
        <v>#N/A</v>
      </c>
      <c r="I1428" s="42" t="str">
        <f ca="1"/>
        <v/>
      </c>
    </row>
    <row r="1429" spans="4:9" x14ac:dyDescent="0.25">
      <c r="D1429" s="19"/>
      <c r="G1429" s="43" t="str">
        <v/>
      </c>
      <c r="H1429" s="43" t="e">
        <f ca="1"/>
        <v>#N/A</v>
      </c>
      <c r="I1429" s="42" t="str">
        <f ca="1"/>
        <v/>
      </c>
    </row>
    <row r="1430" spans="4:9" x14ac:dyDescent="0.25">
      <c r="D1430" s="19"/>
      <c r="G1430" s="43" t="str">
        <v/>
      </c>
      <c r="H1430" s="43" t="e">
        <f ca="1"/>
        <v>#N/A</v>
      </c>
      <c r="I1430" s="42" t="str">
        <f ca="1"/>
        <v/>
      </c>
    </row>
    <row r="1431" spans="4:9" x14ac:dyDescent="0.25">
      <c r="D1431" s="19"/>
      <c r="G1431" s="43" t="str">
        <v/>
      </c>
      <c r="H1431" s="43" t="e">
        <f ca="1"/>
        <v>#N/A</v>
      </c>
      <c r="I1431" s="42" t="str">
        <f ca="1"/>
        <v/>
      </c>
    </row>
    <row r="1432" spans="4:9" x14ac:dyDescent="0.25">
      <c r="D1432" s="19"/>
      <c r="G1432" s="43" t="str">
        <v/>
      </c>
      <c r="H1432" s="43" t="e">
        <f ca="1"/>
        <v>#N/A</v>
      </c>
      <c r="I1432" s="42" t="str">
        <f ca="1"/>
        <v/>
      </c>
    </row>
    <row r="1433" spans="4:9" x14ac:dyDescent="0.25">
      <c r="D1433" s="19"/>
      <c r="G1433" s="43" t="str">
        <v/>
      </c>
      <c r="H1433" s="43" t="e">
        <f ca="1"/>
        <v>#N/A</v>
      </c>
      <c r="I1433" s="42" t="str">
        <f ca="1"/>
        <v/>
      </c>
    </row>
    <row r="1434" spans="4:9" x14ac:dyDescent="0.25">
      <c r="D1434" s="19"/>
      <c r="G1434" s="43" t="str">
        <v/>
      </c>
      <c r="H1434" s="43" t="e">
        <f ca="1"/>
        <v>#N/A</v>
      </c>
      <c r="I1434" s="42" t="str">
        <f ca="1"/>
        <v/>
      </c>
    </row>
    <row r="1435" spans="4:9" x14ac:dyDescent="0.25">
      <c r="D1435" s="19"/>
      <c r="G1435" s="43" t="str">
        <v/>
      </c>
      <c r="H1435" s="43" t="e">
        <f ca="1"/>
        <v>#N/A</v>
      </c>
      <c r="I1435" s="42" t="str">
        <f ca="1"/>
        <v/>
      </c>
    </row>
    <row r="1436" spans="4:9" x14ac:dyDescent="0.25">
      <c r="D1436" s="19"/>
      <c r="G1436" s="43" t="str">
        <v/>
      </c>
      <c r="H1436" s="43" t="e">
        <f ca="1"/>
        <v>#N/A</v>
      </c>
      <c r="I1436" s="42" t="str">
        <f ca="1"/>
        <v/>
      </c>
    </row>
    <row r="1437" spans="4:9" x14ac:dyDescent="0.25">
      <c r="D1437" s="19"/>
      <c r="G1437" s="43" t="str">
        <v/>
      </c>
      <c r="H1437" s="43" t="e">
        <f ca="1"/>
        <v>#N/A</v>
      </c>
      <c r="I1437" s="42" t="str">
        <f ca="1"/>
        <v/>
      </c>
    </row>
    <row r="1438" spans="4:9" x14ac:dyDescent="0.25">
      <c r="D1438" s="19"/>
      <c r="G1438" s="43" t="str">
        <v/>
      </c>
      <c r="H1438" s="43" t="e">
        <f ca="1"/>
        <v>#N/A</v>
      </c>
      <c r="I1438" s="42" t="str">
        <f ca="1"/>
        <v/>
      </c>
    </row>
    <row r="1439" spans="4:9" x14ac:dyDescent="0.25">
      <c r="D1439" s="19"/>
      <c r="G1439" s="43" t="str">
        <v/>
      </c>
      <c r="H1439" s="43" t="e">
        <f ca="1"/>
        <v>#N/A</v>
      </c>
      <c r="I1439" s="42" t="str">
        <f ca="1"/>
        <v/>
      </c>
    </row>
    <row r="1440" spans="4:9" x14ac:dyDescent="0.25">
      <c r="D1440" s="19"/>
      <c r="G1440" s="43" t="str">
        <v/>
      </c>
      <c r="H1440" s="43" t="e">
        <f ca="1"/>
        <v>#N/A</v>
      </c>
      <c r="I1440" s="42" t="str">
        <f ca="1"/>
        <v/>
      </c>
    </row>
    <row r="1441" spans="4:9" x14ac:dyDescent="0.25">
      <c r="D1441" s="19"/>
      <c r="G1441" s="43" t="str">
        <v/>
      </c>
      <c r="H1441" s="43" t="e">
        <f ca="1"/>
        <v>#N/A</v>
      </c>
      <c r="I1441" s="42" t="str">
        <f ca="1"/>
        <v/>
      </c>
    </row>
    <row r="1442" spans="4:9" x14ac:dyDescent="0.25">
      <c r="D1442" s="19"/>
      <c r="G1442" s="43" t="str">
        <v/>
      </c>
      <c r="H1442" s="43" t="e">
        <f ca="1"/>
        <v>#N/A</v>
      </c>
      <c r="I1442" s="42" t="str">
        <f ca="1"/>
        <v/>
      </c>
    </row>
    <row r="1443" spans="4:9" x14ac:dyDescent="0.25">
      <c r="D1443" s="19"/>
      <c r="G1443" s="43" t="str">
        <v/>
      </c>
      <c r="H1443" s="43" t="e">
        <f ca="1"/>
        <v>#N/A</v>
      </c>
      <c r="I1443" s="42" t="str">
        <f ca="1"/>
        <v/>
      </c>
    </row>
    <row r="1444" spans="4:9" x14ac:dyDescent="0.25">
      <c r="D1444" s="19"/>
      <c r="G1444" s="43" t="str">
        <v/>
      </c>
      <c r="H1444" s="43" t="e">
        <f ca="1"/>
        <v>#N/A</v>
      </c>
      <c r="I1444" s="42" t="str">
        <f ca="1"/>
        <v/>
      </c>
    </row>
    <row r="1445" spans="4:9" x14ac:dyDescent="0.25">
      <c r="D1445" s="19"/>
      <c r="G1445" s="43" t="str">
        <v/>
      </c>
      <c r="H1445" s="43" t="e">
        <f ca="1"/>
        <v>#N/A</v>
      </c>
      <c r="I1445" s="42" t="str">
        <f ca="1"/>
        <v/>
      </c>
    </row>
    <row r="1446" spans="4:9" x14ac:dyDescent="0.25">
      <c r="D1446" s="19"/>
      <c r="G1446" s="43" t="str">
        <v/>
      </c>
      <c r="H1446" s="43" t="e">
        <f ca="1"/>
        <v>#N/A</v>
      </c>
      <c r="I1446" s="42" t="str">
        <f ca="1"/>
        <v/>
      </c>
    </row>
    <row r="1447" spans="4:9" x14ac:dyDescent="0.25">
      <c r="D1447" s="19"/>
      <c r="G1447" s="43" t="str">
        <v/>
      </c>
      <c r="H1447" s="43" t="e">
        <f ca="1"/>
        <v>#N/A</v>
      </c>
      <c r="I1447" s="42" t="str">
        <f ca="1"/>
        <v/>
      </c>
    </row>
    <row r="1448" spans="4:9" x14ac:dyDescent="0.25">
      <c r="D1448" s="19"/>
      <c r="G1448" s="43" t="str">
        <v/>
      </c>
      <c r="H1448" s="43" t="e">
        <f ca="1"/>
        <v>#N/A</v>
      </c>
      <c r="I1448" s="42" t="str">
        <f ca="1"/>
        <v/>
      </c>
    </row>
    <row r="1449" spans="4:9" x14ac:dyDescent="0.25">
      <c r="D1449" s="19"/>
      <c r="G1449" s="43" t="str">
        <v/>
      </c>
      <c r="H1449" s="43" t="e">
        <f ca="1"/>
        <v>#N/A</v>
      </c>
      <c r="I1449" s="42" t="str">
        <f ca="1"/>
        <v/>
      </c>
    </row>
    <row r="1450" spans="4:9" x14ac:dyDescent="0.25">
      <c r="D1450" s="19"/>
      <c r="G1450" s="43" t="str">
        <v/>
      </c>
      <c r="H1450" s="43" t="e">
        <f ca="1"/>
        <v>#N/A</v>
      </c>
      <c r="I1450" s="42" t="str">
        <f ca="1"/>
        <v/>
      </c>
    </row>
    <row r="1451" spans="4:9" x14ac:dyDescent="0.25">
      <c r="D1451" s="19"/>
      <c r="G1451" s="43" t="str">
        <v/>
      </c>
      <c r="H1451" s="43" t="e">
        <f ca="1"/>
        <v>#N/A</v>
      </c>
      <c r="I1451" s="42" t="str">
        <f ca="1"/>
        <v/>
      </c>
    </row>
    <row r="1452" spans="4:9" x14ac:dyDescent="0.25">
      <c r="D1452" s="19"/>
      <c r="G1452" s="43" t="str">
        <v/>
      </c>
      <c r="H1452" s="43" t="e">
        <f ca="1"/>
        <v>#N/A</v>
      </c>
      <c r="I1452" s="42" t="str">
        <f ca="1"/>
        <v/>
      </c>
    </row>
    <row r="1453" spans="4:9" x14ac:dyDescent="0.25">
      <c r="D1453" s="19"/>
      <c r="G1453" s="43" t="str">
        <v/>
      </c>
      <c r="H1453" s="43" t="e">
        <f ca="1"/>
        <v>#N/A</v>
      </c>
      <c r="I1453" s="42" t="str">
        <f ca="1"/>
        <v/>
      </c>
    </row>
    <row r="1454" spans="4:9" x14ac:dyDescent="0.25">
      <c r="D1454" s="19"/>
      <c r="G1454" s="43" t="str">
        <v/>
      </c>
      <c r="H1454" s="43" t="e">
        <f ca="1"/>
        <v>#N/A</v>
      </c>
      <c r="I1454" s="42" t="str">
        <f ca="1"/>
        <v/>
      </c>
    </row>
    <row r="1455" spans="4:9" x14ac:dyDescent="0.25">
      <c r="D1455" s="19"/>
      <c r="G1455" s="43" t="str">
        <v/>
      </c>
      <c r="H1455" s="43" t="e">
        <f ca="1"/>
        <v>#N/A</v>
      </c>
      <c r="I1455" s="42" t="str">
        <f ca="1"/>
        <v/>
      </c>
    </row>
    <row r="1456" spans="4:9" x14ac:dyDescent="0.25">
      <c r="D1456" s="19"/>
      <c r="G1456" s="43" t="str">
        <v/>
      </c>
      <c r="H1456" s="43" t="e">
        <f ca="1"/>
        <v>#N/A</v>
      </c>
      <c r="I1456" s="42" t="str">
        <f ca="1"/>
        <v/>
      </c>
    </row>
    <row r="1457" spans="4:9" x14ac:dyDescent="0.25">
      <c r="D1457" s="19"/>
      <c r="G1457" s="43" t="str">
        <v/>
      </c>
      <c r="H1457" s="43" t="e">
        <f ca="1"/>
        <v>#N/A</v>
      </c>
      <c r="I1457" s="42" t="str">
        <f ca="1"/>
        <v/>
      </c>
    </row>
    <row r="1458" spans="4:9" x14ac:dyDescent="0.25">
      <c r="D1458" s="19"/>
      <c r="G1458" s="43" t="str">
        <v/>
      </c>
      <c r="H1458" s="43" t="e">
        <f ca="1"/>
        <v>#N/A</v>
      </c>
      <c r="I1458" s="42" t="str">
        <f ca="1"/>
        <v/>
      </c>
    </row>
    <row r="1459" spans="4:9" x14ac:dyDescent="0.25">
      <c r="D1459" s="19"/>
      <c r="G1459" s="43" t="str">
        <v/>
      </c>
      <c r="H1459" s="43" t="e">
        <f ca="1"/>
        <v>#N/A</v>
      </c>
      <c r="I1459" s="42" t="str">
        <f ca="1"/>
        <v/>
      </c>
    </row>
    <row r="1460" spans="4:9" x14ac:dyDescent="0.25">
      <c r="D1460" s="19"/>
      <c r="G1460" s="43" t="str">
        <v/>
      </c>
      <c r="H1460" s="43" t="e">
        <f ca="1"/>
        <v>#N/A</v>
      </c>
      <c r="I1460" s="42" t="str">
        <f ca="1"/>
        <v/>
      </c>
    </row>
    <row r="1461" spans="4:9" x14ac:dyDescent="0.25">
      <c r="D1461" s="19"/>
      <c r="G1461" s="43" t="str">
        <v/>
      </c>
      <c r="H1461" s="43" t="e">
        <f ca="1"/>
        <v>#N/A</v>
      </c>
      <c r="I1461" s="42" t="str">
        <f ca="1"/>
        <v/>
      </c>
    </row>
    <row r="1462" spans="4:9" x14ac:dyDescent="0.25">
      <c r="D1462" s="19"/>
      <c r="G1462" s="43" t="str">
        <v/>
      </c>
      <c r="H1462" s="43" t="e">
        <f ca="1"/>
        <v>#N/A</v>
      </c>
      <c r="I1462" s="42" t="str">
        <f ca="1"/>
        <v/>
      </c>
    </row>
    <row r="1463" spans="4:9" x14ac:dyDescent="0.25">
      <c r="D1463" s="19"/>
      <c r="G1463" s="43" t="str">
        <v/>
      </c>
      <c r="H1463" s="43" t="e">
        <f ca="1"/>
        <v>#N/A</v>
      </c>
      <c r="I1463" s="42" t="str">
        <f ca="1"/>
        <v/>
      </c>
    </row>
    <row r="1464" spans="4:9" x14ac:dyDescent="0.25">
      <c r="D1464" s="19"/>
      <c r="G1464" s="43" t="str">
        <v/>
      </c>
      <c r="H1464" s="43" t="e">
        <f ca="1"/>
        <v>#N/A</v>
      </c>
      <c r="I1464" s="42" t="str">
        <f ca="1"/>
        <v/>
      </c>
    </row>
    <row r="1465" spans="4:9" x14ac:dyDescent="0.25">
      <c r="D1465" s="19"/>
      <c r="G1465" s="43" t="str">
        <v/>
      </c>
      <c r="H1465" s="43" t="e">
        <f ca="1"/>
        <v>#N/A</v>
      </c>
      <c r="I1465" s="42" t="str">
        <f ca="1"/>
        <v/>
      </c>
    </row>
    <row r="1466" spans="4:9" x14ac:dyDescent="0.25">
      <c r="D1466" s="19"/>
      <c r="G1466" s="43" t="str">
        <v/>
      </c>
      <c r="H1466" s="43" t="e">
        <f ca="1"/>
        <v>#N/A</v>
      </c>
      <c r="I1466" s="42" t="str">
        <f ca="1"/>
        <v/>
      </c>
    </row>
    <row r="1467" spans="4:9" x14ac:dyDescent="0.25">
      <c r="D1467" s="19"/>
      <c r="G1467" s="43" t="str">
        <v/>
      </c>
      <c r="H1467" s="43" t="e">
        <f ca="1"/>
        <v>#N/A</v>
      </c>
      <c r="I1467" s="42" t="str">
        <f ca="1"/>
        <v/>
      </c>
    </row>
    <row r="1468" spans="4:9" x14ac:dyDescent="0.25">
      <c r="D1468" s="19"/>
      <c r="G1468" s="43" t="str">
        <v/>
      </c>
      <c r="H1468" s="43" t="e">
        <f ca="1"/>
        <v>#N/A</v>
      </c>
      <c r="I1468" s="42" t="str">
        <f ca="1"/>
        <v/>
      </c>
    </row>
    <row r="1469" spans="4:9" x14ac:dyDescent="0.25">
      <c r="D1469" s="19"/>
      <c r="G1469" s="43" t="str">
        <v/>
      </c>
      <c r="H1469" s="43" t="e">
        <f ca="1"/>
        <v>#N/A</v>
      </c>
      <c r="I1469" s="42" t="str">
        <f ca="1"/>
        <v/>
      </c>
    </row>
    <row r="1470" spans="4:9" x14ac:dyDescent="0.25">
      <c r="D1470" s="19"/>
      <c r="G1470" s="43" t="str">
        <v/>
      </c>
      <c r="H1470" s="43" t="e">
        <f ca="1"/>
        <v>#N/A</v>
      </c>
      <c r="I1470" s="42" t="str">
        <f ca="1"/>
        <v/>
      </c>
    </row>
    <row r="1471" spans="4:9" x14ac:dyDescent="0.25">
      <c r="D1471" s="19"/>
      <c r="G1471" s="43" t="str">
        <v/>
      </c>
      <c r="H1471" s="43" t="e">
        <f ca="1"/>
        <v>#N/A</v>
      </c>
      <c r="I1471" s="42" t="str">
        <f ca="1"/>
        <v/>
      </c>
    </row>
    <row r="1472" spans="4:9" x14ac:dyDescent="0.25">
      <c r="D1472" s="19"/>
      <c r="G1472" s="43" t="str">
        <v/>
      </c>
      <c r="H1472" s="43" t="e">
        <f ca="1"/>
        <v>#N/A</v>
      </c>
      <c r="I1472" s="42" t="str">
        <f ca="1"/>
        <v/>
      </c>
    </row>
    <row r="1473" spans="4:9" x14ac:dyDescent="0.25">
      <c r="D1473" s="19"/>
      <c r="G1473" s="43" t="str">
        <v/>
      </c>
      <c r="H1473" s="43" t="e">
        <f ca="1"/>
        <v>#N/A</v>
      </c>
      <c r="I1473" s="42" t="str">
        <f ca="1"/>
        <v/>
      </c>
    </row>
    <row r="1474" spans="4:9" x14ac:dyDescent="0.25">
      <c r="D1474" s="19"/>
      <c r="G1474" s="43" t="str">
        <v/>
      </c>
      <c r="H1474" s="43" t="e">
        <f ca="1"/>
        <v>#N/A</v>
      </c>
      <c r="I1474" s="42" t="str">
        <f ca="1"/>
        <v/>
      </c>
    </row>
    <row r="1475" spans="4:9" x14ac:dyDescent="0.25">
      <c r="D1475" s="19"/>
      <c r="G1475" s="43" t="str">
        <v/>
      </c>
      <c r="H1475" s="43" t="e">
        <f ca="1"/>
        <v>#N/A</v>
      </c>
      <c r="I1475" s="42" t="str">
        <f ca="1"/>
        <v/>
      </c>
    </row>
    <row r="1476" spans="4:9" x14ac:dyDescent="0.25">
      <c r="D1476" s="19"/>
      <c r="G1476" s="43" t="str">
        <v/>
      </c>
      <c r="H1476" s="43" t="e">
        <f ca="1"/>
        <v>#N/A</v>
      </c>
      <c r="I1476" s="42" t="str">
        <f ca="1"/>
        <v/>
      </c>
    </row>
    <row r="1477" spans="4:9" x14ac:dyDescent="0.25">
      <c r="D1477" s="19"/>
      <c r="G1477" s="43" t="str">
        <v/>
      </c>
      <c r="H1477" s="43" t="e">
        <f ca="1"/>
        <v>#N/A</v>
      </c>
      <c r="I1477" s="42" t="str">
        <f ca="1"/>
        <v/>
      </c>
    </row>
    <row r="1478" spans="4:9" x14ac:dyDescent="0.25">
      <c r="D1478" s="19"/>
      <c r="G1478" s="43" t="str">
        <v/>
      </c>
      <c r="H1478" s="43" t="e">
        <f ca="1"/>
        <v>#N/A</v>
      </c>
      <c r="I1478" s="42" t="str">
        <f ca="1"/>
        <v/>
      </c>
    </row>
    <row r="1479" spans="4:9" x14ac:dyDescent="0.25">
      <c r="D1479" s="19"/>
      <c r="G1479" s="43" t="str">
        <v/>
      </c>
      <c r="H1479" s="43" t="e">
        <f ca="1"/>
        <v>#N/A</v>
      </c>
      <c r="I1479" s="42" t="str">
        <f ca="1"/>
        <v/>
      </c>
    </row>
    <row r="1480" spans="4:9" x14ac:dyDescent="0.25">
      <c r="D1480" s="19"/>
      <c r="G1480" s="43" t="str">
        <v/>
      </c>
      <c r="H1480" s="43" t="e">
        <f ca="1"/>
        <v>#N/A</v>
      </c>
      <c r="I1480" s="42" t="str">
        <f ca="1"/>
        <v/>
      </c>
    </row>
    <row r="1481" spans="4:9" x14ac:dyDescent="0.25">
      <c r="D1481" s="19"/>
      <c r="G1481" s="43" t="str">
        <v/>
      </c>
      <c r="H1481" s="43" t="e">
        <f ca="1"/>
        <v>#N/A</v>
      </c>
      <c r="I1481" s="42" t="str">
        <f ca="1"/>
        <v/>
      </c>
    </row>
    <row r="1482" spans="4:9" x14ac:dyDescent="0.25">
      <c r="D1482" s="19"/>
      <c r="G1482" s="43" t="str">
        <v/>
      </c>
      <c r="H1482" s="43" t="e">
        <f ca="1"/>
        <v>#N/A</v>
      </c>
      <c r="I1482" s="42" t="str">
        <f ca="1"/>
        <v/>
      </c>
    </row>
    <row r="1483" spans="4:9" x14ac:dyDescent="0.25">
      <c r="D1483" s="19"/>
      <c r="G1483" s="43" t="str">
        <v/>
      </c>
      <c r="H1483" s="43" t="e">
        <f ca="1"/>
        <v>#N/A</v>
      </c>
      <c r="I1483" s="42" t="str">
        <f ca="1"/>
        <v/>
      </c>
    </row>
    <row r="1484" spans="4:9" x14ac:dyDescent="0.25">
      <c r="D1484" s="19"/>
      <c r="G1484" s="43" t="str">
        <v/>
      </c>
      <c r="H1484" s="43" t="e">
        <f ca="1"/>
        <v>#N/A</v>
      </c>
      <c r="I1484" s="42" t="str">
        <f ca="1"/>
        <v/>
      </c>
    </row>
    <row r="1485" spans="4:9" x14ac:dyDescent="0.25">
      <c r="D1485" s="19"/>
      <c r="G1485" s="43" t="str">
        <v/>
      </c>
      <c r="H1485" s="43" t="e">
        <f ca="1"/>
        <v>#N/A</v>
      </c>
      <c r="I1485" s="42" t="str">
        <f ca="1"/>
        <v/>
      </c>
    </row>
    <row r="1486" spans="4:9" x14ac:dyDescent="0.25">
      <c r="D1486" s="19"/>
      <c r="G1486" s="43" t="str">
        <v/>
      </c>
      <c r="H1486" s="43" t="e">
        <f ca="1"/>
        <v>#N/A</v>
      </c>
      <c r="I1486" s="42" t="str">
        <f ca="1"/>
        <v/>
      </c>
    </row>
    <row r="1487" spans="4:9" x14ac:dyDescent="0.25">
      <c r="D1487" s="19"/>
      <c r="G1487" s="43" t="str">
        <v/>
      </c>
      <c r="H1487" s="43" t="e">
        <f ca="1"/>
        <v>#N/A</v>
      </c>
      <c r="I1487" s="42" t="str">
        <f ca="1"/>
        <v/>
      </c>
    </row>
    <row r="1488" spans="4:9" x14ac:dyDescent="0.25">
      <c r="D1488" s="19"/>
      <c r="G1488" s="43" t="str">
        <v/>
      </c>
      <c r="H1488" s="43" t="e">
        <f ca="1"/>
        <v>#N/A</v>
      </c>
      <c r="I1488" s="42" t="str">
        <f ca="1"/>
        <v/>
      </c>
    </row>
    <row r="1489" spans="4:9" x14ac:dyDescent="0.25">
      <c r="D1489" s="19"/>
      <c r="G1489" s="43" t="str">
        <v/>
      </c>
      <c r="H1489" s="43" t="e">
        <f ca="1"/>
        <v>#N/A</v>
      </c>
      <c r="I1489" s="42" t="str">
        <f ca="1"/>
        <v/>
      </c>
    </row>
    <row r="1490" spans="4:9" x14ac:dyDescent="0.25">
      <c r="D1490" s="19"/>
      <c r="G1490" s="43" t="str">
        <v/>
      </c>
      <c r="H1490" s="43" t="e">
        <f ca="1"/>
        <v>#N/A</v>
      </c>
      <c r="I1490" s="42" t="str">
        <f ca="1"/>
        <v/>
      </c>
    </row>
    <row r="1491" spans="4:9" x14ac:dyDescent="0.25">
      <c r="D1491" s="19"/>
      <c r="G1491" s="43" t="str">
        <v/>
      </c>
      <c r="H1491" s="43" t="e">
        <f ca="1"/>
        <v>#N/A</v>
      </c>
      <c r="I1491" s="42" t="str">
        <f ca="1"/>
        <v/>
      </c>
    </row>
    <row r="1492" spans="4:9" x14ac:dyDescent="0.25">
      <c r="D1492" s="19"/>
      <c r="G1492" s="43" t="str">
        <v/>
      </c>
      <c r="H1492" s="43" t="e">
        <f ca="1"/>
        <v>#N/A</v>
      </c>
      <c r="I1492" s="42" t="str">
        <f ca="1"/>
        <v/>
      </c>
    </row>
    <row r="1493" spans="4:9" x14ac:dyDescent="0.25">
      <c r="D1493" s="19"/>
      <c r="G1493" s="43" t="str">
        <v/>
      </c>
      <c r="H1493" s="43" t="e">
        <f ca="1"/>
        <v>#N/A</v>
      </c>
      <c r="I1493" s="42" t="str">
        <f ca="1"/>
        <v/>
      </c>
    </row>
    <row r="1494" spans="4:9" x14ac:dyDescent="0.25">
      <c r="D1494" s="19"/>
      <c r="G1494" s="43" t="str">
        <v/>
      </c>
      <c r="H1494" s="43" t="e">
        <f ca="1"/>
        <v>#N/A</v>
      </c>
      <c r="I1494" s="42" t="str">
        <f ca="1"/>
        <v/>
      </c>
    </row>
    <row r="1495" spans="4:9" x14ac:dyDescent="0.25">
      <c r="D1495" s="19"/>
      <c r="G1495" s="43" t="str">
        <v/>
      </c>
      <c r="H1495" s="43" t="e">
        <f ca="1"/>
        <v>#N/A</v>
      </c>
      <c r="I1495" s="42" t="str">
        <f ca="1"/>
        <v/>
      </c>
    </row>
    <row r="1496" spans="4:9" x14ac:dyDescent="0.25">
      <c r="D1496" s="19"/>
      <c r="G1496" s="43" t="str">
        <v/>
      </c>
      <c r="H1496" s="43" t="e">
        <f ca="1"/>
        <v>#N/A</v>
      </c>
      <c r="I1496" s="42" t="str">
        <f ca="1"/>
        <v/>
      </c>
    </row>
    <row r="1497" spans="4:9" x14ac:dyDescent="0.25">
      <c r="D1497" s="19"/>
      <c r="G1497" s="43" t="str">
        <v/>
      </c>
      <c r="H1497" s="43" t="e">
        <f ca="1"/>
        <v>#N/A</v>
      </c>
      <c r="I1497" s="42" t="str">
        <f ca="1"/>
        <v/>
      </c>
    </row>
    <row r="1498" spans="4:9" x14ac:dyDescent="0.25">
      <c r="D1498" s="19"/>
      <c r="G1498" s="43" t="str">
        <v/>
      </c>
      <c r="H1498" s="43" t="e">
        <f ca="1"/>
        <v>#N/A</v>
      </c>
      <c r="I1498" s="42" t="str">
        <f ca="1"/>
        <v/>
      </c>
    </row>
    <row r="1499" spans="4:9" x14ac:dyDescent="0.25">
      <c r="D1499" s="19"/>
      <c r="G1499" s="43" t="str">
        <v/>
      </c>
      <c r="H1499" s="43" t="e">
        <f ca="1"/>
        <v>#N/A</v>
      </c>
      <c r="I1499" s="42" t="str">
        <f ca="1"/>
        <v/>
      </c>
    </row>
    <row r="1500" spans="4:9" x14ac:dyDescent="0.25">
      <c r="D1500" s="19"/>
      <c r="G1500" s="43" t="str">
        <v/>
      </c>
      <c r="H1500" s="43" t="e">
        <f ca="1"/>
        <v>#N/A</v>
      </c>
      <c r="I1500" s="42" t="str">
        <f ca="1"/>
        <v/>
      </c>
    </row>
    <row r="1501" spans="4:9" x14ac:dyDescent="0.25">
      <c r="D1501" s="19"/>
      <c r="G1501" s="43" t="str">
        <v/>
      </c>
      <c r="H1501" s="43" t="e">
        <f ca="1"/>
        <v>#N/A</v>
      </c>
      <c r="I1501" s="42" t="str">
        <f ca="1"/>
        <v/>
      </c>
    </row>
    <row r="1502" spans="4:9" x14ac:dyDescent="0.25">
      <c r="D1502" s="19"/>
      <c r="G1502" s="43" t="str">
        <v/>
      </c>
      <c r="H1502" s="43" t="e">
        <f ca="1"/>
        <v>#N/A</v>
      </c>
      <c r="I1502" s="42" t="str">
        <f ca="1"/>
        <v/>
      </c>
    </row>
    <row r="1503" spans="4:9" x14ac:dyDescent="0.25">
      <c r="D1503" s="19"/>
      <c r="G1503" s="43" t="str">
        <v/>
      </c>
      <c r="H1503" s="43" t="e">
        <f ca="1"/>
        <v>#N/A</v>
      </c>
      <c r="I1503" s="42" t="str">
        <f ca="1"/>
        <v/>
      </c>
    </row>
    <row r="1504" spans="4:9" x14ac:dyDescent="0.25">
      <c r="D1504" s="19"/>
      <c r="G1504" s="43" t="str">
        <v/>
      </c>
      <c r="H1504" s="43" t="e">
        <f ca="1"/>
        <v>#N/A</v>
      </c>
      <c r="I1504" s="42" t="str">
        <f ca="1"/>
        <v/>
      </c>
    </row>
    <row r="1505" spans="4:9" x14ac:dyDescent="0.25">
      <c r="D1505" s="19"/>
      <c r="G1505" s="43" t="str">
        <v/>
      </c>
      <c r="H1505" s="43" t="e">
        <f ca="1"/>
        <v>#N/A</v>
      </c>
      <c r="I1505" s="42" t="str">
        <f ca="1"/>
        <v/>
      </c>
    </row>
    <row r="1506" spans="4:9" x14ac:dyDescent="0.25">
      <c r="D1506" s="19"/>
      <c r="G1506" s="43" t="str">
        <v/>
      </c>
      <c r="H1506" s="43" t="e">
        <f ca="1"/>
        <v>#N/A</v>
      </c>
      <c r="I1506" s="42" t="str">
        <f ca="1"/>
        <v/>
      </c>
    </row>
    <row r="1507" spans="4:9" x14ac:dyDescent="0.25">
      <c r="D1507" s="19"/>
      <c r="G1507" s="43" t="str">
        <v/>
      </c>
      <c r="H1507" s="43" t="e">
        <f ca="1"/>
        <v>#N/A</v>
      </c>
      <c r="I1507" s="42" t="str">
        <f ca="1"/>
        <v/>
      </c>
    </row>
    <row r="1508" spans="4:9" x14ac:dyDescent="0.25">
      <c r="D1508" s="19"/>
      <c r="G1508" s="43" t="str">
        <v/>
      </c>
      <c r="H1508" s="43" t="e">
        <f ca="1"/>
        <v>#N/A</v>
      </c>
      <c r="I1508" s="42" t="str">
        <f ca="1"/>
        <v/>
      </c>
    </row>
    <row r="1509" spans="4:9" x14ac:dyDescent="0.25">
      <c r="D1509" s="19"/>
      <c r="G1509" s="43" t="str">
        <v/>
      </c>
      <c r="H1509" s="43" t="e">
        <f ca="1"/>
        <v>#N/A</v>
      </c>
      <c r="I1509" s="42" t="str">
        <f ca="1"/>
        <v/>
      </c>
    </row>
    <row r="1510" spans="4:9" x14ac:dyDescent="0.25">
      <c r="D1510" s="19"/>
      <c r="G1510" s="43" t="str">
        <v/>
      </c>
      <c r="H1510" s="43" t="e">
        <f ca="1"/>
        <v>#N/A</v>
      </c>
      <c r="I1510" s="42" t="str">
        <f ca="1"/>
        <v/>
      </c>
    </row>
    <row r="1511" spans="4:9" x14ac:dyDescent="0.25">
      <c r="D1511" s="19"/>
      <c r="G1511" s="43" t="str">
        <v/>
      </c>
      <c r="H1511" s="43" t="e">
        <f ca="1"/>
        <v>#N/A</v>
      </c>
      <c r="I1511" s="42" t="str">
        <f ca="1"/>
        <v/>
      </c>
    </row>
    <row r="1512" spans="4:9" x14ac:dyDescent="0.25">
      <c r="D1512" s="19"/>
      <c r="G1512" s="43" t="str">
        <v/>
      </c>
      <c r="H1512" s="43" t="e">
        <f ca="1"/>
        <v>#N/A</v>
      </c>
      <c r="I1512" s="42" t="str">
        <f ca="1"/>
        <v/>
      </c>
    </row>
    <row r="1513" spans="4:9" x14ac:dyDescent="0.25">
      <c r="D1513" s="19"/>
      <c r="G1513" s="43" t="str">
        <v/>
      </c>
      <c r="H1513" s="43" t="e">
        <f ca="1"/>
        <v>#N/A</v>
      </c>
      <c r="I1513" s="42" t="str">
        <f ca="1"/>
        <v/>
      </c>
    </row>
    <row r="1514" spans="4:9" x14ac:dyDescent="0.25">
      <c r="D1514" s="19"/>
      <c r="G1514" s="43" t="str">
        <v/>
      </c>
      <c r="H1514" s="43" t="e">
        <f ca="1"/>
        <v>#N/A</v>
      </c>
      <c r="I1514" s="42" t="str">
        <f ca="1"/>
        <v/>
      </c>
    </row>
    <row r="1515" spans="4:9" x14ac:dyDescent="0.25">
      <c r="D1515" s="19"/>
      <c r="G1515" s="43" t="str">
        <v/>
      </c>
      <c r="H1515" s="43" t="e">
        <f ca="1"/>
        <v>#N/A</v>
      </c>
      <c r="I1515" s="42" t="str">
        <f ca="1"/>
        <v/>
      </c>
    </row>
    <row r="1516" spans="4:9" x14ac:dyDescent="0.25">
      <c r="D1516" s="19"/>
      <c r="G1516" s="43" t="str">
        <v/>
      </c>
      <c r="H1516" s="43" t="e">
        <f ca="1"/>
        <v>#N/A</v>
      </c>
      <c r="I1516" s="42" t="str">
        <f ca="1"/>
        <v/>
      </c>
    </row>
    <row r="1517" spans="4:9" x14ac:dyDescent="0.25">
      <c r="D1517" s="19"/>
      <c r="G1517" s="43" t="str">
        <v/>
      </c>
      <c r="H1517" s="43" t="e">
        <f ca="1"/>
        <v>#N/A</v>
      </c>
      <c r="I1517" s="42" t="str">
        <f ca="1"/>
        <v/>
      </c>
    </row>
    <row r="1518" spans="4:9" x14ac:dyDescent="0.25">
      <c r="D1518" s="19"/>
      <c r="G1518" s="43" t="str">
        <v/>
      </c>
      <c r="H1518" s="43" t="e">
        <f ca="1"/>
        <v>#N/A</v>
      </c>
      <c r="I1518" s="42" t="str">
        <f ca="1"/>
        <v/>
      </c>
    </row>
    <row r="1519" spans="4:9" x14ac:dyDescent="0.25">
      <c r="D1519" s="19"/>
      <c r="G1519" s="43" t="str">
        <v/>
      </c>
      <c r="H1519" s="43" t="e">
        <f ca="1"/>
        <v>#N/A</v>
      </c>
      <c r="I1519" s="42" t="str">
        <f ca="1"/>
        <v/>
      </c>
    </row>
    <row r="1520" spans="4:9" x14ac:dyDescent="0.25">
      <c r="D1520" s="19"/>
      <c r="G1520" s="43" t="str">
        <v/>
      </c>
      <c r="H1520" s="43" t="e">
        <f ca="1"/>
        <v>#N/A</v>
      </c>
      <c r="I1520" s="42" t="str">
        <f ca="1"/>
        <v/>
      </c>
    </row>
    <row r="1521" spans="4:9" x14ac:dyDescent="0.25">
      <c r="D1521" s="19"/>
      <c r="G1521" s="43" t="str">
        <v/>
      </c>
      <c r="H1521" s="43" t="e">
        <f ca="1"/>
        <v>#N/A</v>
      </c>
      <c r="I1521" s="42" t="str">
        <f ca="1"/>
        <v/>
      </c>
    </row>
    <row r="1522" spans="4:9" x14ac:dyDescent="0.25">
      <c r="D1522" s="19"/>
      <c r="G1522" s="43" t="str">
        <v/>
      </c>
      <c r="H1522" s="43" t="e">
        <f ca="1"/>
        <v>#N/A</v>
      </c>
      <c r="I1522" s="42" t="str">
        <f ca="1"/>
        <v/>
      </c>
    </row>
    <row r="1523" spans="4:9" x14ac:dyDescent="0.25">
      <c r="D1523" s="19"/>
      <c r="G1523" s="43" t="str">
        <v/>
      </c>
      <c r="H1523" s="43" t="e">
        <f ca="1"/>
        <v>#N/A</v>
      </c>
      <c r="I1523" s="42" t="str">
        <f ca="1"/>
        <v/>
      </c>
    </row>
    <row r="1524" spans="4:9" x14ac:dyDescent="0.25">
      <c r="D1524" s="19"/>
      <c r="G1524" s="43" t="str">
        <v/>
      </c>
      <c r="H1524" s="43" t="e">
        <f ca="1"/>
        <v>#N/A</v>
      </c>
      <c r="I1524" s="42" t="str">
        <f ca="1"/>
        <v/>
      </c>
    </row>
    <row r="1525" spans="4:9" x14ac:dyDescent="0.25">
      <c r="D1525" s="19"/>
      <c r="G1525" s="43" t="str">
        <v/>
      </c>
      <c r="H1525" s="43" t="e">
        <f ca="1"/>
        <v>#N/A</v>
      </c>
      <c r="I1525" s="42" t="str">
        <f ca="1"/>
        <v/>
      </c>
    </row>
    <row r="1526" spans="4:9" x14ac:dyDescent="0.25">
      <c r="D1526" s="19"/>
      <c r="G1526" s="43" t="str">
        <v/>
      </c>
      <c r="H1526" s="43" t="e">
        <f ca="1"/>
        <v>#N/A</v>
      </c>
      <c r="I1526" s="42" t="str">
        <f ca="1"/>
        <v/>
      </c>
    </row>
    <row r="1527" spans="4:9" x14ac:dyDescent="0.25">
      <c r="D1527" s="19"/>
      <c r="G1527" s="43" t="str">
        <v/>
      </c>
      <c r="H1527" s="43" t="e">
        <f ca="1"/>
        <v>#N/A</v>
      </c>
      <c r="I1527" s="42" t="str">
        <f ca="1"/>
        <v/>
      </c>
    </row>
    <row r="1528" spans="4:9" x14ac:dyDescent="0.25">
      <c r="D1528" s="19"/>
      <c r="G1528" s="43" t="str">
        <v/>
      </c>
      <c r="H1528" s="43" t="e">
        <f ca="1"/>
        <v>#N/A</v>
      </c>
      <c r="I1528" s="42" t="str">
        <f ca="1"/>
        <v/>
      </c>
    </row>
    <row r="1529" spans="4:9" x14ac:dyDescent="0.25">
      <c r="D1529" s="19"/>
      <c r="G1529" s="43" t="str">
        <v/>
      </c>
      <c r="H1529" s="43" t="e">
        <f ca="1"/>
        <v>#N/A</v>
      </c>
      <c r="I1529" s="42" t="str">
        <f ca="1"/>
        <v/>
      </c>
    </row>
    <row r="1530" spans="4:9" x14ac:dyDescent="0.25">
      <c r="D1530" s="19"/>
      <c r="G1530" s="43" t="str">
        <v/>
      </c>
      <c r="H1530" s="43" t="e">
        <f ca="1"/>
        <v>#N/A</v>
      </c>
      <c r="I1530" s="42" t="str">
        <f ca="1"/>
        <v/>
      </c>
    </row>
    <row r="1531" spans="4:9" x14ac:dyDescent="0.25">
      <c r="D1531" s="19"/>
      <c r="G1531" s="43" t="str">
        <v/>
      </c>
      <c r="H1531" s="43" t="e">
        <f ca="1"/>
        <v>#N/A</v>
      </c>
      <c r="I1531" s="42" t="str">
        <f ca="1"/>
        <v/>
      </c>
    </row>
    <row r="1532" spans="4:9" x14ac:dyDescent="0.25">
      <c r="D1532" s="19"/>
      <c r="G1532" s="43" t="str">
        <v/>
      </c>
      <c r="H1532" s="43" t="e">
        <f ca="1"/>
        <v>#N/A</v>
      </c>
      <c r="I1532" s="42" t="str">
        <f ca="1"/>
        <v/>
      </c>
    </row>
    <row r="1533" spans="4:9" x14ac:dyDescent="0.25">
      <c r="D1533" s="19"/>
      <c r="G1533" s="43" t="str">
        <v/>
      </c>
      <c r="H1533" s="43" t="e">
        <f ca="1"/>
        <v>#N/A</v>
      </c>
      <c r="I1533" s="42" t="str">
        <f ca="1"/>
        <v/>
      </c>
    </row>
    <row r="1534" spans="4:9" x14ac:dyDescent="0.25">
      <c r="D1534" s="19"/>
      <c r="G1534" s="43" t="str">
        <v/>
      </c>
      <c r="H1534" s="43" t="e">
        <f ca="1"/>
        <v>#N/A</v>
      </c>
      <c r="I1534" s="42" t="str">
        <f ca="1"/>
        <v/>
      </c>
    </row>
    <row r="1535" spans="4:9" x14ac:dyDescent="0.25">
      <c r="D1535" s="19"/>
      <c r="G1535" s="43" t="str">
        <v/>
      </c>
      <c r="H1535" s="43" t="e">
        <f ca="1"/>
        <v>#N/A</v>
      </c>
      <c r="I1535" s="42" t="str">
        <f ca="1"/>
        <v/>
      </c>
    </row>
    <row r="1536" spans="4:9" x14ac:dyDescent="0.25">
      <c r="D1536" s="19"/>
      <c r="G1536" s="43" t="str">
        <v/>
      </c>
      <c r="H1536" s="43" t="e">
        <f ca="1"/>
        <v>#N/A</v>
      </c>
      <c r="I1536" s="42" t="str">
        <f ca="1"/>
        <v/>
      </c>
    </row>
    <row r="1537" spans="4:9" x14ac:dyDescent="0.25">
      <c r="D1537" s="19"/>
      <c r="G1537" s="43" t="str">
        <v/>
      </c>
      <c r="H1537" s="43" t="e">
        <f ca="1"/>
        <v>#N/A</v>
      </c>
      <c r="I1537" s="42" t="str">
        <f ca="1"/>
        <v/>
      </c>
    </row>
    <row r="1538" spans="4:9" x14ac:dyDescent="0.25">
      <c r="D1538" s="19"/>
      <c r="G1538" s="43" t="str">
        <v/>
      </c>
      <c r="H1538" s="43" t="e">
        <f ca="1"/>
        <v>#N/A</v>
      </c>
      <c r="I1538" s="42" t="str">
        <f ca="1"/>
        <v/>
      </c>
    </row>
    <row r="1539" spans="4:9" x14ac:dyDescent="0.25">
      <c r="D1539" s="19"/>
      <c r="G1539" s="43" t="str">
        <v/>
      </c>
      <c r="H1539" s="43" t="e">
        <f ca="1"/>
        <v>#N/A</v>
      </c>
      <c r="I1539" s="42" t="str">
        <f ca="1"/>
        <v/>
      </c>
    </row>
    <row r="1540" spans="4:9" x14ac:dyDescent="0.25">
      <c r="D1540" s="19"/>
      <c r="G1540" s="43" t="str">
        <v/>
      </c>
      <c r="H1540" s="43" t="e">
        <f ca="1"/>
        <v>#N/A</v>
      </c>
      <c r="I1540" s="42" t="str">
        <f ca="1"/>
        <v/>
      </c>
    </row>
    <row r="1541" spans="4:9" x14ac:dyDescent="0.25">
      <c r="D1541" s="19"/>
      <c r="G1541" s="43" t="str">
        <v/>
      </c>
      <c r="H1541" s="43" t="e">
        <f ca="1"/>
        <v>#N/A</v>
      </c>
      <c r="I1541" s="42" t="str">
        <f ca="1"/>
        <v/>
      </c>
    </row>
    <row r="1542" spans="4:9" x14ac:dyDescent="0.25">
      <c r="D1542" s="19"/>
      <c r="G1542" s="43" t="str">
        <v/>
      </c>
      <c r="H1542" s="43" t="e">
        <f ca="1"/>
        <v>#N/A</v>
      </c>
      <c r="I1542" s="42" t="str">
        <f ca="1"/>
        <v/>
      </c>
    </row>
    <row r="1543" spans="4:9" x14ac:dyDescent="0.25">
      <c r="D1543" s="19"/>
      <c r="G1543" s="43" t="str">
        <v/>
      </c>
      <c r="H1543" s="43" t="e">
        <f ca="1"/>
        <v>#N/A</v>
      </c>
      <c r="I1543" s="42" t="str">
        <f ca="1"/>
        <v/>
      </c>
    </row>
    <row r="1544" spans="4:9" x14ac:dyDescent="0.25">
      <c r="D1544" s="19"/>
      <c r="G1544" s="43" t="str">
        <v/>
      </c>
      <c r="H1544" s="43" t="e">
        <f ca="1"/>
        <v>#N/A</v>
      </c>
      <c r="I1544" s="42" t="str">
        <f ca="1"/>
        <v/>
      </c>
    </row>
    <row r="1545" spans="4:9" x14ac:dyDescent="0.25">
      <c r="D1545" s="19"/>
      <c r="G1545" s="43" t="str">
        <v/>
      </c>
      <c r="H1545" s="43" t="e">
        <f ca="1"/>
        <v>#N/A</v>
      </c>
      <c r="I1545" s="42" t="str">
        <f ca="1"/>
        <v/>
      </c>
    </row>
    <row r="1546" spans="4:9" x14ac:dyDescent="0.25">
      <c r="D1546" s="19"/>
      <c r="G1546" s="43" t="str">
        <v/>
      </c>
      <c r="H1546" s="43" t="e">
        <f ca="1"/>
        <v>#N/A</v>
      </c>
      <c r="I1546" s="42" t="str">
        <f ca="1"/>
        <v/>
      </c>
    </row>
    <row r="1547" spans="4:9" x14ac:dyDescent="0.25">
      <c r="D1547" s="19"/>
      <c r="G1547" s="43" t="str">
        <v/>
      </c>
      <c r="H1547" s="43" t="e">
        <f ca="1"/>
        <v>#N/A</v>
      </c>
      <c r="I1547" s="42" t="str">
        <f ca="1"/>
        <v/>
      </c>
    </row>
    <row r="1548" spans="4:9" x14ac:dyDescent="0.25">
      <c r="D1548" s="19"/>
      <c r="G1548" s="43" t="str">
        <v/>
      </c>
      <c r="H1548" s="43" t="e">
        <f ca="1"/>
        <v>#N/A</v>
      </c>
      <c r="I1548" s="42" t="str">
        <f ca="1"/>
        <v/>
      </c>
    </row>
    <row r="1549" spans="4:9" x14ac:dyDescent="0.25">
      <c r="D1549" s="19"/>
      <c r="G1549" s="43" t="str">
        <v/>
      </c>
      <c r="H1549" s="43" t="e">
        <f ca="1"/>
        <v>#N/A</v>
      </c>
      <c r="I1549" s="42" t="str">
        <f ca="1"/>
        <v/>
      </c>
    </row>
    <row r="1550" spans="4:9" x14ac:dyDescent="0.25">
      <c r="D1550" s="19"/>
      <c r="G1550" s="43" t="str">
        <v/>
      </c>
      <c r="H1550" s="43" t="e">
        <f ca="1"/>
        <v>#N/A</v>
      </c>
      <c r="I1550" s="42" t="str">
        <f ca="1"/>
        <v/>
      </c>
    </row>
    <row r="1551" spans="4:9" x14ac:dyDescent="0.25">
      <c r="D1551" s="19"/>
      <c r="G1551" s="43" t="str">
        <v/>
      </c>
      <c r="H1551" s="43" t="e">
        <f ca="1"/>
        <v>#N/A</v>
      </c>
      <c r="I1551" s="42" t="str">
        <f ca="1"/>
        <v/>
      </c>
    </row>
    <row r="1552" spans="4:9" x14ac:dyDescent="0.25">
      <c r="D1552" s="19"/>
      <c r="G1552" s="43" t="str">
        <v/>
      </c>
      <c r="H1552" s="43" t="e">
        <f ca="1"/>
        <v>#N/A</v>
      </c>
      <c r="I1552" s="42" t="str">
        <f ca="1"/>
        <v/>
      </c>
    </row>
    <row r="1553" spans="4:9" x14ac:dyDescent="0.25">
      <c r="D1553" s="19"/>
      <c r="G1553" s="43" t="str">
        <v/>
      </c>
      <c r="H1553" s="43" t="e">
        <f ca="1"/>
        <v>#N/A</v>
      </c>
      <c r="I1553" s="42" t="str">
        <f ca="1"/>
        <v/>
      </c>
    </row>
    <row r="1554" spans="4:9" x14ac:dyDescent="0.25">
      <c r="D1554" s="19"/>
      <c r="G1554" s="43" t="str">
        <v/>
      </c>
      <c r="H1554" s="43" t="e">
        <f ca="1"/>
        <v>#N/A</v>
      </c>
      <c r="I1554" s="42" t="str">
        <f ca="1"/>
        <v/>
      </c>
    </row>
    <row r="1555" spans="4:9" x14ac:dyDescent="0.25">
      <c r="D1555" s="19"/>
      <c r="G1555" s="43" t="str">
        <v/>
      </c>
      <c r="H1555" s="43" t="e">
        <f ca="1"/>
        <v>#N/A</v>
      </c>
      <c r="I1555" s="42" t="str">
        <f ca="1"/>
        <v/>
      </c>
    </row>
    <row r="1556" spans="4:9" x14ac:dyDescent="0.25">
      <c r="D1556" s="19"/>
      <c r="G1556" s="43" t="str">
        <v/>
      </c>
      <c r="H1556" s="43" t="e">
        <f ca="1"/>
        <v>#N/A</v>
      </c>
      <c r="I1556" s="42" t="str">
        <f ca="1"/>
        <v/>
      </c>
    </row>
    <row r="1557" spans="4:9" x14ac:dyDescent="0.25">
      <c r="D1557" s="19"/>
      <c r="G1557" s="43" t="str">
        <v/>
      </c>
      <c r="H1557" s="43" t="e">
        <f ca="1"/>
        <v>#N/A</v>
      </c>
      <c r="I1557" s="42" t="str">
        <f ca="1"/>
        <v/>
      </c>
    </row>
    <row r="1558" spans="4:9" x14ac:dyDescent="0.25">
      <c r="D1558" s="19"/>
      <c r="G1558" s="43" t="str">
        <v/>
      </c>
      <c r="H1558" s="43" t="e">
        <f ca="1"/>
        <v>#N/A</v>
      </c>
      <c r="I1558" s="42" t="str">
        <f ca="1"/>
        <v/>
      </c>
    </row>
    <row r="1559" spans="4:9" x14ac:dyDescent="0.25">
      <c r="D1559" s="19"/>
      <c r="G1559" s="43" t="str">
        <v/>
      </c>
      <c r="H1559" s="43" t="e">
        <f ca="1"/>
        <v>#N/A</v>
      </c>
      <c r="I1559" s="42" t="str">
        <f ca="1"/>
        <v/>
      </c>
    </row>
    <row r="1560" spans="4:9" x14ac:dyDescent="0.25">
      <c r="D1560" s="19"/>
      <c r="G1560" s="43" t="str">
        <v/>
      </c>
      <c r="H1560" s="43" t="e">
        <f ca="1"/>
        <v>#N/A</v>
      </c>
      <c r="I1560" s="42" t="str">
        <f ca="1"/>
        <v/>
      </c>
    </row>
    <row r="1561" spans="4:9" x14ac:dyDescent="0.25">
      <c r="D1561" s="19"/>
      <c r="G1561" s="43" t="str">
        <v/>
      </c>
      <c r="H1561" s="43" t="e">
        <f ca="1"/>
        <v>#N/A</v>
      </c>
      <c r="I1561" s="42" t="str">
        <f ca="1"/>
        <v/>
      </c>
    </row>
    <row r="1562" spans="4:9" x14ac:dyDescent="0.25">
      <c r="D1562" s="19"/>
      <c r="G1562" s="43" t="str">
        <v/>
      </c>
      <c r="H1562" s="43" t="e">
        <f ca="1"/>
        <v>#N/A</v>
      </c>
      <c r="I1562" s="42" t="str">
        <f ca="1"/>
        <v/>
      </c>
    </row>
    <row r="1563" spans="4:9" x14ac:dyDescent="0.25">
      <c r="D1563" s="19"/>
      <c r="G1563" s="43" t="str">
        <v/>
      </c>
      <c r="H1563" s="43" t="e">
        <f ca="1"/>
        <v>#N/A</v>
      </c>
      <c r="I1563" s="42" t="str">
        <f ca="1"/>
        <v/>
      </c>
    </row>
    <row r="1564" spans="4:9" x14ac:dyDescent="0.25">
      <c r="D1564" s="19"/>
      <c r="G1564" s="43" t="str">
        <v/>
      </c>
      <c r="H1564" s="43" t="e">
        <f ca="1"/>
        <v>#N/A</v>
      </c>
      <c r="I1564" s="42" t="str">
        <f ca="1"/>
        <v/>
      </c>
    </row>
    <row r="1565" spans="4:9" x14ac:dyDescent="0.25">
      <c r="D1565" s="19"/>
      <c r="G1565" s="43" t="str">
        <v/>
      </c>
      <c r="H1565" s="43" t="e">
        <f ca="1"/>
        <v>#N/A</v>
      </c>
      <c r="I1565" s="42" t="str">
        <f ca="1"/>
        <v/>
      </c>
    </row>
    <row r="1566" spans="4:9" x14ac:dyDescent="0.25">
      <c r="D1566" s="19"/>
      <c r="G1566" s="43" t="str">
        <v/>
      </c>
      <c r="H1566" s="43" t="e">
        <f ca="1"/>
        <v>#N/A</v>
      </c>
      <c r="I1566" s="42" t="str">
        <f ca="1"/>
        <v/>
      </c>
    </row>
    <row r="1567" spans="4:9" x14ac:dyDescent="0.25">
      <c r="D1567" s="19"/>
      <c r="G1567" s="43" t="str">
        <v/>
      </c>
      <c r="H1567" s="43" t="e">
        <f ca="1"/>
        <v>#N/A</v>
      </c>
      <c r="I1567" s="42" t="str">
        <f ca="1"/>
        <v/>
      </c>
    </row>
    <row r="1568" spans="4:9" x14ac:dyDescent="0.25">
      <c r="D1568" s="19"/>
      <c r="G1568" s="43" t="str">
        <v/>
      </c>
      <c r="H1568" s="43" t="e">
        <f ca="1"/>
        <v>#N/A</v>
      </c>
      <c r="I1568" s="42" t="str">
        <f ca="1"/>
        <v/>
      </c>
    </row>
    <row r="1569" spans="4:9" x14ac:dyDescent="0.25">
      <c r="D1569" s="19"/>
      <c r="G1569" s="43" t="str">
        <v/>
      </c>
      <c r="H1569" s="43" t="e">
        <f ca="1"/>
        <v>#N/A</v>
      </c>
      <c r="I1569" s="42" t="str">
        <f ca="1"/>
        <v/>
      </c>
    </row>
    <row r="1570" spans="4:9" x14ac:dyDescent="0.25">
      <c r="D1570" s="19"/>
      <c r="G1570" s="43" t="str">
        <v/>
      </c>
      <c r="H1570" s="43" t="e">
        <f ca="1"/>
        <v>#N/A</v>
      </c>
      <c r="I1570" s="42" t="str">
        <f ca="1"/>
        <v/>
      </c>
    </row>
    <row r="1571" spans="4:9" x14ac:dyDescent="0.25">
      <c r="D1571" s="19"/>
      <c r="G1571" s="43" t="str">
        <v/>
      </c>
      <c r="H1571" s="43" t="e">
        <f ca="1"/>
        <v>#N/A</v>
      </c>
      <c r="I1571" s="42" t="str">
        <f ca="1"/>
        <v/>
      </c>
    </row>
    <row r="1572" spans="4:9" x14ac:dyDescent="0.25">
      <c r="D1572" s="19"/>
      <c r="G1572" s="43" t="str">
        <v/>
      </c>
      <c r="H1572" s="43" t="e">
        <f ca="1"/>
        <v>#N/A</v>
      </c>
      <c r="I1572" s="42" t="str">
        <f ca="1"/>
        <v/>
      </c>
    </row>
    <row r="1573" spans="4:9" x14ac:dyDescent="0.25">
      <c r="D1573" s="19"/>
      <c r="G1573" s="43" t="str">
        <v/>
      </c>
      <c r="H1573" s="43" t="e">
        <f ca="1"/>
        <v>#N/A</v>
      </c>
      <c r="I1573" s="42" t="str">
        <f ca="1"/>
        <v/>
      </c>
    </row>
    <row r="1574" spans="4:9" x14ac:dyDescent="0.25">
      <c r="D1574" s="19"/>
      <c r="G1574" s="43" t="str">
        <v/>
      </c>
      <c r="H1574" s="43" t="e">
        <f ca="1"/>
        <v>#N/A</v>
      </c>
      <c r="I1574" s="42" t="str">
        <f ca="1"/>
        <v/>
      </c>
    </row>
    <row r="1575" spans="4:9" x14ac:dyDescent="0.25">
      <c r="D1575" s="19"/>
      <c r="G1575" s="43" t="str">
        <v/>
      </c>
      <c r="H1575" s="43" t="e">
        <f ca="1"/>
        <v>#N/A</v>
      </c>
      <c r="I1575" s="42" t="str">
        <f ca="1"/>
        <v/>
      </c>
    </row>
    <row r="1576" spans="4:9" x14ac:dyDescent="0.25">
      <c r="D1576" s="19"/>
      <c r="G1576" s="43" t="str">
        <v/>
      </c>
      <c r="H1576" s="43" t="e">
        <f ca="1"/>
        <v>#N/A</v>
      </c>
      <c r="I1576" s="42" t="str">
        <f ca="1"/>
        <v/>
      </c>
    </row>
    <row r="1577" spans="4:9" x14ac:dyDescent="0.25">
      <c r="D1577" s="19"/>
      <c r="G1577" s="43" t="str">
        <v/>
      </c>
      <c r="H1577" s="43" t="e">
        <f ca="1"/>
        <v>#N/A</v>
      </c>
      <c r="I1577" s="42" t="str">
        <f ca="1"/>
        <v/>
      </c>
    </row>
    <row r="1578" spans="4:9" x14ac:dyDescent="0.25">
      <c r="D1578" s="19"/>
      <c r="G1578" s="43" t="str">
        <v/>
      </c>
      <c r="H1578" s="43" t="e">
        <f ca="1"/>
        <v>#N/A</v>
      </c>
      <c r="I1578" s="42" t="str">
        <f ca="1"/>
        <v/>
      </c>
    </row>
    <row r="1579" spans="4:9" x14ac:dyDescent="0.25">
      <c r="D1579" s="19"/>
      <c r="G1579" s="43" t="str">
        <v/>
      </c>
      <c r="H1579" s="43" t="e">
        <f ca="1"/>
        <v>#N/A</v>
      </c>
      <c r="I1579" s="42" t="str">
        <f ca="1"/>
        <v/>
      </c>
    </row>
    <row r="1580" spans="4:9" x14ac:dyDescent="0.25">
      <c r="D1580" s="19"/>
      <c r="G1580" s="43" t="str">
        <v/>
      </c>
      <c r="H1580" s="43" t="e">
        <f ca="1"/>
        <v>#N/A</v>
      </c>
      <c r="I1580" s="42" t="str">
        <f ca="1"/>
        <v/>
      </c>
    </row>
    <row r="1581" spans="4:9" x14ac:dyDescent="0.25">
      <c r="D1581" s="19"/>
      <c r="G1581" s="43" t="str">
        <v/>
      </c>
      <c r="H1581" s="43" t="e">
        <f ca="1"/>
        <v>#N/A</v>
      </c>
      <c r="I1581" s="42" t="str">
        <f ca="1"/>
        <v/>
      </c>
    </row>
    <row r="1582" spans="4:9" x14ac:dyDescent="0.25">
      <c r="D1582" s="19"/>
      <c r="G1582" s="43" t="str">
        <v/>
      </c>
      <c r="H1582" s="43" t="e">
        <f ca="1"/>
        <v>#N/A</v>
      </c>
      <c r="I1582" s="42" t="str">
        <f ca="1"/>
        <v/>
      </c>
    </row>
    <row r="1583" spans="4:9" x14ac:dyDescent="0.25">
      <c r="D1583" s="19"/>
      <c r="G1583" s="43" t="str">
        <v/>
      </c>
      <c r="H1583" s="43" t="e">
        <f ca="1"/>
        <v>#N/A</v>
      </c>
      <c r="I1583" s="42" t="str">
        <f ca="1"/>
        <v/>
      </c>
    </row>
    <row r="1584" spans="4:9" x14ac:dyDescent="0.25">
      <c r="D1584" s="19"/>
      <c r="G1584" s="43" t="str">
        <v/>
      </c>
      <c r="H1584" s="43" t="e">
        <f ca="1"/>
        <v>#N/A</v>
      </c>
      <c r="I1584" s="42" t="str">
        <f ca="1"/>
        <v/>
      </c>
    </row>
    <row r="1585" spans="4:9" x14ac:dyDescent="0.25">
      <c r="D1585" s="19"/>
      <c r="G1585" s="43" t="str">
        <v/>
      </c>
      <c r="H1585" s="43" t="e">
        <f ca="1"/>
        <v>#N/A</v>
      </c>
      <c r="I1585" s="42" t="str">
        <f ca="1"/>
        <v/>
      </c>
    </row>
    <row r="1586" spans="4:9" x14ac:dyDescent="0.25">
      <c r="D1586" s="19"/>
      <c r="G1586" s="43" t="str">
        <v/>
      </c>
      <c r="H1586" s="43" t="e">
        <f ca="1"/>
        <v>#N/A</v>
      </c>
      <c r="I1586" s="42" t="str">
        <f ca="1"/>
        <v/>
      </c>
    </row>
    <row r="1587" spans="4:9" x14ac:dyDescent="0.25">
      <c r="D1587" s="19"/>
      <c r="G1587" s="43" t="str">
        <v/>
      </c>
      <c r="H1587" s="43" t="e">
        <f ca="1"/>
        <v>#N/A</v>
      </c>
      <c r="I1587" s="42" t="str">
        <f ca="1"/>
        <v/>
      </c>
    </row>
    <row r="1588" spans="4:9" x14ac:dyDescent="0.25">
      <c r="D1588" s="19"/>
      <c r="G1588" s="43" t="str">
        <v/>
      </c>
      <c r="H1588" s="43" t="e">
        <f ca="1"/>
        <v>#N/A</v>
      </c>
      <c r="I1588" s="42" t="str">
        <f ca="1"/>
        <v/>
      </c>
    </row>
    <row r="1589" spans="4:9" x14ac:dyDescent="0.25">
      <c r="D1589" s="19"/>
      <c r="G1589" s="43" t="str">
        <v/>
      </c>
      <c r="H1589" s="43" t="e">
        <f ca="1"/>
        <v>#N/A</v>
      </c>
      <c r="I1589" s="42" t="str">
        <f ca="1"/>
        <v/>
      </c>
    </row>
    <row r="1590" spans="4:9" x14ac:dyDescent="0.25">
      <c r="D1590" s="19"/>
      <c r="G1590" s="43" t="str">
        <v/>
      </c>
      <c r="H1590" s="43" t="e">
        <f ca="1"/>
        <v>#N/A</v>
      </c>
      <c r="I1590" s="42" t="str">
        <f ca="1"/>
        <v/>
      </c>
    </row>
    <row r="1591" spans="4:9" x14ac:dyDescent="0.25">
      <c r="D1591" s="19"/>
      <c r="G1591" s="43" t="str">
        <v/>
      </c>
      <c r="H1591" s="43" t="e">
        <f ca="1"/>
        <v>#N/A</v>
      </c>
      <c r="I1591" s="42" t="str">
        <f ca="1"/>
        <v/>
      </c>
    </row>
    <row r="1592" spans="4:9" x14ac:dyDescent="0.25">
      <c r="D1592" s="19"/>
      <c r="G1592" s="43" t="str">
        <v/>
      </c>
      <c r="H1592" s="43" t="e">
        <f ca="1"/>
        <v>#N/A</v>
      </c>
      <c r="I1592" s="42" t="str">
        <f ca="1"/>
        <v/>
      </c>
    </row>
    <row r="1593" spans="4:9" x14ac:dyDescent="0.25">
      <c r="D1593" s="19"/>
      <c r="G1593" s="43" t="str">
        <v/>
      </c>
      <c r="H1593" s="43" t="e">
        <f ca="1"/>
        <v>#N/A</v>
      </c>
      <c r="I1593" s="42" t="str">
        <f ca="1"/>
        <v/>
      </c>
    </row>
    <row r="1594" spans="4:9" x14ac:dyDescent="0.25">
      <c r="D1594" s="19"/>
      <c r="G1594" s="43" t="str">
        <v/>
      </c>
      <c r="H1594" s="43" t="e">
        <f ca="1"/>
        <v>#N/A</v>
      </c>
      <c r="I1594" s="42" t="str">
        <f ca="1"/>
        <v/>
      </c>
    </row>
    <row r="1595" spans="4:9" x14ac:dyDescent="0.25">
      <c r="D1595" s="19"/>
      <c r="G1595" s="43" t="str">
        <v/>
      </c>
      <c r="H1595" s="43" t="e">
        <f ca="1"/>
        <v>#N/A</v>
      </c>
      <c r="I1595" s="42" t="str">
        <f ca="1"/>
        <v/>
      </c>
    </row>
    <row r="1596" spans="4:9" x14ac:dyDescent="0.25">
      <c r="D1596" s="19"/>
      <c r="G1596" s="43" t="str">
        <v/>
      </c>
      <c r="H1596" s="43" t="e">
        <f ca="1"/>
        <v>#N/A</v>
      </c>
      <c r="I1596" s="42" t="str">
        <f ca="1"/>
        <v/>
      </c>
    </row>
    <row r="1597" spans="4:9" x14ac:dyDescent="0.25">
      <c r="D1597" s="19"/>
      <c r="G1597" s="43" t="str">
        <v/>
      </c>
      <c r="H1597" s="43" t="e">
        <f ca="1"/>
        <v>#N/A</v>
      </c>
      <c r="I1597" s="42" t="str">
        <f ca="1"/>
        <v/>
      </c>
    </row>
    <row r="1598" spans="4:9" x14ac:dyDescent="0.25">
      <c r="D1598" s="19"/>
      <c r="G1598" s="43" t="str">
        <v/>
      </c>
      <c r="H1598" s="43" t="e">
        <f ca="1"/>
        <v>#N/A</v>
      </c>
      <c r="I1598" s="42" t="str">
        <f ca="1"/>
        <v/>
      </c>
    </row>
    <row r="1599" spans="4:9" x14ac:dyDescent="0.25">
      <c r="D1599" s="19"/>
      <c r="G1599" s="43" t="str">
        <v/>
      </c>
      <c r="H1599" s="43" t="e">
        <f ca="1"/>
        <v>#N/A</v>
      </c>
      <c r="I1599" s="42" t="str">
        <f ca="1"/>
        <v/>
      </c>
    </row>
    <row r="1600" spans="4:9" x14ac:dyDescent="0.25">
      <c r="D1600" s="19"/>
      <c r="G1600" s="43" t="str">
        <v/>
      </c>
      <c r="H1600" s="43" t="e">
        <f ca="1"/>
        <v>#N/A</v>
      </c>
      <c r="I1600" s="42" t="str">
        <f ca="1"/>
        <v/>
      </c>
    </row>
    <row r="1601" spans="4:9" x14ac:dyDescent="0.25">
      <c r="D1601" s="19"/>
      <c r="G1601" s="43" t="str">
        <v/>
      </c>
      <c r="H1601" s="43" t="e">
        <f ca="1"/>
        <v>#N/A</v>
      </c>
      <c r="I1601" s="42" t="str">
        <f ca="1"/>
        <v/>
      </c>
    </row>
    <row r="1602" spans="4:9" x14ac:dyDescent="0.25">
      <c r="D1602" s="19"/>
      <c r="G1602" s="43" t="str">
        <v/>
      </c>
      <c r="H1602" s="43" t="e">
        <f ca="1"/>
        <v>#N/A</v>
      </c>
      <c r="I1602" s="42" t="str">
        <f ca="1"/>
        <v/>
      </c>
    </row>
    <row r="1603" spans="4:9" x14ac:dyDescent="0.25">
      <c r="D1603" s="19"/>
      <c r="G1603" s="43" t="str">
        <v/>
      </c>
      <c r="H1603" s="43" t="e">
        <f ca="1"/>
        <v>#N/A</v>
      </c>
      <c r="I1603" s="42" t="str">
        <f ca="1"/>
        <v/>
      </c>
    </row>
    <row r="1604" spans="4:9" x14ac:dyDescent="0.25">
      <c r="D1604" s="19"/>
      <c r="G1604" s="43" t="str">
        <v/>
      </c>
      <c r="H1604" s="43" t="e">
        <f ca="1"/>
        <v>#N/A</v>
      </c>
      <c r="I1604" s="42" t="str">
        <f ca="1"/>
        <v/>
      </c>
    </row>
    <row r="1605" spans="4:9" x14ac:dyDescent="0.25">
      <c r="D1605" s="19"/>
      <c r="G1605" s="43" t="str">
        <v/>
      </c>
      <c r="H1605" s="43" t="e">
        <f ca="1"/>
        <v>#N/A</v>
      </c>
      <c r="I1605" s="42" t="str">
        <f ca="1"/>
        <v/>
      </c>
    </row>
    <row r="1606" spans="4:9" x14ac:dyDescent="0.25">
      <c r="D1606" s="19"/>
      <c r="G1606" s="43" t="str">
        <v/>
      </c>
      <c r="H1606" s="43" t="e">
        <f ca="1"/>
        <v>#N/A</v>
      </c>
      <c r="I1606" s="42" t="str">
        <f ca="1"/>
        <v/>
      </c>
    </row>
    <row r="1607" spans="4:9" x14ac:dyDescent="0.25">
      <c r="D1607" s="19"/>
      <c r="G1607" s="43" t="str">
        <v/>
      </c>
      <c r="H1607" s="43" t="e">
        <f ca="1"/>
        <v>#N/A</v>
      </c>
      <c r="I1607" s="42" t="str">
        <f ca="1"/>
        <v/>
      </c>
    </row>
    <row r="1608" spans="4:9" x14ac:dyDescent="0.25">
      <c r="D1608" s="19"/>
      <c r="G1608" s="43" t="str">
        <v/>
      </c>
      <c r="H1608" s="43" t="e">
        <f ca="1"/>
        <v>#N/A</v>
      </c>
      <c r="I1608" s="42" t="str">
        <f ca="1"/>
        <v/>
      </c>
    </row>
    <row r="1609" spans="4:9" x14ac:dyDescent="0.25">
      <c r="D1609" s="19"/>
      <c r="G1609" s="43" t="str">
        <v/>
      </c>
      <c r="H1609" s="43" t="e">
        <f ca="1"/>
        <v>#N/A</v>
      </c>
      <c r="I1609" s="42" t="str">
        <f ca="1"/>
        <v/>
      </c>
    </row>
    <row r="1610" spans="4:9" x14ac:dyDescent="0.25">
      <c r="D1610" s="19"/>
      <c r="G1610" s="43" t="str">
        <v/>
      </c>
      <c r="H1610" s="43" t="e">
        <f ca="1"/>
        <v>#N/A</v>
      </c>
      <c r="I1610" s="42" t="str">
        <f ca="1"/>
        <v/>
      </c>
    </row>
    <row r="1611" spans="4:9" x14ac:dyDescent="0.25">
      <c r="D1611" s="19"/>
      <c r="G1611" s="43" t="str">
        <v/>
      </c>
      <c r="H1611" s="43" t="e">
        <f ca="1"/>
        <v>#N/A</v>
      </c>
      <c r="I1611" s="42" t="str">
        <f ca="1"/>
        <v/>
      </c>
    </row>
    <row r="1612" spans="4:9" x14ac:dyDescent="0.25">
      <c r="D1612" s="19"/>
      <c r="G1612" s="43" t="str">
        <v/>
      </c>
      <c r="H1612" s="43" t="e">
        <f ca="1"/>
        <v>#N/A</v>
      </c>
      <c r="I1612" s="42" t="str">
        <f ca="1"/>
        <v/>
      </c>
    </row>
    <row r="1613" spans="4:9" x14ac:dyDescent="0.25">
      <c r="D1613" s="19"/>
      <c r="G1613" s="43" t="str">
        <v/>
      </c>
      <c r="H1613" s="43" t="e">
        <f ca="1"/>
        <v>#N/A</v>
      </c>
      <c r="I1613" s="42" t="str">
        <f ca="1"/>
        <v/>
      </c>
    </row>
    <row r="1614" spans="4:9" x14ac:dyDescent="0.25">
      <c r="D1614" s="19"/>
      <c r="G1614" s="43" t="str">
        <v/>
      </c>
      <c r="H1614" s="43" t="e">
        <f ca="1"/>
        <v>#N/A</v>
      </c>
      <c r="I1614" s="42" t="str">
        <f ca="1"/>
        <v/>
      </c>
    </row>
    <row r="1615" spans="4:9" x14ac:dyDescent="0.25">
      <c r="D1615" s="19"/>
      <c r="G1615" s="43" t="str">
        <v/>
      </c>
      <c r="H1615" s="43" t="e">
        <f ca="1"/>
        <v>#N/A</v>
      </c>
      <c r="I1615" s="42" t="str">
        <f ca="1"/>
        <v/>
      </c>
    </row>
    <row r="1616" spans="4:9" x14ac:dyDescent="0.25">
      <c r="D1616" s="19"/>
      <c r="G1616" s="43" t="str">
        <v/>
      </c>
      <c r="H1616" s="43" t="e">
        <f ca="1"/>
        <v>#N/A</v>
      </c>
      <c r="I1616" s="42" t="str">
        <f ca="1"/>
        <v/>
      </c>
    </row>
    <row r="1617" spans="4:9" x14ac:dyDescent="0.25">
      <c r="D1617" s="19"/>
      <c r="G1617" s="43" t="str">
        <v/>
      </c>
      <c r="H1617" s="43" t="e">
        <f ca="1"/>
        <v>#N/A</v>
      </c>
      <c r="I1617" s="42" t="str">
        <f ca="1"/>
        <v/>
      </c>
    </row>
    <row r="1618" spans="4:9" x14ac:dyDescent="0.25">
      <c r="D1618" s="19"/>
      <c r="G1618" s="43" t="str">
        <v/>
      </c>
      <c r="H1618" s="43" t="e">
        <f ca="1"/>
        <v>#N/A</v>
      </c>
      <c r="I1618" s="42" t="str">
        <f ca="1"/>
        <v/>
      </c>
    </row>
    <row r="1619" spans="4:9" x14ac:dyDescent="0.25">
      <c r="D1619" s="19"/>
      <c r="G1619" s="43" t="str">
        <v/>
      </c>
      <c r="H1619" s="43" t="e">
        <f ca="1"/>
        <v>#N/A</v>
      </c>
      <c r="I1619" s="42" t="str">
        <f ca="1"/>
        <v/>
      </c>
    </row>
    <row r="1620" spans="4:9" x14ac:dyDescent="0.25">
      <c r="D1620" s="19"/>
      <c r="G1620" s="43" t="str">
        <v/>
      </c>
      <c r="H1620" s="43" t="e">
        <f ca="1"/>
        <v>#N/A</v>
      </c>
      <c r="I1620" s="42" t="str">
        <f ca="1"/>
        <v/>
      </c>
    </row>
    <row r="1621" spans="4:9" x14ac:dyDescent="0.25">
      <c r="D1621" s="19"/>
      <c r="G1621" s="43" t="str">
        <v/>
      </c>
      <c r="H1621" s="43" t="e">
        <f ca="1"/>
        <v>#N/A</v>
      </c>
      <c r="I1621" s="42" t="str">
        <f ca="1"/>
        <v/>
      </c>
    </row>
    <row r="1622" spans="4:9" x14ac:dyDescent="0.25">
      <c r="D1622" s="19"/>
      <c r="G1622" s="43" t="str">
        <v/>
      </c>
      <c r="H1622" s="43" t="e">
        <f ca="1"/>
        <v>#N/A</v>
      </c>
      <c r="I1622" s="42" t="str">
        <f ca="1"/>
        <v/>
      </c>
    </row>
    <row r="1623" spans="4:9" x14ac:dyDescent="0.25">
      <c r="D1623" s="19"/>
      <c r="G1623" s="43" t="str">
        <v/>
      </c>
      <c r="H1623" s="43" t="e">
        <f ca="1"/>
        <v>#N/A</v>
      </c>
      <c r="I1623" s="42" t="str">
        <f ca="1"/>
        <v/>
      </c>
    </row>
    <row r="1624" spans="4:9" x14ac:dyDescent="0.25">
      <c r="D1624" s="19"/>
      <c r="G1624" s="43" t="str">
        <v/>
      </c>
      <c r="H1624" s="43" t="e">
        <f ca="1"/>
        <v>#N/A</v>
      </c>
      <c r="I1624" s="42" t="str">
        <f ca="1"/>
        <v/>
      </c>
    </row>
    <row r="1625" spans="4:9" x14ac:dyDescent="0.25">
      <c r="D1625" s="19"/>
      <c r="G1625" s="43" t="str">
        <v/>
      </c>
      <c r="H1625" s="43" t="e">
        <f ca="1"/>
        <v>#N/A</v>
      </c>
      <c r="I1625" s="42" t="str">
        <f ca="1"/>
        <v/>
      </c>
    </row>
    <row r="1626" spans="4:9" x14ac:dyDescent="0.25">
      <c r="D1626" s="19"/>
      <c r="G1626" s="43" t="str">
        <v/>
      </c>
      <c r="H1626" s="43" t="e">
        <f ca="1"/>
        <v>#N/A</v>
      </c>
      <c r="I1626" s="42" t="str">
        <f ca="1"/>
        <v/>
      </c>
    </row>
    <row r="1627" spans="4:9" x14ac:dyDescent="0.25">
      <c r="D1627" s="19"/>
      <c r="G1627" s="43" t="str">
        <v/>
      </c>
      <c r="H1627" s="43" t="e">
        <f ca="1"/>
        <v>#N/A</v>
      </c>
      <c r="I1627" s="42" t="str">
        <f ca="1"/>
        <v/>
      </c>
    </row>
    <row r="1628" spans="4:9" x14ac:dyDescent="0.25">
      <c r="D1628" s="19"/>
      <c r="G1628" s="43" t="str">
        <v/>
      </c>
      <c r="H1628" s="43" t="e">
        <f ca="1"/>
        <v>#N/A</v>
      </c>
      <c r="I1628" s="42" t="str">
        <f ca="1"/>
        <v/>
      </c>
    </row>
    <row r="1629" spans="4:9" x14ac:dyDescent="0.25">
      <c r="D1629" s="19"/>
      <c r="G1629" s="43" t="str">
        <v/>
      </c>
      <c r="H1629" s="43" t="e">
        <f ca="1"/>
        <v>#N/A</v>
      </c>
      <c r="I1629" s="42" t="str">
        <f ca="1"/>
        <v/>
      </c>
    </row>
    <row r="1630" spans="4:9" x14ac:dyDescent="0.25">
      <c r="D1630" s="19"/>
      <c r="G1630" s="43" t="str">
        <v/>
      </c>
      <c r="H1630" s="43" t="e">
        <f ca="1"/>
        <v>#N/A</v>
      </c>
      <c r="I1630" s="42" t="str">
        <f ca="1"/>
        <v/>
      </c>
    </row>
    <row r="1631" spans="4:9" x14ac:dyDescent="0.25">
      <c r="D1631" s="19"/>
      <c r="G1631" s="43" t="str">
        <v/>
      </c>
      <c r="H1631" s="43" t="e">
        <f ca="1"/>
        <v>#N/A</v>
      </c>
      <c r="I1631" s="42" t="str">
        <f ca="1"/>
        <v/>
      </c>
    </row>
    <row r="1632" spans="4:9" x14ac:dyDescent="0.25">
      <c r="D1632" s="19"/>
      <c r="G1632" s="43" t="str">
        <v/>
      </c>
      <c r="H1632" s="43" t="e">
        <f ca="1"/>
        <v>#N/A</v>
      </c>
      <c r="I1632" s="42" t="str">
        <f ca="1"/>
        <v/>
      </c>
    </row>
    <row r="1633" spans="4:9" x14ac:dyDescent="0.25">
      <c r="D1633" s="19"/>
      <c r="G1633" s="43" t="str">
        <v/>
      </c>
      <c r="H1633" s="43" t="e">
        <f ca="1"/>
        <v>#N/A</v>
      </c>
      <c r="I1633" s="42" t="str">
        <f ca="1"/>
        <v/>
      </c>
    </row>
    <row r="1634" spans="4:9" x14ac:dyDescent="0.25">
      <c r="D1634" s="19"/>
      <c r="G1634" s="43" t="str">
        <v/>
      </c>
      <c r="H1634" s="43" t="e">
        <f ca="1"/>
        <v>#N/A</v>
      </c>
      <c r="I1634" s="42" t="str">
        <f ca="1"/>
        <v/>
      </c>
    </row>
    <row r="1635" spans="4:9" x14ac:dyDescent="0.25">
      <c r="D1635" s="19"/>
      <c r="G1635" s="43" t="str">
        <v/>
      </c>
      <c r="H1635" s="43" t="e">
        <f ca="1"/>
        <v>#N/A</v>
      </c>
      <c r="I1635" s="42" t="str">
        <f ca="1"/>
        <v/>
      </c>
    </row>
    <row r="1636" spans="4:9" x14ac:dyDescent="0.25">
      <c r="D1636" s="19"/>
      <c r="G1636" s="43" t="str">
        <v/>
      </c>
      <c r="H1636" s="43" t="e">
        <f ca="1"/>
        <v>#N/A</v>
      </c>
      <c r="I1636" s="42" t="str">
        <f ca="1"/>
        <v/>
      </c>
    </row>
    <row r="1637" spans="4:9" x14ac:dyDescent="0.25">
      <c r="D1637" s="19"/>
      <c r="G1637" s="43" t="str">
        <v/>
      </c>
      <c r="H1637" s="43" t="e">
        <f ca="1"/>
        <v>#N/A</v>
      </c>
      <c r="I1637" s="42" t="str">
        <f ca="1"/>
        <v/>
      </c>
    </row>
    <row r="1638" spans="4:9" x14ac:dyDescent="0.25">
      <c r="D1638" s="19"/>
      <c r="G1638" s="43" t="str">
        <v/>
      </c>
      <c r="H1638" s="43" t="e">
        <f ca="1"/>
        <v>#N/A</v>
      </c>
      <c r="I1638" s="42" t="str">
        <f ca="1"/>
        <v/>
      </c>
    </row>
    <row r="1639" spans="4:9" x14ac:dyDescent="0.25">
      <c r="D1639" s="19"/>
      <c r="G1639" s="43" t="str">
        <v/>
      </c>
      <c r="H1639" s="43" t="e">
        <f ca="1"/>
        <v>#N/A</v>
      </c>
      <c r="I1639" s="42" t="str">
        <f ca="1"/>
        <v/>
      </c>
    </row>
    <row r="1640" spans="4:9" x14ac:dyDescent="0.25">
      <c r="D1640" s="19"/>
      <c r="G1640" s="43" t="str">
        <v/>
      </c>
      <c r="H1640" s="43" t="e">
        <f ca="1"/>
        <v>#N/A</v>
      </c>
      <c r="I1640" s="42" t="str">
        <f ca="1"/>
        <v/>
      </c>
    </row>
    <row r="1641" spans="4:9" x14ac:dyDescent="0.25">
      <c r="D1641" s="19"/>
      <c r="G1641" s="43" t="str">
        <v/>
      </c>
      <c r="H1641" s="43" t="e">
        <f ca="1"/>
        <v>#N/A</v>
      </c>
      <c r="I1641" s="42" t="str">
        <f ca="1"/>
        <v/>
      </c>
    </row>
    <row r="1642" spans="4:9" x14ac:dyDescent="0.25">
      <c r="D1642" s="19"/>
      <c r="G1642" s="43" t="str">
        <v/>
      </c>
      <c r="H1642" s="43" t="e">
        <f ca="1"/>
        <v>#N/A</v>
      </c>
      <c r="I1642" s="42" t="str">
        <f ca="1"/>
        <v/>
      </c>
    </row>
    <row r="1643" spans="4:9" x14ac:dyDescent="0.25">
      <c r="D1643" s="19"/>
      <c r="G1643" s="43" t="str">
        <v/>
      </c>
      <c r="H1643" s="43" t="e">
        <f ca="1"/>
        <v>#N/A</v>
      </c>
      <c r="I1643" s="42" t="str">
        <f ca="1"/>
        <v/>
      </c>
    </row>
    <row r="1644" spans="4:9" x14ac:dyDescent="0.25">
      <c r="D1644" s="19"/>
      <c r="G1644" s="43" t="str">
        <v/>
      </c>
      <c r="H1644" s="43" t="e">
        <f ca="1"/>
        <v>#N/A</v>
      </c>
      <c r="I1644" s="42" t="str">
        <f ca="1"/>
        <v/>
      </c>
    </row>
    <row r="1645" spans="4:9" x14ac:dyDescent="0.25">
      <c r="D1645" s="19"/>
      <c r="G1645" s="43" t="str">
        <v/>
      </c>
      <c r="H1645" s="43" t="e">
        <f ca="1"/>
        <v>#N/A</v>
      </c>
      <c r="I1645" s="42" t="str">
        <f ca="1"/>
        <v/>
      </c>
    </row>
    <row r="1646" spans="4:9" x14ac:dyDescent="0.25">
      <c r="D1646" s="19"/>
      <c r="G1646" s="43" t="str">
        <v/>
      </c>
      <c r="H1646" s="43" t="e">
        <f ca="1"/>
        <v>#N/A</v>
      </c>
      <c r="I1646" s="42" t="str">
        <f ca="1"/>
        <v/>
      </c>
    </row>
    <row r="1647" spans="4:9" x14ac:dyDescent="0.25">
      <c r="D1647" s="19"/>
      <c r="G1647" s="43" t="str">
        <v/>
      </c>
      <c r="H1647" s="43" t="e">
        <f ca="1"/>
        <v>#N/A</v>
      </c>
      <c r="I1647" s="42" t="str">
        <f ca="1"/>
        <v/>
      </c>
    </row>
    <row r="1648" spans="4:9" x14ac:dyDescent="0.25">
      <c r="D1648" s="19"/>
      <c r="G1648" s="43" t="str">
        <v/>
      </c>
      <c r="H1648" s="43" t="e">
        <f ca="1"/>
        <v>#N/A</v>
      </c>
      <c r="I1648" s="42" t="str">
        <f ca="1"/>
        <v/>
      </c>
    </row>
    <row r="1649" spans="4:9" x14ac:dyDescent="0.25">
      <c r="D1649" s="19"/>
      <c r="G1649" s="43" t="str">
        <v/>
      </c>
      <c r="H1649" s="43" t="e">
        <f ca="1"/>
        <v>#N/A</v>
      </c>
      <c r="I1649" s="42" t="str">
        <f ca="1"/>
        <v/>
      </c>
    </row>
    <row r="1650" spans="4:9" x14ac:dyDescent="0.25">
      <c r="D1650" s="19"/>
      <c r="G1650" s="43" t="str">
        <v/>
      </c>
      <c r="H1650" s="43" t="e">
        <f ca="1"/>
        <v>#N/A</v>
      </c>
      <c r="I1650" s="42" t="str">
        <f ca="1"/>
        <v/>
      </c>
    </row>
    <row r="1651" spans="4:9" x14ac:dyDescent="0.25">
      <c r="D1651" s="19"/>
      <c r="G1651" s="43" t="str">
        <v/>
      </c>
      <c r="H1651" s="43" t="e">
        <f ca="1"/>
        <v>#N/A</v>
      </c>
      <c r="I1651" s="42" t="str">
        <f ca="1"/>
        <v/>
      </c>
    </row>
    <row r="1652" spans="4:9" x14ac:dyDescent="0.25">
      <c r="D1652" s="19"/>
      <c r="G1652" s="43" t="str">
        <v/>
      </c>
      <c r="H1652" s="43" t="e">
        <f ca="1"/>
        <v>#N/A</v>
      </c>
      <c r="I1652" s="42" t="str">
        <f ca="1"/>
        <v/>
      </c>
    </row>
    <row r="1653" spans="4:9" x14ac:dyDescent="0.25">
      <c r="D1653" s="19"/>
      <c r="G1653" s="43" t="str">
        <v/>
      </c>
      <c r="H1653" s="43" t="e">
        <f ca="1"/>
        <v>#N/A</v>
      </c>
      <c r="I1653" s="42" t="str">
        <f ca="1"/>
        <v/>
      </c>
    </row>
    <row r="1654" spans="4:9" x14ac:dyDescent="0.25">
      <c r="D1654" s="19"/>
      <c r="G1654" s="43" t="str">
        <v/>
      </c>
      <c r="H1654" s="43" t="e">
        <f ca="1"/>
        <v>#N/A</v>
      </c>
      <c r="I1654" s="42" t="str">
        <f ca="1"/>
        <v/>
      </c>
    </row>
    <row r="1655" spans="4:9" x14ac:dyDescent="0.25">
      <c r="D1655" s="19"/>
      <c r="G1655" s="43" t="str">
        <v/>
      </c>
      <c r="H1655" s="43" t="e">
        <f ca="1"/>
        <v>#N/A</v>
      </c>
      <c r="I1655" s="42" t="str">
        <f ca="1"/>
        <v/>
      </c>
    </row>
    <row r="1656" spans="4:9" x14ac:dyDescent="0.25">
      <c r="D1656" s="19"/>
      <c r="G1656" s="43" t="str">
        <v/>
      </c>
      <c r="H1656" s="43" t="e">
        <f ca="1"/>
        <v>#N/A</v>
      </c>
      <c r="I1656" s="42" t="str">
        <f ca="1"/>
        <v/>
      </c>
    </row>
    <row r="1657" spans="4:9" x14ac:dyDescent="0.25">
      <c r="D1657" s="19"/>
      <c r="G1657" s="43" t="str">
        <v/>
      </c>
      <c r="H1657" s="43" t="e">
        <f ca="1"/>
        <v>#N/A</v>
      </c>
      <c r="I1657" s="42" t="str">
        <f ca="1"/>
        <v/>
      </c>
    </row>
    <row r="1658" spans="4:9" x14ac:dyDescent="0.25">
      <c r="D1658" s="19"/>
      <c r="G1658" s="43" t="str">
        <v/>
      </c>
      <c r="H1658" s="43" t="e">
        <f ca="1"/>
        <v>#N/A</v>
      </c>
      <c r="I1658" s="42" t="str">
        <f ca="1"/>
        <v/>
      </c>
    </row>
    <row r="1659" spans="4:9" x14ac:dyDescent="0.25">
      <c r="D1659" s="19"/>
      <c r="G1659" s="43" t="str">
        <v/>
      </c>
      <c r="H1659" s="43" t="e">
        <f ca="1"/>
        <v>#N/A</v>
      </c>
      <c r="I1659" s="42" t="str">
        <f ca="1"/>
        <v/>
      </c>
    </row>
    <row r="1660" spans="4:9" x14ac:dyDescent="0.25">
      <c r="D1660" s="19"/>
      <c r="G1660" s="43" t="str">
        <v/>
      </c>
      <c r="H1660" s="43" t="e">
        <f ca="1"/>
        <v>#N/A</v>
      </c>
      <c r="I1660" s="42" t="str">
        <f ca="1"/>
        <v/>
      </c>
    </row>
    <row r="1661" spans="4:9" x14ac:dyDescent="0.25">
      <c r="D1661" s="19"/>
      <c r="G1661" s="43" t="str">
        <v/>
      </c>
      <c r="H1661" s="43" t="e">
        <f ca="1"/>
        <v>#N/A</v>
      </c>
      <c r="I1661" s="42" t="str">
        <f ca="1"/>
        <v/>
      </c>
    </row>
    <row r="1662" spans="4:9" x14ac:dyDescent="0.25">
      <c r="D1662" s="19"/>
      <c r="G1662" s="43" t="str">
        <v/>
      </c>
      <c r="H1662" s="43" t="e">
        <f ca="1"/>
        <v>#N/A</v>
      </c>
      <c r="I1662" s="42" t="str">
        <f ca="1"/>
        <v/>
      </c>
    </row>
    <row r="1663" spans="4:9" x14ac:dyDescent="0.25">
      <c r="D1663" s="19"/>
      <c r="G1663" s="43" t="str">
        <v/>
      </c>
      <c r="H1663" s="43" t="e">
        <f ca="1"/>
        <v>#N/A</v>
      </c>
      <c r="I1663" s="42" t="str">
        <f ca="1"/>
        <v/>
      </c>
    </row>
    <row r="1664" spans="4:9" x14ac:dyDescent="0.25">
      <c r="D1664" s="19"/>
      <c r="G1664" s="43" t="str">
        <v/>
      </c>
      <c r="H1664" s="43" t="e">
        <f ca="1"/>
        <v>#N/A</v>
      </c>
      <c r="I1664" s="42" t="str">
        <f ca="1"/>
        <v/>
      </c>
    </row>
    <row r="1665" spans="4:9" x14ac:dyDescent="0.25">
      <c r="D1665" s="19"/>
      <c r="G1665" s="43" t="str">
        <v/>
      </c>
      <c r="H1665" s="43" t="e">
        <f ca="1"/>
        <v>#N/A</v>
      </c>
      <c r="I1665" s="42" t="str">
        <f ca="1"/>
        <v/>
      </c>
    </row>
    <row r="1666" spans="4:9" x14ac:dyDescent="0.25">
      <c r="D1666" s="19"/>
      <c r="G1666" s="43" t="str">
        <v/>
      </c>
      <c r="H1666" s="43" t="e">
        <f ca="1"/>
        <v>#N/A</v>
      </c>
      <c r="I1666" s="42" t="str">
        <f ca="1"/>
        <v/>
      </c>
    </row>
    <row r="1667" spans="4:9" x14ac:dyDescent="0.25">
      <c r="D1667" s="19"/>
      <c r="G1667" s="43" t="str">
        <v/>
      </c>
      <c r="H1667" s="43" t="e">
        <f ca="1"/>
        <v>#N/A</v>
      </c>
      <c r="I1667" s="42" t="str">
        <f ca="1"/>
        <v/>
      </c>
    </row>
    <row r="1668" spans="4:9" x14ac:dyDescent="0.25">
      <c r="D1668" s="19"/>
      <c r="G1668" s="43" t="str">
        <v/>
      </c>
      <c r="H1668" s="43" t="e">
        <f ca="1"/>
        <v>#N/A</v>
      </c>
      <c r="I1668" s="42" t="str">
        <f ca="1"/>
        <v/>
      </c>
    </row>
    <row r="1669" spans="4:9" x14ac:dyDescent="0.25">
      <c r="D1669" s="19"/>
      <c r="G1669" s="43" t="str">
        <v/>
      </c>
      <c r="H1669" s="43" t="e">
        <f ca="1"/>
        <v>#N/A</v>
      </c>
      <c r="I1669" s="42" t="str">
        <f ca="1"/>
        <v/>
      </c>
    </row>
    <row r="1670" spans="4:9" x14ac:dyDescent="0.25">
      <c r="D1670" s="19"/>
      <c r="G1670" s="43" t="str">
        <v/>
      </c>
      <c r="H1670" s="43" t="e">
        <f ca="1"/>
        <v>#N/A</v>
      </c>
      <c r="I1670" s="42" t="str">
        <f ca="1"/>
        <v/>
      </c>
    </row>
    <row r="1671" spans="4:9" x14ac:dyDescent="0.25">
      <c r="D1671" s="19"/>
      <c r="G1671" s="43" t="str">
        <v/>
      </c>
      <c r="H1671" s="43" t="e">
        <f ca="1"/>
        <v>#N/A</v>
      </c>
      <c r="I1671" s="42" t="str">
        <f ca="1"/>
        <v/>
      </c>
    </row>
    <row r="1672" spans="4:9" x14ac:dyDescent="0.25">
      <c r="D1672" s="19"/>
      <c r="G1672" s="43" t="str">
        <v/>
      </c>
      <c r="H1672" s="43" t="e">
        <f ca="1"/>
        <v>#N/A</v>
      </c>
      <c r="I1672" s="42" t="str">
        <f ca="1"/>
        <v/>
      </c>
    </row>
    <row r="1673" spans="4:9" x14ac:dyDescent="0.25">
      <c r="D1673" s="19"/>
      <c r="G1673" s="43" t="str">
        <v/>
      </c>
      <c r="H1673" s="43" t="e">
        <f ca="1"/>
        <v>#N/A</v>
      </c>
      <c r="I1673" s="42" t="str">
        <f ca="1"/>
        <v/>
      </c>
    </row>
    <row r="1674" spans="4:9" x14ac:dyDescent="0.25">
      <c r="D1674" s="19"/>
      <c r="G1674" s="43" t="str">
        <v/>
      </c>
      <c r="H1674" s="43" t="e">
        <f ca="1"/>
        <v>#N/A</v>
      </c>
      <c r="I1674" s="42" t="str">
        <f ca="1"/>
        <v/>
      </c>
    </row>
    <row r="1675" spans="4:9" x14ac:dyDescent="0.25">
      <c r="D1675" s="19"/>
      <c r="G1675" s="43" t="str">
        <v/>
      </c>
      <c r="H1675" s="43" t="e">
        <f ca="1"/>
        <v>#N/A</v>
      </c>
      <c r="I1675" s="42" t="str">
        <f ca="1"/>
        <v/>
      </c>
    </row>
    <row r="1676" spans="4:9" x14ac:dyDescent="0.25">
      <c r="D1676" s="19"/>
      <c r="G1676" s="43" t="str">
        <v/>
      </c>
      <c r="H1676" s="43" t="e">
        <f ca="1"/>
        <v>#N/A</v>
      </c>
      <c r="I1676" s="42" t="str">
        <f ca="1"/>
        <v/>
      </c>
    </row>
    <row r="1677" spans="4:9" x14ac:dyDescent="0.25">
      <c r="D1677" s="19"/>
      <c r="G1677" s="43" t="str">
        <v/>
      </c>
      <c r="H1677" s="43" t="e">
        <f ca="1"/>
        <v>#N/A</v>
      </c>
      <c r="I1677" s="42" t="str">
        <f ca="1"/>
        <v/>
      </c>
    </row>
    <row r="1678" spans="4:9" x14ac:dyDescent="0.25">
      <c r="D1678" s="19"/>
      <c r="G1678" s="43" t="str">
        <v/>
      </c>
      <c r="H1678" s="43" t="e">
        <f ca="1"/>
        <v>#N/A</v>
      </c>
      <c r="I1678" s="42" t="str">
        <f ca="1"/>
        <v/>
      </c>
    </row>
    <row r="1679" spans="4:9" x14ac:dyDescent="0.25">
      <c r="D1679" s="19"/>
      <c r="G1679" s="43" t="str">
        <v/>
      </c>
      <c r="H1679" s="43" t="e">
        <f ca="1"/>
        <v>#N/A</v>
      </c>
      <c r="I1679" s="42" t="str">
        <f ca="1"/>
        <v/>
      </c>
    </row>
    <row r="1680" spans="4:9" x14ac:dyDescent="0.25">
      <c r="D1680" s="19"/>
      <c r="G1680" s="43" t="str">
        <v/>
      </c>
      <c r="H1680" s="43" t="e">
        <f ca="1"/>
        <v>#N/A</v>
      </c>
      <c r="I1680" s="42" t="str">
        <f ca="1"/>
        <v/>
      </c>
    </row>
    <row r="1681" spans="4:9" x14ac:dyDescent="0.25">
      <c r="D1681" s="19"/>
      <c r="G1681" s="43" t="str">
        <v/>
      </c>
      <c r="H1681" s="43" t="e">
        <f ca="1"/>
        <v>#N/A</v>
      </c>
      <c r="I1681" s="42" t="str">
        <f ca="1"/>
        <v/>
      </c>
    </row>
    <row r="1682" spans="4:9" x14ac:dyDescent="0.25">
      <c r="D1682" s="19"/>
      <c r="G1682" s="43" t="str">
        <v/>
      </c>
      <c r="H1682" s="43" t="e">
        <f ca="1"/>
        <v>#N/A</v>
      </c>
      <c r="I1682" s="42" t="str">
        <f ca="1"/>
        <v/>
      </c>
    </row>
    <row r="1683" spans="4:9" x14ac:dyDescent="0.25">
      <c r="D1683" s="19"/>
      <c r="G1683" s="43" t="str">
        <v/>
      </c>
      <c r="H1683" s="43" t="e">
        <f ca="1"/>
        <v>#N/A</v>
      </c>
      <c r="I1683" s="42" t="str">
        <f ca="1"/>
        <v/>
      </c>
    </row>
    <row r="1684" spans="4:9" x14ac:dyDescent="0.25">
      <c r="D1684" s="19"/>
      <c r="G1684" s="43" t="str">
        <v/>
      </c>
      <c r="H1684" s="43" t="e">
        <f ca="1"/>
        <v>#N/A</v>
      </c>
      <c r="I1684" s="42" t="str">
        <f ca="1"/>
        <v/>
      </c>
    </row>
    <row r="1685" spans="4:9" x14ac:dyDescent="0.25">
      <c r="D1685" s="19"/>
      <c r="G1685" s="43" t="str">
        <v/>
      </c>
      <c r="H1685" s="43" t="e">
        <f ca="1"/>
        <v>#N/A</v>
      </c>
      <c r="I1685" s="42" t="str">
        <f ca="1"/>
        <v/>
      </c>
    </row>
    <row r="1686" spans="4:9" x14ac:dyDescent="0.25">
      <c r="D1686" s="19"/>
      <c r="G1686" s="43" t="str">
        <v/>
      </c>
      <c r="H1686" s="43" t="e">
        <f ca="1"/>
        <v>#N/A</v>
      </c>
      <c r="I1686" s="42" t="str">
        <f ca="1"/>
        <v/>
      </c>
    </row>
    <row r="1687" spans="4:9" x14ac:dyDescent="0.25">
      <c r="D1687" s="19"/>
      <c r="G1687" s="43" t="str">
        <v/>
      </c>
      <c r="H1687" s="43" t="e">
        <f ca="1"/>
        <v>#N/A</v>
      </c>
      <c r="I1687" s="42" t="str">
        <f ca="1"/>
        <v/>
      </c>
    </row>
    <row r="1688" spans="4:9" x14ac:dyDescent="0.25">
      <c r="D1688" s="19"/>
      <c r="G1688" s="43" t="str">
        <v/>
      </c>
      <c r="H1688" s="43" t="e">
        <f ca="1"/>
        <v>#N/A</v>
      </c>
      <c r="I1688" s="42" t="str">
        <f ca="1"/>
        <v/>
      </c>
    </row>
    <row r="1689" spans="4:9" x14ac:dyDescent="0.25">
      <c r="D1689" s="19"/>
      <c r="G1689" s="43" t="str">
        <v/>
      </c>
      <c r="H1689" s="43" t="e">
        <f ca="1"/>
        <v>#N/A</v>
      </c>
      <c r="I1689" s="42" t="str">
        <f ca="1"/>
        <v/>
      </c>
    </row>
    <row r="1690" spans="4:9" x14ac:dyDescent="0.25">
      <c r="D1690" s="19"/>
      <c r="G1690" s="43" t="str">
        <v/>
      </c>
      <c r="H1690" s="43" t="e">
        <f ca="1"/>
        <v>#N/A</v>
      </c>
      <c r="I1690" s="42" t="str">
        <f ca="1"/>
        <v/>
      </c>
    </row>
    <row r="1691" spans="4:9" x14ac:dyDescent="0.25">
      <c r="D1691" s="19"/>
      <c r="G1691" s="43" t="str">
        <v/>
      </c>
      <c r="H1691" s="43" t="e">
        <f ca="1"/>
        <v>#N/A</v>
      </c>
      <c r="I1691" s="42" t="str">
        <f ca="1"/>
        <v/>
      </c>
    </row>
    <row r="1692" spans="4:9" x14ac:dyDescent="0.25">
      <c r="D1692" s="19"/>
      <c r="G1692" s="43" t="str">
        <v/>
      </c>
      <c r="H1692" s="43" t="e">
        <f ca="1"/>
        <v>#N/A</v>
      </c>
      <c r="I1692" s="42" t="str">
        <f ca="1"/>
        <v/>
      </c>
    </row>
    <row r="1693" spans="4:9" x14ac:dyDescent="0.25">
      <c r="D1693" s="19"/>
      <c r="G1693" s="43" t="str">
        <v/>
      </c>
      <c r="H1693" s="43" t="e">
        <f ca="1"/>
        <v>#N/A</v>
      </c>
      <c r="I1693" s="42" t="str">
        <f ca="1"/>
        <v/>
      </c>
    </row>
    <row r="1694" spans="4:9" x14ac:dyDescent="0.25">
      <c r="D1694" s="19"/>
      <c r="G1694" s="43" t="str">
        <v/>
      </c>
      <c r="H1694" s="43" t="e">
        <f ca="1"/>
        <v>#N/A</v>
      </c>
      <c r="I1694" s="42" t="str">
        <f ca="1"/>
        <v/>
      </c>
    </row>
    <row r="1695" spans="4:9" x14ac:dyDescent="0.25">
      <c r="D1695" s="19"/>
      <c r="G1695" s="43" t="str">
        <v/>
      </c>
      <c r="H1695" s="43" t="e">
        <f ca="1"/>
        <v>#N/A</v>
      </c>
      <c r="I1695" s="42" t="str">
        <f ca="1"/>
        <v/>
      </c>
    </row>
    <row r="1696" spans="4:9" x14ac:dyDescent="0.25">
      <c r="D1696" s="19"/>
      <c r="G1696" s="43" t="str">
        <v/>
      </c>
      <c r="H1696" s="43" t="e">
        <f ca="1"/>
        <v>#N/A</v>
      </c>
      <c r="I1696" s="42" t="str">
        <f ca="1"/>
        <v/>
      </c>
    </row>
    <row r="1697" spans="4:9" x14ac:dyDescent="0.25">
      <c r="D1697" s="19"/>
      <c r="G1697" s="43" t="str">
        <v/>
      </c>
      <c r="H1697" s="43" t="e">
        <f ca="1"/>
        <v>#N/A</v>
      </c>
      <c r="I1697" s="42" t="str">
        <f ca="1"/>
        <v/>
      </c>
    </row>
    <row r="1698" spans="4:9" x14ac:dyDescent="0.25">
      <c r="D1698" s="19"/>
      <c r="G1698" s="43" t="str">
        <v/>
      </c>
      <c r="H1698" s="43" t="e">
        <f ca="1"/>
        <v>#N/A</v>
      </c>
      <c r="I1698" s="42" t="str">
        <f ca="1"/>
        <v/>
      </c>
    </row>
    <row r="1699" spans="4:9" x14ac:dyDescent="0.25">
      <c r="D1699" s="19"/>
      <c r="G1699" s="43" t="str">
        <v/>
      </c>
      <c r="H1699" s="43" t="e">
        <f ca="1"/>
        <v>#N/A</v>
      </c>
      <c r="I1699" s="42" t="str">
        <f ca="1"/>
        <v/>
      </c>
    </row>
    <row r="1700" spans="4:9" x14ac:dyDescent="0.25">
      <c r="D1700" s="19"/>
      <c r="G1700" s="43" t="str">
        <v/>
      </c>
      <c r="H1700" s="43" t="e">
        <f ca="1"/>
        <v>#N/A</v>
      </c>
      <c r="I1700" s="42" t="str">
        <f ca="1"/>
        <v/>
      </c>
    </row>
    <row r="1701" spans="4:9" x14ac:dyDescent="0.25">
      <c r="D1701" s="19"/>
      <c r="G1701" s="43" t="str">
        <v/>
      </c>
      <c r="H1701" s="43" t="e">
        <f ca="1"/>
        <v>#N/A</v>
      </c>
      <c r="I1701" s="42" t="str">
        <f ca="1"/>
        <v/>
      </c>
    </row>
    <row r="1702" spans="4:9" x14ac:dyDescent="0.25">
      <c r="D1702" s="19"/>
      <c r="G1702" s="43" t="str">
        <v/>
      </c>
      <c r="H1702" s="43" t="e">
        <f ca="1"/>
        <v>#N/A</v>
      </c>
      <c r="I1702" s="42" t="str">
        <f ca="1"/>
        <v/>
      </c>
    </row>
    <row r="1703" spans="4:9" x14ac:dyDescent="0.25">
      <c r="D1703" s="19"/>
      <c r="G1703" s="43" t="str">
        <v/>
      </c>
      <c r="H1703" s="43" t="e">
        <f ca="1"/>
        <v>#N/A</v>
      </c>
      <c r="I1703" s="42" t="str">
        <f ca="1"/>
        <v/>
      </c>
    </row>
    <row r="1704" spans="4:9" x14ac:dyDescent="0.25">
      <c r="D1704" s="19"/>
      <c r="G1704" s="43" t="str">
        <v/>
      </c>
      <c r="H1704" s="43" t="e">
        <f ca="1"/>
        <v>#N/A</v>
      </c>
      <c r="I1704" s="42" t="str">
        <f ca="1"/>
        <v/>
      </c>
    </row>
    <row r="1705" spans="4:9" x14ac:dyDescent="0.25">
      <c r="D1705" s="19"/>
      <c r="G1705" s="43" t="str">
        <v/>
      </c>
      <c r="H1705" s="43" t="e">
        <f ca="1"/>
        <v>#N/A</v>
      </c>
      <c r="I1705" s="42" t="str">
        <f ca="1"/>
        <v/>
      </c>
    </row>
    <row r="1706" spans="4:9" x14ac:dyDescent="0.25">
      <c r="D1706" s="19"/>
      <c r="G1706" s="43" t="str">
        <v/>
      </c>
      <c r="H1706" s="43" t="e">
        <f ca="1"/>
        <v>#N/A</v>
      </c>
      <c r="I1706" s="42" t="str">
        <f ca="1"/>
        <v/>
      </c>
    </row>
    <row r="1707" spans="4:9" x14ac:dyDescent="0.25">
      <c r="D1707" s="19"/>
      <c r="G1707" s="43" t="str">
        <v/>
      </c>
      <c r="H1707" s="43" t="e">
        <f ca="1"/>
        <v>#N/A</v>
      </c>
      <c r="I1707" s="42" t="str">
        <f ca="1"/>
        <v/>
      </c>
    </row>
    <row r="1708" spans="4:9" x14ac:dyDescent="0.25">
      <c r="D1708" s="19"/>
      <c r="G1708" s="43" t="str">
        <v/>
      </c>
      <c r="H1708" s="43" t="e">
        <f ca="1"/>
        <v>#N/A</v>
      </c>
      <c r="I1708" s="42" t="str">
        <f ca="1"/>
        <v/>
      </c>
    </row>
    <row r="1709" spans="4:9" x14ac:dyDescent="0.25">
      <c r="D1709" s="19"/>
      <c r="G1709" s="43" t="str">
        <v/>
      </c>
      <c r="H1709" s="43" t="e">
        <f ca="1"/>
        <v>#N/A</v>
      </c>
      <c r="I1709" s="42" t="str">
        <f ca="1"/>
        <v/>
      </c>
    </row>
    <row r="1710" spans="4:9" x14ac:dyDescent="0.25">
      <c r="D1710" s="19"/>
      <c r="G1710" s="43" t="str">
        <v/>
      </c>
      <c r="H1710" s="43" t="e">
        <f ca="1"/>
        <v>#N/A</v>
      </c>
      <c r="I1710" s="42" t="str">
        <f ca="1"/>
        <v/>
      </c>
    </row>
    <row r="1711" spans="4:9" x14ac:dyDescent="0.25">
      <c r="D1711" s="19"/>
      <c r="G1711" s="43" t="str">
        <v/>
      </c>
      <c r="H1711" s="43" t="e">
        <f ca="1"/>
        <v>#N/A</v>
      </c>
      <c r="I1711" s="42" t="str">
        <f ca="1"/>
        <v/>
      </c>
    </row>
    <row r="1712" spans="4:9" x14ac:dyDescent="0.25">
      <c r="D1712" s="19"/>
      <c r="G1712" s="43" t="str">
        <v/>
      </c>
      <c r="H1712" s="43" t="e">
        <f ca="1"/>
        <v>#N/A</v>
      </c>
      <c r="I1712" s="42" t="str">
        <f ca="1"/>
        <v/>
      </c>
    </row>
    <row r="1713" spans="4:9" x14ac:dyDescent="0.25">
      <c r="D1713" s="19"/>
      <c r="G1713" s="43" t="str">
        <v/>
      </c>
      <c r="H1713" s="43" t="e">
        <f ca="1"/>
        <v>#N/A</v>
      </c>
      <c r="I1713" s="42" t="str">
        <f ca="1"/>
        <v/>
      </c>
    </row>
    <row r="1714" spans="4:9" x14ac:dyDescent="0.25">
      <c r="D1714" s="19"/>
      <c r="G1714" s="43" t="str">
        <v/>
      </c>
      <c r="H1714" s="43" t="e">
        <f ca="1"/>
        <v>#N/A</v>
      </c>
      <c r="I1714" s="42" t="str">
        <f ca="1"/>
        <v/>
      </c>
    </row>
    <row r="1715" spans="4:9" x14ac:dyDescent="0.25">
      <c r="D1715" s="19"/>
      <c r="G1715" s="43" t="str">
        <v/>
      </c>
      <c r="H1715" s="43" t="e">
        <f ca="1"/>
        <v>#N/A</v>
      </c>
      <c r="I1715" s="42" t="str">
        <f ca="1"/>
        <v/>
      </c>
    </row>
    <row r="1716" spans="4:9" x14ac:dyDescent="0.25">
      <c r="D1716" s="19"/>
      <c r="G1716" s="43" t="str">
        <v/>
      </c>
      <c r="H1716" s="43" t="e">
        <f ca="1"/>
        <v>#N/A</v>
      </c>
      <c r="I1716" s="42" t="str">
        <f ca="1"/>
        <v/>
      </c>
    </row>
    <row r="1717" spans="4:9" x14ac:dyDescent="0.25">
      <c r="D1717" s="19"/>
      <c r="G1717" s="43" t="str">
        <v/>
      </c>
      <c r="H1717" s="43" t="e">
        <f ca="1"/>
        <v>#N/A</v>
      </c>
      <c r="I1717" s="42" t="str">
        <f ca="1"/>
        <v/>
      </c>
    </row>
    <row r="1718" spans="4:9" x14ac:dyDescent="0.25">
      <c r="D1718" s="19"/>
      <c r="G1718" s="43" t="str">
        <v/>
      </c>
      <c r="H1718" s="43" t="e">
        <f ca="1"/>
        <v>#N/A</v>
      </c>
      <c r="I1718" s="42" t="str">
        <f ca="1"/>
        <v/>
      </c>
    </row>
    <row r="1719" spans="4:9" x14ac:dyDescent="0.25">
      <c r="D1719" s="19"/>
      <c r="G1719" s="43" t="str">
        <v/>
      </c>
      <c r="H1719" s="43" t="e">
        <f ca="1"/>
        <v>#N/A</v>
      </c>
      <c r="I1719" s="42" t="str">
        <f ca="1"/>
        <v/>
      </c>
    </row>
    <row r="1720" spans="4:9" x14ac:dyDescent="0.25">
      <c r="D1720" s="19"/>
      <c r="G1720" s="43" t="str">
        <v/>
      </c>
      <c r="H1720" s="43" t="e">
        <f ca="1"/>
        <v>#N/A</v>
      </c>
      <c r="I1720" s="42" t="str">
        <f ca="1"/>
        <v/>
      </c>
    </row>
    <row r="1721" spans="4:9" x14ac:dyDescent="0.25">
      <c r="D1721" s="19"/>
      <c r="G1721" s="43" t="str">
        <v/>
      </c>
      <c r="H1721" s="43" t="e">
        <f ca="1"/>
        <v>#N/A</v>
      </c>
      <c r="I1721" s="42" t="str">
        <f ca="1"/>
        <v/>
      </c>
    </row>
    <row r="1722" spans="4:9" x14ac:dyDescent="0.25">
      <c r="D1722" s="19"/>
      <c r="G1722" s="43" t="str">
        <v/>
      </c>
      <c r="H1722" s="43" t="e">
        <f ca="1"/>
        <v>#N/A</v>
      </c>
      <c r="I1722" s="42" t="str">
        <f ca="1"/>
        <v/>
      </c>
    </row>
    <row r="1723" spans="4:9" x14ac:dyDescent="0.25">
      <c r="D1723" s="19"/>
      <c r="G1723" s="43" t="str">
        <v/>
      </c>
      <c r="H1723" s="43" t="e">
        <f ca="1"/>
        <v>#N/A</v>
      </c>
      <c r="I1723" s="42" t="str">
        <f ca="1"/>
        <v/>
      </c>
    </row>
    <row r="1724" spans="4:9" x14ac:dyDescent="0.25">
      <c r="D1724" s="19"/>
      <c r="G1724" s="43" t="str">
        <v/>
      </c>
      <c r="H1724" s="43" t="e">
        <f ca="1"/>
        <v>#N/A</v>
      </c>
      <c r="I1724" s="42" t="str">
        <f ca="1"/>
        <v/>
      </c>
    </row>
    <row r="1725" spans="4:9" x14ac:dyDescent="0.25">
      <c r="D1725" s="19"/>
      <c r="G1725" s="43" t="str">
        <v/>
      </c>
      <c r="H1725" s="43" t="e">
        <f ca="1"/>
        <v>#N/A</v>
      </c>
      <c r="I1725" s="42" t="str">
        <f ca="1"/>
        <v/>
      </c>
    </row>
    <row r="1726" spans="4:9" x14ac:dyDescent="0.25">
      <c r="D1726" s="19"/>
      <c r="G1726" s="43" t="str">
        <v/>
      </c>
      <c r="H1726" s="43" t="e">
        <f ca="1"/>
        <v>#N/A</v>
      </c>
      <c r="I1726" s="42" t="str">
        <f ca="1"/>
        <v/>
      </c>
    </row>
    <row r="1727" spans="4:9" x14ac:dyDescent="0.25">
      <c r="D1727" s="19"/>
      <c r="G1727" s="43" t="str">
        <v/>
      </c>
      <c r="H1727" s="43" t="e">
        <f ca="1"/>
        <v>#N/A</v>
      </c>
      <c r="I1727" s="42" t="str">
        <f ca="1"/>
        <v/>
      </c>
    </row>
    <row r="1728" spans="4:9" x14ac:dyDescent="0.25">
      <c r="D1728" s="19"/>
      <c r="G1728" s="43" t="str">
        <v/>
      </c>
      <c r="H1728" s="43" t="e">
        <f ca="1"/>
        <v>#N/A</v>
      </c>
      <c r="I1728" s="42" t="str">
        <f ca="1"/>
        <v/>
      </c>
    </row>
    <row r="1729" spans="4:9" x14ac:dyDescent="0.25">
      <c r="D1729" s="19"/>
      <c r="G1729" s="43" t="str">
        <v/>
      </c>
      <c r="H1729" s="43" t="e">
        <f ca="1"/>
        <v>#N/A</v>
      </c>
      <c r="I1729" s="42" t="str">
        <f ca="1"/>
        <v/>
      </c>
    </row>
    <row r="1730" spans="4:9" x14ac:dyDescent="0.25">
      <c r="D1730" s="19"/>
      <c r="G1730" s="43" t="str">
        <v/>
      </c>
      <c r="H1730" s="43" t="e">
        <f ca="1"/>
        <v>#N/A</v>
      </c>
      <c r="I1730" s="42" t="str">
        <f ca="1"/>
        <v/>
      </c>
    </row>
    <row r="1731" spans="4:9" x14ac:dyDescent="0.25">
      <c r="D1731" s="19"/>
      <c r="G1731" s="43" t="str">
        <v/>
      </c>
      <c r="H1731" s="43" t="e">
        <f ca="1"/>
        <v>#N/A</v>
      </c>
      <c r="I1731" s="42" t="str">
        <f ca="1"/>
        <v/>
      </c>
    </row>
    <row r="1732" spans="4:9" x14ac:dyDescent="0.25">
      <c r="D1732" s="19"/>
      <c r="G1732" s="43" t="str">
        <v/>
      </c>
      <c r="H1732" s="43" t="e">
        <f ca="1"/>
        <v>#N/A</v>
      </c>
      <c r="I1732" s="42" t="str">
        <f ca="1"/>
        <v/>
      </c>
    </row>
    <row r="1733" spans="4:9" x14ac:dyDescent="0.25">
      <c r="D1733" s="19"/>
      <c r="G1733" s="43" t="str">
        <v/>
      </c>
      <c r="H1733" s="43" t="e">
        <f ca="1"/>
        <v>#N/A</v>
      </c>
      <c r="I1733" s="42" t="str">
        <f ca="1"/>
        <v/>
      </c>
    </row>
    <row r="1734" spans="4:9" x14ac:dyDescent="0.25">
      <c r="D1734" s="19"/>
      <c r="G1734" s="43" t="str">
        <v/>
      </c>
      <c r="H1734" s="43" t="e">
        <f ca="1"/>
        <v>#N/A</v>
      </c>
      <c r="I1734" s="42" t="str">
        <f ca="1"/>
        <v/>
      </c>
    </row>
    <row r="1735" spans="4:9" x14ac:dyDescent="0.25">
      <c r="D1735" s="19"/>
      <c r="G1735" s="43" t="str">
        <v/>
      </c>
      <c r="H1735" s="43" t="e">
        <f ca="1"/>
        <v>#N/A</v>
      </c>
      <c r="I1735" s="42" t="str">
        <f ca="1"/>
        <v/>
      </c>
    </row>
    <row r="1736" spans="4:9" x14ac:dyDescent="0.25">
      <c r="D1736" s="19"/>
      <c r="G1736" s="43" t="str">
        <v/>
      </c>
      <c r="H1736" s="43" t="e">
        <f ca="1"/>
        <v>#N/A</v>
      </c>
      <c r="I1736" s="42" t="str">
        <f ca="1"/>
        <v/>
      </c>
    </row>
    <row r="1737" spans="4:9" x14ac:dyDescent="0.25">
      <c r="D1737" s="19"/>
      <c r="G1737" s="43" t="str">
        <v/>
      </c>
      <c r="H1737" s="43" t="e">
        <f ca="1"/>
        <v>#N/A</v>
      </c>
      <c r="I1737" s="42" t="str">
        <f ca="1"/>
        <v/>
      </c>
    </row>
    <row r="1738" spans="4:9" x14ac:dyDescent="0.25">
      <c r="D1738" s="19"/>
      <c r="G1738" s="43" t="str">
        <v/>
      </c>
      <c r="H1738" s="43" t="e">
        <f ca="1"/>
        <v>#N/A</v>
      </c>
      <c r="I1738" s="42" t="str">
        <f ca="1"/>
        <v/>
      </c>
    </row>
    <row r="1739" spans="4:9" x14ac:dyDescent="0.25">
      <c r="D1739" s="19"/>
      <c r="G1739" s="43" t="str">
        <v/>
      </c>
      <c r="H1739" s="43" t="e">
        <f ca="1"/>
        <v>#N/A</v>
      </c>
      <c r="I1739" s="42" t="str">
        <f ca="1"/>
        <v/>
      </c>
    </row>
    <row r="1740" spans="4:9" x14ac:dyDescent="0.25">
      <c r="D1740" s="19"/>
      <c r="G1740" s="43" t="str">
        <v/>
      </c>
      <c r="H1740" s="43" t="e">
        <f ca="1"/>
        <v>#N/A</v>
      </c>
      <c r="I1740" s="42" t="str">
        <f ca="1"/>
        <v/>
      </c>
    </row>
    <row r="1741" spans="4:9" x14ac:dyDescent="0.25">
      <c r="D1741" s="19"/>
      <c r="G1741" s="43" t="str">
        <v/>
      </c>
      <c r="H1741" s="43" t="e">
        <f ca="1"/>
        <v>#N/A</v>
      </c>
      <c r="I1741" s="42" t="str">
        <f ca="1"/>
        <v/>
      </c>
    </row>
    <row r="1742" spans="4:9" x14ac:dyDescent="0.25">
      <c r="D1742" s="19"/>
      <c r="G1742" s="43" t="str">
        <v/>
      </c>
      <c r="H1742" s="43" t="e">
        <f ca="1"/>
        <v>#N/A</v>
      </c>
      <c r="I1742" s="42" t="str">
        <f ca="1"/>
        <v/>
      </c>
    </row>
    <row r="1743" spans="4:9" x14ac:dyDescent="0.25">
      <c r="D1743" s="19"/>
      <c r="G1743" s="43" t="str">
        <v/>
      </c>
      <c r="H1743" s="43" t="e">
        <f ca="1"/>
        <v>#N/A</v>
      </c>
      <c r="I1743" s="42" t="str">
        <f ca="1"/>
        <v/>
      </c>
    </row>
    <row r="1744" spans="4:9" x14ac:dyDescent="0.25">
      <c r="D1744" s="19"/>
      <c r="G1744" s="43" t="str">
        <v/>
      </c>
      <c r="H1744" s="43" t="e">
        <f ca="1"/>
        <v>#N/A</v>
      </c>
      <c r="I1744" s="42" t="str">
        <f ca="1"/>
        <v/>
      </c>
    </row>
    <row r="1745" spans="4:9" x14ac:dyDescent="0.25">
      <c r="D1745" s="19"/>
      <c r="G1745" s="43" t="str">
        <v/>
      </c>
      <c r="H1745" s="43" t="e">
        <f ca="1"/>
        <v>#N/A</v>
      </c>
      <c r="I1745" s="42" t="str">
        <f ca="1"/>
        <v/>
      </c>
    </row>
    <row r="1746" spans="4:9" x14ac:dyDescent="0.25">
      <c r="D1746" s="19"/>
      <c r="G1746" s="43" t="str">
        <v/>
      </c>
      <c r="H1746" s="43" t="e">
        <f ca="1"/>
        <v>#N/A</v>
      </c>
      <c r="I1746" s="42" t="str">
        <f ca="1"/>
        <v/>
      </c>
    </row>
    <row r="1747" spans="4:9" x14ac:dyDescent="0.25">
      <c r="D1747" s="19"/>
      <c r="G1747" s="43" t="str">
        <v/>
      </c>
      <c r="H1747" s="43" t="e">
        <f ca="1"/>
        <v>#N/A</v>
      </c>
      <c r="I1747" s="42" t="str">
        <f ca="1"/>
        <v/>
      </c>
    </row>
    <row r="1748" spans="4:9" x14ac:dyDescent="0.25">
      <c r="D1748" s="19"/>
      <c r="G1748" s="43" t="str">
        <v/>
      </c>
      <c r="H1748" s="43" t="e">
        <f ca="1"/>
        <v>#N/A</v>
      </c>
      <c r="I1748" s="42" t="str">
        <f ca="1"/>
        <v/>
      </c>
    </row>
    <row r="1749" spans="4:9" x14ac:dyDescent="0.25">
      <c r="D1749" s="19"/>
      <c r="G1749" s="43" t="str">
        <v/>
      </c>
      <c r="H1749" s="43" t="e">
        <f ca="1"/>
        <v>#N/A</v>
      </c>
      <c r="I1749" s="42" t="str">
        <f ca="1"/>
        <v/>
      </c>
    </row>
    <row r="1750" spans="4:9" x14ac:dyDescent="0.25">
      <c r="D1750" s="19"/>
      <c r="G1750" s="43" t="str">
        <v/>
      </c>
      <c r="H1750" s="43" t="e">
        <f ca="1"/>
        <v>#N/A</v>
      </c>
      <c r="I1750" s="42" t="str">
        <f ca="1"/>
        <v/>
      </c>
    </row>
    <row r="1751" spans="4:9" x14ac:dyDescent="0.25">
      <c r="D1751" s="19"/>
      <c r="G1751" s="43" t="str">
        <v/>
      </c>
      <c r="H1751" s="43" t="e">
        <f ca="1"/>
        <v>#N/A</v>
      </c>
      <c r="I1751" s="42" t="str">
        <f ca="1"/>
        <v/>
      </c>
    </row>
    <row r="1752" spans="4:9" x14ac:dyDescent="0.25">
      <c r="D1752" s="19"/>
      <c r="G1752" s="43" t="str">
        <v/>
      </c>
      <c r="H1752" s="43" t="e">
        <f ca="1"/>
        <v>#N/A</v>
      </c>
      <c r="I1752" s="42" t="str">
        <f ca="1"/>
        <v/>
      </c>
    </row>
    <row r="1753" spans="4:9" x14ac:dyDescent="0.25">
      <c r="D1753" s="19"/>
      <c r="G1753" s="43" t="str">
        <v/>
      </c>
      <c r="H1753" s="43" t="e">
        <f ca="1"/>
        <v>#N/A</v>
      </c>
      <c r="I1753" s="42" t="str">
        <f ca="1"/>
        <v/>
      </c>
    </row>
    <row r="1754" spans="4:9" x14ac:dyDescent="0.25">
      <c r="D1754" s="19"/>
      <c r="G1754" s="43" t="str">
        <v/>
      </c>
      <c r="H1754" s="43" t="e">
        <f ca="1"/>
        <v>#N/A</v>
      </c>
      <c r="I1754" s="42" t="str">
        <f ca="1"/>
        <v/>
      </c>
    </row>
    <row r="1755" spans="4:9" x14ac:dyDescent="0.25">
      <c r="D1755" s="19"/>
      <c r="G1755" s="43" t="str">
        <v/>
      </c>
      <c r="H1755" s="43" t="e">
        <f ca="1"/>
        <v>#N/A</v>
      </c>
      <c r="I1755" s="42" t="str">
        <f ca="1"/>
        <v/>
      </c>
    </row>
    <row r="1756" spans="4:9" x14ac:dyDescent="0.25">
      <c r="D1756" s="19"/>
      <c r="G1756" s="43" t="str">
        <v/>
      </c>
      <c r="H1756" s="43" t="e">
        <f ca="1"/>
        <v>#N/A</v>
      </c>
      <c r="I1756" s="42" t="str">
        <f ca="1"/>
        <v/>
      </c>
    </row>
    <row r="1757" spans="4:9" x14ac:dyDescent="0.25">
      <c r="D1757" s="19"/>
      <c r="G1757" s="43" t="str">
        <v/>
      </c>
      <c r="H1757" s="43" t="e">
        <f ca="1"/>
        <v>#N/A</v>
      </c>
      <c r="I1757" s="42" t="str">
        <f ca="1"/>
        <v/>
      </c>
    </row>
    <row r="1758" spans="4:9" x14ac:dyDescent="0.25">
      <c r="D1758" s="19"/>
      <c r="G1758" s="43" t="str">
        <v/>
      </c>
      <c r="H1758" s="43" t="e">
        <f ca="1"/>
        <v>#N/A</v>
      </c>
      <c r="I1758" s="42" t="str">
        <f ca="1"/>
        <v/>
      </c>
    </row>
    <row r="1759" spans="4:9" x14ac:dyDescent="0.25">
      <c r="D1759" s="19"/>
      <c r="G1759" s="43" t="str">
        <v/>
      </c>
      <c r="H1759" s="43" t="e">
        <f ca="1"/>
        <v>#N/A</v>
      </c>
      <c r="I1759" s="42" t="str">
        <f ca="1"/>
        <v/>
      </c>
    </row>
    <row r="1760" spans="4:9" x14ac:dyDescent="0.25">
      <c r="D1760" s="19"/>
      <c r="G1760" s="43" t="str">
        <v/>
      </c>
      <c r="H1760" s="43" t="e">
        <f ca="1"/>
        <v>#N/A</v>
      </c>
      <c r="I1760" s="42" t="str">
        <f ca="1"/>
        <v/>
      </c>
    </row>
    <row r="1761" spans="4:9" x14ac:dyDescent="0.25">
      <c r="D1761" s="19"/>
      <c r="G1761" s="43" t="str">
        <v/>
      </c>
      <c r="H1761" s="43" t="e">
        <f ca="1"/>
        <v>#N/A</v>
      </c>
      <c r="I1761" s="42" t="str">
        <f ca="1"/>
        <v/>
      </c>
    </row>
    <row r="1762" spans="4:9" x14ac:dyDescent="0.25">
      <c r="D1762" s="19"/>
      <c r="G1762" s="43" t="str">
        <v/>
      </c>
      <c r="H1762" s="43" t="e">
        <f ca="1"/>
        <v>#N/A</v>
      </c>
      <c r="I1762" s="42" t="str">
        <f ca="1"/>
        <v/>
      </c>
    </row>
    <row r="1763" spans="4:9" x14ac:dyDescent="0.25">
      <c r="D1763" s="19"/>
      <c r="G1763" s="43" t="str">
        <v/>
      </c>
      <c r="H1763" s="43" t="e">
        <f ca="1"/>
        <v>#N/A</v>
      </c>
      <c r="I1763" s="42" t="str">
        <f ca="1"/>
        <v/>
      </c>
    </row>
    <row r="1764" spans="4:9" x14ac:dyDescent="0.25">
      <c r="D1764" s="19"/>
      <c r="G1764" s="43" t="str">
        <v/>
      </c>
      <c r="H1764" s="43" t="e">
        <f ca="1"/>
        <v>#N/A</v>
      </c>
      <c r="I1764" s="42" t="str">
        <f ca="1"/>
        <v/>
      </c>
    </row>
    <row r="1765" spans="4:9" x14ac:dyDescent="0.25">
      <c r="D1765" s="19"/>
      <c r="G1765" s="43" t="str">
        <v/>
      </c>
      <c r="H1765" s="43" t="e">
        <f ca="1"/>
        <v>#N/A</v>
      </c>
      <c r="I1765" s="42" t="str">
        <f ca="1"/>
        <v/>
      </c>
    </row>
    <row r="1766" spans="4:9" x14ac:dyDescent="0.25">
      <c r="D1766" s="19"/>
      <c r="G1766" s="43" t="str">
        <v/>
      </c>
      <c r="H1766" s="43" t="e">
        <f ca="1"/>
        <v>#N/A</v>
      </c>
      <c r="I1766" s="42" t="str">
        <f ca="1"/>
        <v/>
      </c>
    </row>
    <row r="1767" spans="4:9" x14ac:dyDescent="0.25">
      <c r="D1767" s="19"/>
      <c r="G1767" s="43" t="str">
        <v/>
      </c>
      <c r="H1767" s="43" t="e">
        <f ca="1"/>
        <v>#N/A</v>
      </c>
      <c r="I1767" s="42" t="str">
        <f ca="1"/>
        <v/>
      </c>
    </row>
    <row r="1768" spans="4:9" x14ac:dyDescent="0.25">
      <c r="D1768" s="19"/>
      <c r="G1768" s="43" t="str">
        <v/>
      </c>
      <c r="H1768" s="43" t="e">
        <f ca="1"/>
        <v>#N/A</v>
      </c>
      <c r="I1768" s="42" t="str">
        <f ca="1"/>
        <v/>
      </c>
    </row>
    <row r="1769" spans="4:9" x14ac:dyDescent="0.25">
      <c r="D1769" s="19"/>
      <c r="G1769" s="43" t="str">
        <v/>
      </c>
      <c r="H1769" s="43" t="e">
        <f ca="1"/>
        <v>#N/A</v>
      </c>
      <c r="I1769" s="42" t="str">
        <f ca="1"/>
        <v/>
      </c>
    </row>
    <row r="1770" spans="4:9" x14ac:dyDescent="0.25">
      <c r="D1770" s="19"/>
      <c r="G1770" s="43" t="str">
        <v/>
      </c>
      <c r="H1770" s="43" t="e">
        <f ca="1"/>
        <v>#N/A</v>
      </c>
      <c r="I1770" s="42" t="str">
        <f ca="1"/>
        <v/>
      </c>
    </row>
    <row r="1771" spans="4:9" x14ac:dyDescent="0.25">
      <c r="D1771" s="19"/>
      <c r="G1771" s="43" t="str">
        <v/>
      </c>
      <c r="H1771" s="43" t="e">
        <f ca="1"/>
        <v>#N/A</v>
      </c>
      <c r="I1771" s="42" t="str">
        <f ca="1"/>
        <v/>
      </c>
    </row>
    <row r="1772" spans="4:9" x14ac:dyDescent="0.25">
      <c r="D1772" s="19"/>
      <c r="G1772" s="43" t="str">
        <v/>
      </c>
      <c r="H1772" s="43" t="e">
        <f ca="1"/>
        <v>#N/A</v>
      </c>
      <c r="I1772" s="42" t="str">
        <f ca="1"/>
        <v/>
      </c>
    </row>
    <row r="1773" spans="4:9" x14ac:dyDescent="0.25">
      <c r="D1773" s="19"/>
      <c r="G1773" s="43" t="str">
        <v/>
      </c>
      <c r="H1773" s="43" t="e">
        <f ca="1"/>
        <v>#N/A</v>
      </c>
      <c r="I1773" s="42" t="str">
        <f ca="1"/>
        <v/>
      </c>
    </row>
    <row r="1774" spans="4:9" x14ac:dyDescent="0.25">
      <c r="D1774" s="19"/>
      <c r="G1774" s="43" t="str">
        <v/>
      </c>
      <c r="H1774" s="43" t="e">
        <f ca="1"/>
        <v>#N/A</v>
      </c>
      <c r="I1774" s="42" t="str">
        <f ca="1"/>
        <v/>
      </c>
    </row>
    <row r="1775" spans="4:9" x14ac:dyDescent="0.25">
      <c r="D1775" s="19"/>
      <c r="G1775" s="43" t="str">
        <v/>
      </c>
      <c r="H1775" s="43" t="e">
        <f ca="1"/>
        <v>#N/A</v>
      </c>
      <c r="I1775" s="42" t="str">
        <f ca="1"/>
        <v/>
      </c>
    </row>
    <row r="1776" spans="4:9" x14ac:dyDescent="0.25">
      <c r="D1776" s="19"/>
      <c r="G1776" s="43" t="str">
        <v/>
      </c>
      <c r="H1776" s="43" t="e">
        <f ca="1"/>
        <v>#N/A</v>
      </c>
      <c r="I1776" s="42" t="str">
        <f ca="1"/>
        <v/>
      </c>
    </row>
    <row r="1777" spans="4:9" x14ac:dyDescent="0.25">
      <c r="D1777" s="19"/>
      <c r="G1777" s="43" t="str">
        <v/>
      </c>
      <c r="H1777" s="43" t="e">
        <f ca="1"/>
        <v>#N/A</v>
      </c>
      <c r="I1777" s="42" t="str">
        <f ca="1"/>
        <v/>
      </c>
    </row>
    <row r="1778" spans="4:9" x14ac:dyDescent="0.25">
      <c r="D1778" s="19"/>
      <c r="G1778" s="43" t="str">
        <v/>
      </c>
      <c r="H1778" s="43" t="e">
        <f ca="1"/>
        <v>#N/A</v>
      </c>
      <c r="I1778" s="42" t="str">
        <f ca="1"/>
        <v/>
      </c>
    </row>
    <row r="1779" spans="4:9" x14ac:dyDescent="0.25">
      <c r="D1779" s="19"/>
      <c r="G1779" s="43" t="str">
        <v/>
      </c>
      <c r="H1779" s="43" t="e">
        <f ca="1"/>
        <v>#N/A</v>
      </c>
      <c r="I1779" s="42" t="str">
        <f ca="1"/>
        <v/>
      </c>
    </row>
    <row r="1780" spans="4:9" x14ac:dyDescent="0.25">
      <c r="D1780" s="19"/>
      <c r="G1780" s="43" t="str">
        <v/>
      </c>
      <c r="H1780" s="43" t="e">
        <f ca="1"/>
        <v>#N/A</v>
      </c>
      <c r="I1780" s="42" t="str">
        <f ca="1"/>
        <v/>
      </c>
    </row>
    <row r="1781" spans="4:9" x14ac:dyDescent="0.25">
      <c r="D1781" s="19"/>
      <c r="G1781" s="43" t="str">
        <v/>
      </c>
      <c r="H1781" s="43" t="e">
        <f ca="1"/>
        <v>#N/A</v>
      </c>
      <c r="I1781" s="42" t="str">
        <f ca="1"/>
        <v/>
      </c>
    </row>
    <row r="1782" spans="4:9" x14ac:dyDescent="0.25">
      <c r="D1782" s="19"/>
      <c r="G1782" s="43" t="str">
        <v/>
      </c>
      <c r="H1782" s="43" t="e">
        <f ca="1"/>
        <v>#N/A</v>
      </c>
      <c r="I1782" s="42" t="str">
        <f ca="1"/>
        <v/>
      </c>
    </row>
    <row r="1783" spans="4:9" x14ac:dyDescent="0.25">
      <c r="D1783" s="19"/>
      <c r="G1783" s="43" t="str">
        <v/>
      </c>
      <c r="H1783" s="43" t="e">
        <f ca="1"/>
        <v>#N/A</v>
      </c>
      <c r="I1783" s="42" t="str">
        <f ca="1"/>
        <v/>
      </c>
    </row>
    <row r="1784" spans="4:9" x14ac:dyDescent="0.25">
      <c r="D1784" s="19"/>
      <c r="G1784" s="43" t="str">
        <v/>
      </c>
      <c r="H1784" s="43" t="e">
        <f ca="1"/>
        <v>#N/A</v>
      </c>
      <c r="I1784" s="42" t="str">
        <f ca="1"/>
        <v/>
      </c>
    </row>
    <row r="1785" spans="4:9" x14ac:dyDescent="0.25">
      <c r="D1785" s="19"/>
      <c r="G1785" s="43" t="str">
        <v/>
      </c>
      <c r="H1785" s="43" t="e">
        <f ca="1"/>
        <v>#N/A</v>
      </c>
      <c r="I1785" s="42" t="str">
        <f ca="1"/>
        <v/>
      </c>
    </row>
    <row r="1786" spans="4:9" x14ac:dyDescent="0.25">
      <c r="D1786" s="19"/>
      <c r="G1786" s="43" t="str">
        <v/>
      </c>
      <c r="H1786" s="43" t="e">
        <f ca="1"/>
        <v>#N/A</v>
      </c>
      <c r="I1786" s="42" t="str">
        <f ca="1"/>
        <v/>
      </c>
    </row>
    <row r="1787" spans="4:9" x14ac:dyDescent="0.25">
      <c r="D1787" s="19"/>
      <c r="G1787" s="43" t="str">
        <v/>
      </c>
      <c r="H1787" s="43" t="e">
        <f ca="1"/>
        <v>#N/A</v>
      </c>
      <c r="I1787" s="42" t="str">
        <f ca="1"/>
        <v/>
      </c>
    </row>
    <row r="1788" spans="4:9" x14ac:dyDescent="0.25">
      <c r="D1788" s="19"/>
      <c r="G1788" s="43" t="str">
        <v/>
      </c>
      <c r="H1788" s="43" t="e">
        <f ca="1"/>
        <v>#N/A</v>
      </c>
      <c r="I1788" s="42" t="str">
        <f ca="1"/>
        <v/>
      </c>
    </row>
    <row r="1789" spans="4:9" x14ac:dyDescent="0.25">
      <c r="D1789" s="19"/>
      <c r="G1789" s="43" t="str">
        <v/>
      </c>
      <c r="H1789" s="43" t="e">
        <f ca="1"/>
        <v>#N/A</v>
      </c>
      <c r="I1789" s="42" t="str">
        <f ca="1"/>
        <v/>
      </c>
    </row>
    <row r="1790" spans="4:9" x14ac:dyDescent="0.25">
      <c r="D1790" s="19"/>
      <c r="G1790" s="43" t="str">
        <v/>
      </c>
      <c r="H1790" s="43" t="e">
        <f ca="1"/>
        <v>#N/A</v>
      </c>
      <c r="I1790" s="42" t="str">
        <f ca="1"/>
        <v/>
      </c>
    </row>
    <row r="1791" spans="4:9" x14ac:dyDescent="0.25">
      <c r="D1791" s="19"/>
      <c r="G1791" s="43" t="str">
        <v/>
      </c>
      <c r="H1791" s="43" t="e">
        <f ca="1"/>
        <v>#N/A</v>
      </c>
      <c r="I1791" s="42" t="str">
        <f ca="1"/>
        <v/>
      </c>
    </row>
    <row r="1792" spans="4:9" x14ac:dyDescent="0.25">
      <c r="D1792" s="19"/>
      <c r="G1792" s="43" t="str">
        <v/>
      </c>
      <c r="H1792" s="43" t="e">
        <f ca="1"/>
        <v>#N/A</v>
      </c>
      <c r="I1792" s="42" t="str">
        <f ca="1"/>
        <v/>
      </c>
    </row>
    <row r="1793" spans="4:9" x14ac:dyDescent="0.25">
      <c r="D1793" s="19"/>
      <c r="G1793" s="43" t="str">
        <v/>
      </c>
      <c r="H1793" s="43" t="e">
        <f ca="1"/>
        <v>#N/A</v>
      </c>
      <c r="I1793" s="42" t="str">
        <f ca="1"/>
        <v/>
      </c>
    </row>
    <row r="1794" spans="4:9" x14ac:dyDescent="0.25">
      <c r="D1794" s="19"/>
      <c r="G1794" s="43" t="str">
        <v/>
      </c>
      <c r="H1794" s="43" t="e">
        <f ca="1"/>
        <v>#N/A</v>
      </c>
      <c r="I1794" s="42" t="str">
        <f ca="1"/>
        <v/>
      </c>
    </row>
    <row r="1795" spans="4:9" x14ac:dyDescent="0.25">
      <c r="D1795" s="19"/>
      <c r="G1795" s="43" t="str">
        <v/>
      </c>
      <c r="H1795" s="43" t="e">
        <f ca="1"/>
        <v>#N/A</v>
      </c>
      <c r="I1795" s="42" t="str">
        <f ca="1"/>
        <v/>
      </c>
    </row>
    <row r="1796" spans="4:9" x14ac:dyDescent="0.25">
      <c r="D1796" s="19"/>
      <c r="G1796" s="43" t="str">
        <v/>
      </c>
      <c r="H1796" s="43" t="e">
        <f ca="1"/>
        <v>#N/A</v>
      </c>
      <c r="I1796" s="42" t="str">
        <f ca="1"/>
        <v/>
      </c>
    </row>
    <row r="1797" spans="4:9" x14ac:dyDescent="0.25">
      <c r="D1797" s="19"/>
      <c r="G1797" s="43" t="str">
        <v/>
      </c>
      <c r="H1797" s="43" t="e">
        <f ca="1"/>
        <v>#N/A</v>
      </c>
      <c r="I1797" s="42" t="str">
        <f ca="1"/>
        <v/>
      </c>
    </row>
    <row r="1798" spans="4:9" x14ac:dyDescent="0.25">
      <c r="D1798" s="19"/>
      <c r="G1798" s="43" t="str">
        <v/>
      </c>
      <c r="H1798" s="43" t="e">
        <f ca="1"/>
        <v>#N/A</v>
      </c>
      <c r="I1798" s="42" t="str">
        <f ca="1"/>
        <v/>
      </c>
    </row>
    <row r="1799" spans="4:9" x14ac:dyDescent="0.25">
      <c r="D1799" s="19"/>
      <c r="G1799" s="43" t="str">
        <v/>
      </c>
      <c r="H1799" s="43" t="e">
        <f ca="1"/>
        <v>#N/A</v>
      </c>
      <c r="I1799" s="42" t="str">
        <f ca="1"/>
        <v/>
      </c>
    </row>
    <row r="1800" spans="4:9" x14ac:dyDescent="0.25">
      <c r="D1800" s="19"/>
      <c r="G1800" s="43" t="str">
        <v/>
      </c>
      <c r="H1800" s="43" t="e">
        <f ca="1"/>
        <v>#N/A</v>
      </c>
      <c r="I1800" s="42" t="str">
        <f ca="1"/>
        <v/>
      </c>
    </row>
    <row r="1801" spans="4:9" x14ac:dyDescent="0.25">
      <c r="D1801" s="19"/>
      <c r="G1801" s="43" t="str">
        <v/>
      </c>
      <c r="H1801" s="43" t="e">
        <f ca="1"/>
        <v>#N/A</v>
      </c>
      <c r="I1801" s="42" t="str">
        <f ca="1"/>
        <v/>
      </c>
    </row>
    <row r="1802" spans="4:9" x14ac:dyDescent="0.25">
      <c r="D1802" s="19"/>
      <c r="G1802" s="43" t="str">
        <v/>
      </c>
      <c r="H1802" s="43" t="e">
        <f ca="1"/>
        <v>#N/A</v>
      </c>
      <c r="I1802" s="42" t="str">
        <f ca="1"/>
        <v/>
      </c>
    </row>
    <row r="1803" spans="4:9" x14ac:dyDescent="0.25">
      <c r="D1803" s="19"/>
      <c r="G1803" s="43" t="str">
        <v/>
      </c>
      <c r="H1803" s="43" t="e">
        <f ca="1"/>
        <v>#N/A</v>
      </c>
      <c r="I1803" s="42" t="str">
        <f ca="1"/>
        <v/>
      </c>
    </row>
    <row r="1804" spans="4:9" x14ac:dyDescent="0.25">
      <c r="D1804" s="19"/>
      <c r="G1804" s="43" t="str">
        <v/>
      </c>
      <c r="H1804" s="43" t="e">
        <f ca="1"/>
        <v>#N/A</v>
      </c>
      <c r="I1804" s="42" t="str">
        <f ca="1"/>
        <v/>
      </c>
    </row>
    <row r="1805" spans="4:9" x14ac:dyDescent="0.25">
      <c r="D1805" s="19"/>
      <c r="G1805" s="43" t="str">
        <v/>
      </c>
      <c r="H1805" s="43" t="e">
        <f ca="1"/>
        <v>#N/A</v>
      </c>
      <c r="I1805" s="42" t="str">
        <f ca="1"/>
        <v/>
      </c>
    </row>
    <row r="1806" spans="4:9" x14ac:dyDescent="0.25">
      <c r="D1806" s="19"/>
      <c r="G1806" s="43" t="str">
        <v/>
      </c>
      <c r="H1806" s="43" t="e">
        <f ca="1"/>
        <v>#N/A</v>
      </c>
      <c r="I1806" s="42" t="str">
        <f ca="1"/>
        <v/>
      </c>
    </row>
    <row r="1807" spans="4:9" x14ac:dyDescent="0.25">
      <c r="D1807" s="19"/>
      <c r="G1807" s="43" t="str">
        <v/>
      </c>
      <c r="H1807" s="43" t="e">
        <f ca="1"/>
        <v>#N/A</v>
      </c>
      <c r="I1807" s="42" t="str">
        <f ca="1"/>
        <v/>
      </c>
    </row>
    <row r="1808" spans="4:9" x14ac:dyDescent="0.25">
      <c r="D1808" s="19"/>
      <c r="G1808" s="43" t="str">
        <v/>
      </c>
      <c r="H1808" s="43" t="e">
        <f ca="1"/>
        <v>#N/A</v>
      </c>
      <c r="I1808" s="42" t="str">
        <f ca="1"/>
        <v/>
      </c>
    </row>
    <row r="1809" spans="4:9" x14ac:dyDescent="0.25">
      <c r="D1809" s="19"/>
      <c r="G1809" s="43" t="str">
        <v/>
      </c>
      <c r="H1809" s="43" t="e">
        <f ca="1"/>
        <v>#N/A</v>
      </c>
      <c r="I1809" s="42" t="str">
        <f ca="1"/>
        <v/>
      </c>
    </row>
    <row r="1810" spans="4:9" x14ac:dyDescent="0.25">
      <c r="D1810" s="19"/>
      <c r="G1810" s="43" t="str">
        <v/>
      </c>
      <c r="H1810" s="43" t="e">
        <f ca="1"/>
        <v>#N/A</v>
      </c>
      <c r="I1810" s="42" t="str">
        <f ca="1"/>
        <v/>
      </c>
    </row>
    <row r="1811" spans="4:9" x14ac:dyDescent="0.25">
      <c r="D1811" s="19"/>
      <c r="G1811" s="43" t="str">
        <v/>
      </c>
      <c r="H1811" s="43" t="e">
        <f ca="1"/>
        <v>#N/A</v>
      </c>
      <c r="I1811" s="42" t="str">
        <f ca="1"/>
        <v/>
      </c>
    </row>
    <row r="1812" spans="4:9" x14ac:dyDescent="0.25">
      <c r="D1812" s="19"/>
      <c r="G1812" s="43" t="str">
        <v/>
      </c>
      <c r="H1812" s="43" t="e">
        <f ca="1"/>
        <v>#N/A</v>
      </c>
      <c r="I1812" s="42" t="str">
        <f ca="1"/>
        <v/>
      </c>
    </row>
    <row r="1813" spans="4:9" x14ac:dyDescent="0.25">
      <c r="D1813" s="19"/>
      <c r="G1813" s="43" t="str">
        <v/>
      </c>
      <c r="H1813" s="43" t="e">
        <f ca="1"/>
        <v>#N/A</v>
      </c>
      <c r="I1813" s="42" t="str">
        <f ca="1"/>
        <v/>
      </c>
    </row>
    <row r="1814" spans="4:9" x14ac:dyDescent="0.25">
      <c r="D1814" s="19"/>
      <c r="G1814" s="43" t="str">
        <v/>
      </c>
      <c r="H1814" s="43" t="e">
        <f ca="1"/>
        <v>#N/A</v>
      </c>
      <c r="I1814" s="42" t="str">
        <f ca="1"/>
        <v/>
      </c>
    </row>
    <row r="1815" spans="4:9" x14ac:dyDescent="0.25">
      <c r="D1815" s="19"/>
      <c r="G1815" s="43" t="str">
        <v/>
      </c>
      <c r="H1815" s="43" t="e">
        <f ca="1"/>
        <v>#N/A</v>
      </c>
      <c r="I1815" s="42" t="str">
        <f ca="1"/>
        <v/>
      </c>
    </row>
    <row r="1816" spans="4:9" x14ac:dyDescent="0.25">
      <c r="D1816" s="19"/>
      <c r="G1816" s="43" t="str">
        <v/>
      </c>
      <c r="H1816" s="43" t="e">
        <f ca="1"/>
        <v>#N/A</v>
      </c>
      <c r="I1816" s="42" t="str">
        <f ca="1"/>
        <v/>
      </c>
    </row>
    <row r="1817" spans="4:9" x14ac:dyDescent="0.25">
      <c r="D1817" s="19"/>
      <c r="G1817" s="43" t="str">
        <v/>
      </c>
      <c r="H1817" s="43" t="e">
        <f ca="1"/>
        <v>#N/A</v>
      </c>
      <c r="I1817" s="42" t="str">
        <f ca="1"/>
        <v/>
      </c>
    </row>
    <row r="1818" spans="4:9" x14ac:dyDescent="0.25">
      <c r="D1818" s="19"/>
      <c r="G1818" s="43" t="str">
        <v/>
      </c>
      <c r="H1818" s="43" t="e">
        <f ca="1"/>
        <v>#N/A</v>
      </c>
      <c r="I1818" s="42" t="str">
        <f ca="1"/>
        <v/>
      </c>
    </row>
    <row r="1819" spans="4:9" x14ac:dyDescent="0.25">
      <c r="D1819" s="19"/>
      <c r="G1819" s="43" t="str">
        <v/>
      </c>
      <c r="H1819" s="43" t="e">
        <f ca="1"/>
        <v>#N/A</v>
      </c>
      <c r="I1819" s="42" t="str">
        <f ca="1"/>
        <v/>
      </c>
    </row>
    <row r="1820" spans="4:9" x14ac:dyDescent="0.25">
      <c r="D1820" s="19"/>
      <c r="G1820" s="43" t="str">
        <v/>
      </c>
      <c r="H1820" s="43" t="e">
        <f ca="1"/>
        <v>#N/A</v>
      </c>
      <c r="I1820" s="42" t="str">
        <f ca="1"/>
        <v/>
      </c>
    </row>
    <row r="1821" spans="4:9" x14ac:dyDescent="0.25">
      <c r="D1821" s="19"/>
      <c r="G1821" s="43" t="str">
        <v/>
      </c>
      <c r="H1821" s="43" t="e">
        <f ca="1"/>
        <v>#N/A</v>
      </c>
      <c r="I1821" s="42" t="str">
        <f ca="1"/>
        <v/>
      </c>
    </row>
    <row r="1822" spans="4:9" x14ac:dyDescent="0.25">
      <c r="D1822" s="19"/>
      <c r="G1822" s="43" t="str">
        <v/>
      </c>
      <c r="H1822" s="43" t="e">
        <f ca="1"/>
        <v>#N/A</v>
      </c>
      <c r="I1822" s="42" t="str">
        <f ca="1"/>
        <v/>
      </c>
    </row>
    <row r="1823" spans="4:9" x14ac:dyDescent="0.25">
      <c r="D1823" s="19"/>
      <c r="G1823" s="43" t="str">
        <v/>
      </c>
      <c r="H1823" s="43" t="e">
        <f ca="1"/>
        <v>#N/A</v>
      </c>
      <c r="I1823" s="42" t="str">
        <f ca="1"/>
        <v/>
      </c>
    </row>
    <row r="1824" spans="4:9" x14ac:dyDescent="0.25">
      <c r="D1824" s="19"/>
      <c r="G1824" s="43" t="str">
        <v/>
      </c>
      <c r="H1824" s="43" t="e">
        <f ca="1"/>
        <v>#N/A</v>
      </c>
      <c r="I1824" s="42" t="str">
        <f ca="1"/>
        <v/>
      </c>
    </row>
    <row r="1825" spans="4:9" x14ac:dyDescent="0.25">
      <c r="D1825" s="19"/>
      <c r="G1825" s="43" t="str">
        <v/>
      </c>
      <c r="H1825" s="43" t="e">
        <f ca="1"/>
        <v>#N/A</v>
      </c>
      <c r="I1825" s="42" t="str">
        <f ca="1"/>
        <v/>
      </c>
    </row>
    <row r="1826" spans="4:9" x14ac:dyDescent="0.25">
      <c r="D1826" s="19"/>
      <c r="G1826" s="43" t="str">
        <v/>
      </c>
      <c r="H1826" s="43" t="e">
        <f ca="1"/>
        <v>#N/A</v>
      </c>
      <c r="I1826" s="42" t="str">
        <f ca="1"/>
        <v/>
      </c>
    </row>
    <row r="1827" spans="4:9" x14ac:dyDescent="0.25">
      <c r="D1827" s="19"/>
      <c r="G1827" s="43" t="str">
        <v/>
      </c>
      <c r="H1827" s="43" t="e">
        <f ca="1"/>
        <v>#N/A</v>
      </c>
      <c r="I1827" s="42" t="str">
        <f ca="1"/>
        <v/>
      </c>
    </row>
    <row r="1828" spans="4:9" x14ac:dyDescent="0.25">
      <c r="D1828" s="19"/>
      <c r="G1828" s="43" t="str">
        <v/>
      </c>
      <c r="H1828" s="43" t="e">
        <f ca="1"/>
        <v>#N/A</v>
      </c>
      <c r="I1828" s="42" t="str">
        <f ca="1"/>
        <v/>
      </c>
    </row>
    <row r="1829" spans="4:9" x14ac:dyDescent="0.25">
      <c r="D1829" s="19"/>
      <c r="G1829" s="43" t="str">
        <v/>
      </c>
      <c r="H1829" s="43" t="e">
        <f ca="1"/>
        <v>#N/A</v>
      </c>
      <c r="I1829" s="42" t="str">
        <f ca="1"/>
        <v/>
      </c>
    </row>
    <row r="1830" spans="4:9" x14ac:dyDescent="0.25">
      <c r="D1830" s="19"/>
      <c r="G1830" s="43" t="str">
        <v/>
      </c>
      <c r="H1830" s="43" t="e">
        <f ca="1"/>
        <v>#N/A</v>
      </c>
      <c r="I1830" s="42" t="str">
        <f ca="1"/>
        <v/>
      </c>
    </row>
    <row r="1831" spans="4:9" x14ac:dyDescent="0.25">
      <c r="D1831" s="19"/>
      <c r="G1831" s="43" t="str">
        <v/>
      </c>
      <c r="H1831" s="43" t="e">
        <f ca="1"/>
        <v>#N/A</v>
      </c>
      <c r="I1831" s="42" t="str">
        <f ca="1"/>
        <v/>
      </c>
    </row>
    <row r="1832" spans="4:9" x14ac:dyDescent="0.25">
      <c r="D1832" s="19"/>
      <c r="G1832" s="43" t="str">
        <v/>
      </c>
      <c r="H1832" s="43" t="e">
        <f ca="1"/>
        <v>#N/A</v>
      </c>
      <c r="I1832" s="42" t="str">
        <f ca="1"/>
        <v/>
      </c>
    </row>
    <row r="1833" spans="4:9" x14ac:dyDescent="0.25">
      <c r="D1833" s="19"/>
      <c r="G1833" s="43" t="str">
        <v/>
      </c>
      <c r="H1833" s="43" t="e">
        <f ca="1"/>
        <v>#N/A</v>
      </c>
      <c r="I1833" s="42" t="str">
        <f ca="1"/>
        <v/>
      </c>
    </row>
    <row r="1834" spans="4:9" x14ac:dyDescent="0.25">
      <c r="D1834" s="19"/>
      <c r="G1834" s="43" t="str">
        <v/>
      </c>
      <c r="H1834" s="43" t="e">
        <f ca="1"/>
        <v>#N/A</v>
      </c>
      <c r="I1834" s="42" t="str">
        <f ca="1"/>
        <v/>
      </c>
    </row>
    <row r="1835" spans="4:9" x14ac:dyDescent="0.25">
      <c r="D1835" s="19"/>
      <c r="G1835" s="43" t="str">
        <v/>
      </c>
      <c r="H1835" s="43" t="e">
        <f ca="1"/>
        <v>#N/A</v>
      </c>
      <c r="I1835" s="42" t="str">
        <f ca="1"/>
        <v/>
      </c>
    </row>
    <row r="1836" spans="4:9" x14ac:dyDescent="0.25">
      <c r="D1836" s="19"/>
      <c r="G1836" s="43" t="str">
        <v/>
      </c>
      <c r="H1836" s="43" t="e">
        <f ca="1"/>
        <v>#N/A</v>
      </c>
      <c r="I1836" s="42" t="str">
        <f ca="1"/>
        <v/>
      </c>
    </row>
    <row r="1837" spans="4:9" x14ac:dyDescent="0.25">
      <c r="D1837" s="19"/>
      <c r="G1837" s="43" t="str">
        <v/>
      </c>
      <c r="H1837" s="43" t="e">
        <f ca="1"/>
        <v>#N/A</v>
      </c>
      <c r="I1837" s="42" t="str">
        <f ca="1"/>
        <v/>
      </c>
    </row>
    <row r="1838" spans="4:9" x14ac:dyDescent="0.25">
      <c r="D1838" s="19"/>
      <c r="G1838" s="43" t="str">
        <v/>
      </c>
      <c r="H1838" s="43" t="e">
        <f ca="1"/>
        <v>#N/A</v>
      </c>
      <c r="I1838" s="42" t="str">
        <f ca="1"/>
        <v/>
      </c>
    </row>
    <row r="1839" spans="4:9" x14ac:dyDescent="0.25">
      <c r="D1839" s="19"/>
      <c r="G1839" s="43" t="str">
        <v/>
      </c>
      <c r="H1839" s="43" t="e">
        <f ca="1"/>
        <v>#N/A</v>
      </c>
      <c r="I1839" s="42" t="str">
        <f ca="1"/>
        <v/>
      </c>
    </row>
    <row r="1840" spans="4:9" x14ac:dyDescent="0.25">
      <c r="D1840" s="19"/>
      <c r="G1840" s="43" t="str">
        <v/>
      </c>
      <c r="H1840" s="43" t="e">
        <f ca="1"/>
        <v>#N/A</v>
      </c>
      <c r="I1840" s="42" t="str">
        <f ca="1"/>
        <v/>
      </c>
    </row>
    <row r="1841" spans="4:9" x14ac:dyDescent="0.25">
      <c r="D1841" s="19"/>
      <c r="G1841" s="43" t="str">
        <v/>
      </c>
      <c r="H1841" s="43" t="e">
        <f ca="1"/>
        <v>#N/A</v>
      </c>
      <c r="I1841" s="42" t="str">
        <f ca="1"/>
        <v/>
      </c>
    </row>
    <row r="1842" spans="4:9" x14ac:dyDescent="0.25">
      <c r="D1842" s="19"/>
      <c r="G1842" s="43" t="str">
        <v/>
      </c>
      <c r="H1842" s="43" t="e">
        <f ca="1"/>
        <v>#N/A</v>
      </c>
      <c r="I1842" s="42" t="str">
        <f ca="1"/>
        <v/>
      </c>
    </row>
    <row r="1843" spans="4:9" x14ac:dyDescent="0.25">
      <c r="D1843" s="19"/>
      <c r="G1843" s="43" t="str">
        <v/>
      </c>
      <c r="H1843" s="43" t="e">
        <f ca="1"/>
        <v>#N/A</v>
      </c>
      <c r="I1843" s="42" t="str">
        <f ca="1"/>
        <v/>
      </c>
    </row>
    <row r="1844" spans="4:9" x14ac:dyDescent="0.25">
      <c r="D1844" s="19"/>
      <c r="G1844" s="43" t="str">
        <v/>
      </c>
      <c r="H1844" s="43" t="e">
        <f ca="1"/>
        <v>#N/A</v>
      </c>
      <c r="I1844" s="42" t="str">
        <f ca="1"/>
        <v/>
      </c>
    </row>
    <row r="1845" spans="4:9" x14ac:dyDescent="0.25">
      <c r="D1845" s="19"/>
      <c r="G1845" s="43" t="str">
        <v/>
      </c>
      <c r="H1845" s="43" t="e">
        <f ca="1"/>
        <v>#N/A</v>
      </c>
      <c r="I1845" s="42" t="str">
        <f ca="1"/>
        <v/>
      </c>
    </row>
    <row r="1846" spans="4:9" x14ac:dyDescent="0.25">
      <c r="D1846" s="19"/>
      <c r="G1846" s="43" t="str">
        <v/>
      </c>
      <c r="H1846" s="43" t="e">
        <f ca="1"/>
        <v>#N/A</v>
      </c>
      <c r="I1846" s="42" t="str">
        <f ca="1"/>
        <v/>
      </c>
    </row>
    <row r="1847" spans="4:9" x14ac:dyDescent="0.25">
      <c r="D1847" s="19"/>
      <c r="G1847" s="43" t="str">
        <v/>
      </c>
      <c r="H1847" s="43" t="e">
        <f ca="1"/>
        <v>#N/A</v>
      </c>
      <c r="I1847" s="42" t="str">
        <f ca="1"/>
        <v/>
      </c>
    </row>
    <row r="1848" spans="4:9" x14ac:dyDescent="0.25">
      <c r="D1848" s="19"/>
      <c r="G1848" s="43" t="str">
        <v/>
      </c>
      <c r="H1848" s="43" t="e">
        <f ca="1"/>
        <v>#N/A</v>
      </c>
      <c r="I1848" s="42" t="str">
        <f ca="1"/>
        <v/>
      </c>
    </row>
    <row r="1849" spans="4:9" x14ac:dyDescent="0.25">
      <c r="D1849" s="19"/>
      <c r="G1849" s="43" t="str">
        <v/>
      </c>
      <c r="H1849" s="43" t="e">
        <f ca="1"/>
        <v>#N/A</v>
      </c>
      <c r="I1849" s="42" t="str">
        <f ca="1"/>
        <v/>
      </c>
    </row>
    <row r="1850" spans="4:9" x14ac:dyDescent="0.25">
      <c r="D1850" s="19"/>
      <c r="G1850" s="43" t="str">
        <v/>
      </c>
      <c r="H1850" s="43" t="e">
        <f ca="1"/>
        <v>#N/A</v>
      </c>
      <c r="I1850" s="42" t="str">
        <f ca="1"/>
        <v/>
      </c>
    </row>
    <row r="1851" spans="4:9" x14ac:dyDescent="0.25">
      <c r="D1851" s="19"/>
      <c r="G1851" s="43" t="str">
        <v/>
      </c>
      <c r="H1851" s="43" t="e">
        <f ca="1"/>
        <v>#N/A</v>
      </c>
      <c r="I1851" s="42" t="str">
        <f ca="1"/>
        <v/>
      </c>
    </row>
    <row r="1852" spans="4:9" x14ac:dyDescent="0.25">
      <c r="D1852" s="19"/>
      <c r="G1852" s="43" t="str">
        <v/>
      </c>
      <c r="H1852" s="43" t="e">
        <f ca="1"/>
        <v>#N/A</v>
      </c>
      <c r="I1852" s="42" t="str">
        <f ca="1"/>
        <v/>
      </c>
    </row>
    <row r="1853" spans="4:9" x14ac:dyDescent="0.25">
      <c r="D1853" s="19"/>
      <c r="G1853" s="43" t="str">
        <v/>
      </c>
      <c r="H1853" s="43" t="e">
        <f ca="1"/>
        <v>#N/A</v>
      </c>
      <c r="I1853" s="42" t="str">
        <f ca="1"/>
        <v/>
      </c>
    </row>
    <row r="1854" spans="4:9" x14ac:dyDescent="0.25">
      <c r="D1854" s="19"/>
      <c r="G1854" s="43" t="str">
        <v/>
      </c>
      <c r="H1854" s="43" t="e">
        <f ca="1"/>
        <v>#N/A</v>
      </c>
      <c r="I1854" s="42" t="str">
        <f ca="1"/>
        <v/>
      </c>
    </row>
    <row r="1855" spans="4:9" x14ac:dyDescent="0.25">
      <c r="D1855" s="19"/>
      <c r="G1855" s="43" t="str">
        <v/>
      </c>
      <c r="H1855" s="43" t="e">
        <f ca="1"/>
        <v>#N/A</v>
      </c>
      <c r="I1855" s="42" t="str">
        <f ca="1"/>
        <v/>
      </c>
    </row>
    <row r="1856" spans="4:9" x14ac:dyDescent="0.25">
      <c r="D1856" s="19"/>
      <c r="G1856" s="43" t="str">
        <v/>
      </c>
      <c r="H1856" s="43" t="e">
        <f ca="1"/>
        <v>#N/A</v>
      </c>
      <c r="I1856" s="42" t="str">
        <f ca="1"/>
        <v/>
      </c>
    </row>
    <row r="1857" spans="4:9" x14ac:dyDescent="0.25">
      <c r="D1857" s="19"/>
      <c r="G1857" s="43" t="str">
        <v/>
      </c>
      <c r="H1857" s="43" t="e">
        <f ca="1"/>
        <v>#N/A</v>
      </c>
      <c r="I1857" s="42" t="str">
        <f ca="1"/>
        <v/>
      </c>
    </row>
    <row r="1858" spans="4:9" x14ac:dyDescent="0.25">
      <c r="D1858" s="19"/>
      <c r="G1858" s="43" t="str">
        <v/>
      </c>
      <c r="H1858" s="43" t="e">
        <f ca="1"/>
        <v>#N/A</v>
      </c>
      <c r="I1858" s="42" t="str">
        <f ca="1"/>
        <v/>
      </c>
    </row>
    <row r="1859" spans="4:9" x14ac:dyDescent="0.25">
      <c r="D1859" s="19"/>
      <c r="G1859" s="43" t="str">
        <v/>
      </c>
      <c r="H1859" s="43" t="e">
        <f ca="1"/>
        <v>#N/A</v>
      </c>
      <c r="I1859" s="42" t="str">
        <f ca="1"/>
        <v/>
      </c>
    </row>
    <row r="1860" spans="4:9" x14ac:dyDescent="0.25">
      <c r="D1860" s="19"/>
      <c r="G1860" s="43" t="str">
        <v/>
      </c>
      <c r="H1860" s="43" t="e">
        <f ca="1"/>
        <v>#N/A</v>
      </c>
      <c r="I1860" s="42" t="str">
        <f ca="1"/>
        <v/>
      </c>
    </row>
    <row r="1861" spans="4:9" x14ac:dyDescent="0.25">
      <c r="D1861" s="19"/>
      <c r="G1861" s="43" t="str">
        <v/>
      </c>
      <c r="H1861" s="43" t="e">
        <f ca="1"/>
        <v>#N/A</v>
      </c>
      <c r="I1861" s="42" t="str">
        <f ca="1"/>
        <v/>
      </c>
    </row>
    <row r="1862" spans="4:9" x14ac:dyDescent="0.25">
      <c r="D1862" s="19"/>
      <c r="G1862" s="43" t="str">
        <v/>
      </c>
      <c r="H1862" s="43" t="e">
        <f ca="1"/>
        <v>#N/A</v>
      </c>
      <c r="I1862" s="42" t="str">
        <f ca="1"/>
        <v/>
      </c>
    </row>
    <row r="1863" spans="4:9" x14ac:dyDescent="0.25">
      <c r="D1863" s="19"/>
      <c r="G1863" s="43" t="str">
        <v/>
      </c>
      <c r="H1863" s="43" t="e">
        <f ca="1"/>
        <v>#N/A</v>
      </c>
      <c r="I1863" s="42" t="str">
        <f ca="1"/>
        <v/>
      </c>
    </row>
    <row r="1864" spans="4:9" x14ac:dyDescent="0.25">
      <c r="D1864" s="19"/>
      <c r="G1864" s="43" t="str">
        <v/>
      </c>
      <c r="H1864" s="43" t="e">
        <f ca="1"/>
        <v>#N/A</v>
      </c>
      <c r="I1864" s="42" t="str">
        <f ca="1"/>
        <v/>
      </c>
    </row>
    <row r="1865" spans="4:9" x14ac:dyDescent="0.25">
      <c r="D1865" s="19"/>
      <c r="G1865" s="43" t="str">
        <v/>
      </c>
      <c r="H1865" s="43" t="e">
        <f ca="1"/>
        <v>#N/A</v>
      </c>
      <c r="I1865" s="42" t="str">
        <f ca="1"/>
        <v/>
      </c>
    </row>
    <row r="1866" spans="4:9" x14ac:dyDescent="0.25">
      <c r="D1866" s="19"/>
      <c r="G1866" s="43" t="str">
        <v/>
      </c>
      <c r="H1866" s="43" t="e">
        <f ca="1"/>
        <v>#N/A</v>
      </c>
      <c r="I1866" s="42" t="str">
        <f ca="1"/>
        <v/>
      </c>
    </row>
    <row r="1867" spans="4:9" x14ac:dyDescent="0.25">
      <c r="D1867" s="19"/>
      <c r="G1867" s="43" t="str">
        <v/>
      </c>
      <c r="H1867" s="43" t="e">
        <f ca="1"/>
        <v>#N/A</v>
      </c>
      <c r="I1867" s="42" t="str">
        <f ca="1"/>
        <v/>
      </c>
    </row>
    <row r="1868" spans="4:9" x14ac:dyDescent="0.25">
      <c r="D1868" s="19"/>
      <c r="G1868" s="43" t="str">
        <v/>
      </c>
      <c r="H1868" s="43" t="e">
        <f ca="1"/>
        <v>#N/A</v>
      </c>
      <c r="I1868" s="42" t="str">
        <f ca="1"/>
        <v/>
      </c>
    </row>
    <row r="1869" spans="4:9" x14ac:dyDescent="0.25">
      <c r="D1869" s="19"/>
      <c r="G1869" s="43" t="str">
        <v/>
      </c>
      <c r="H1869" s="43" t="e">
        <f ca="1"/>
        <v>#N/A</v>
      </c>
      <c r="I1869" s="42" t="str">
        <f ca="1"/>
        <v/>
      </c>
    </row>
    <row r="1870" spans="4:9" x14ac:dyDescent="0.25">
      <c r="D1870" s="19"/>
      <c r="G1870" s="43" t="str">
        <v/>
      </c>
      <c r="H1870" s="43" t="e">
        <f ca="1"/>
        <v>#N/A</v>
      </c>
      <c r="I1870" s="42" t="str">
        <f ca="1"/>
        <v/>
      </c>
    </row>
    <row r="1871" spans="4:9" x14ac:dyDescent="0.25">
      <c r="D1871" s="19"/>
      <c r="G1871" s="43" t="str">
        <v/>
      </c>
      <c r="H1871" s="43" t="e">
        <f ca="1"/>
        <v>#N/A</v>
      </c>
      <c r="I1871" s="42" t="str">
        <f ca="1"/>
        <v/>
      </c>
    </row>
    <row r="1872" spans="4:9" x14ac:dyDescent="0.25">
      <c r="D1872" s="19"/>
      <c r="G1872" s="43" t="str">
        <v/>
      </c>
      <c r="H1872" s="43" t="e">
        <f ca="1"/>
        <v>#N/A</v>
      </c>
      <c r="I1872" s="42" t="str">
        <f ca="1"/>
        <v/>
      </c>
    </row>
    <row r="1873" spans="4:9" x14ac:dyDescent="0.25">
      <c r="D1873" s="19"/>
      <c r="G1873" s="43" t="str">
        <v/>
      </c>
      <c r="H1873" s="43" t="e">
        <f ca="1"/>
        <v>#N/A</v>
      </c>
      <c r="I1873" s="42" t="str">
        <f ca="1"/>
        <v/>
      </c>
    </row>
    <row r="1874" spans="4:9" x14ac:dyDescent="0.25">
      <c r="D1874" s="19"/>
      <c r="G1874" s="43" t="str">
        <v/>
      </c>
      <c r="H1874" s="43" t="e">
        <f ca="1"/>
        <v>#N/A</v>
      </c>
      <c r="I1874" s="42" t="str">
        <f ca="1"/>
        <v/>
      </c>
    </row>
    <row r="1875" spans="4:9" x14ac:dyDescent="0.25">
      <c r="D1875" s="19"/>
      <c r="G1875" s="43" t="str">
        <v/>
      </c>
      <c r="H1875" s="43" t="e">
        <f ca="1"/>
        <v>#N/A</v>
      </c>
      <c r="I1875" s="42" t="str">
        <f ca="1"/>
        <v/>
      </c>
    </row>
    <row r="1876" spans="4:9" x14ac:dyDescent="0.25">
      <c r="D1876" s="19"/>
      <c r="G1876" s="43" t="str">
        <v/>
      </c>
      <c r="H1876" s="43" t="e">
        <f ca="1"/>
        <v>#N/A</v>
      </c>
      <c r="I1876" s="42" t="str">
        <f ca="1"/>
        <v/>
      </c>
    </row>
    <row r="1877" spans="4:9" x14ac:dyDescent="0.25">
      <c r="D1877" s="19"/>
      <c r="G1877" s="43" t="str">
        <v/>
      </c>
      <c r="H1877" s="43" t="e">
        <f ca="1"/>
        <v>#N/A</v>
      </c>
      <c r="I1877" s="42" t="str">
        <f ca="1"/>
        <v/>
      </c>
    </row>
    <row r="1878" spans="4:9" x14ac:dyDescent="0.25">
      <c r="D1878" s="19"/>
      <c r="G1878" s="43" t="str">
        <v/>
      </c>
      <c r="H1878" s="43" t="e">
        <f ca="1"/>
        <v>#N/A</v>
      </c>
      <c r="I1878" s="42" t="str">
        <f ca="1"/>
        <v/>
      </c>
    </row>
    <row r="1879" spans="4:9" x14ac:dyDescent="0.25">
      <c r="D1879" s="19"/>
      <c r="G1879" s="43" t="str">
        <v/>
      </c>
      <c r="H1879" s="43" t="e">
        <f ca="1"/>
        <v>#N/A</v>
      </c>
      <c r="I1879" s="42" t="str">
        <f ca="1"/>
        <v/>
      </c>
    </row>
    <row r="1880" spans="4:9" x14ac:dyDescent="0.25">
      <c r="D1880" s="19"/>
      <c r="G1880" s="43" t="str">
        <v/>
      </c>
      <c r="H1880" s="43" t="e">
        <f ca="1"/>
        <v>#N/A</v>
      </c>
      <c r="I1880" s="42" t="str">
        <f ca="1"/>
        <v/>
      </c>
    </row>
    <row r="1881" spans="4:9" x14ac:dyDescent="0.25">
      <c r="D1881" s="19"/>
      <c r="G1881" s="43" t="str">
        <v/>
      </c>
      <c r="H1881" s="43" t="e">
        <f ca="1"/>
        <v>#N/A</v>
      </c>
      <c r="I1881" s="42" t="str">
        <f ca="1"/>
        <v/>
      </c>
    </row>
    <row r="1882" spans="4:9" x14ac:dyDescent="0.25">
      <c r="D1882" s="19"/>
      <c r="G1882" s="43" t="str">
        <v/>
      </c>
      <c r="H1882" s="43" t="e">
        <f ca="1"/>
        <v>#N/A</v>
      </c>
      <c r="I1882" s="42" t="str">
        <f ca="1"/>
        <v/>
      </c>
    </row>
    <row r="1883" spans="4:9" x14ac:dyDescent="0.25">
      <c r="D1883" s="19"/>
      <c r="G1883" s="43" t="str">
        <v/>
      </c>
      <c r="H1883" s="43" t="e">
        <f ca="1"/>
        <v>#N/A</v>
      </c>
      <c r="I1883" s="42" t="str">
        <f ca="1"/>
        <v/>
      </c>
    </row>
    <row r="1884" spans="4:9" x14ac:dyDescent="0.25">
      <c r="D1884" s="19"/>
      <c r="G1884" s="43" t="str">
        <v/>
      </c>
      <c r="H1884" s="43" t="e">
        <f ca="1"/>
        <v>#N/A</v>
      </c>
      <c r="I1884" s="42" t="str">
        <f ca="1"/>
        <v/>
      </c>
    </row>
    <row r="1885" spans="4:9" x14ac:dyDescent="0.25">
      <c r="D1885" s="19"/>
      <c r="G1885" s="43" t="str">
        <v/>
      </c>
      <c r="H1885" s="43" t="e">
        <f ca="1"/>
        <v>#N/A</v>
      </c>
      <c r="I1885" s="42" t="str">
        <f ca="1"/>
        <v/>
      </c>
    </row>
    <row r="1886" spans="4:9" x14ac:dyDescent="0.25">
      <c r="D1886" s="19"/>
      <c r="G1886" s="43" t="str">
        <v/>
      </c>
      <c r="H1886" s="43" t="e">
        <f ca="1"/>
        <v>#N/A</v>
      </c>
      <c r="I1886" s="42" t="str">
        <f ca="1"/>
        <v/>
      </c>
    </row>
    <row r="1887" spans="4:9" x14ac:dyDescent="0.25">
      <c r="D1887" s="19"/>
      <c r="G1887" s="43" t="str">
        <v/>
      </c>
      <c r="H1887" s="43" t="e">
        <f ca="1"/>
        <v>#N/A</v>
      </c>
      <c r="I1887" s="42" t="str">
        <f ca="1"/>
        <v/>
      </c>
    </row>
    <row r="1888" spans="4:9" x14ac:dyDescent="0.25">
      <c r="D1888" s="19"/>
      <c r="G1888" s="43" t="str">
        <v/>
      </c>
      <c r="H1888" s="43" t="e">
        <f ca="1"/>
        <v>#N/A</v>
      </c>
      <c r="I1888" s="42" t="str">
        <f ca="1"/>
        <v/>
      </c>
    </row>
    <row r="1889" spans="4:9" x14ac:dyDescent="0.25">
      <c r="D1889" s="19"/>
      <c r="G1889" s="43" t="str">
        <v/>
      </c>
      <c r="H1889" s="43" t="e">
        <f ca="1"/>
        <v>#N/A</v>
      </c>
      <c r="I1889" s="42" t="str">
        <f ca="1"/>
        <v/>
      </c>
    </row>
    <row r="1890" spans="4:9" x14ac:dyDescent="0.25">
      <c r="D1890" s="19"/>
      <c r="G1890" s="43" t="str">
        <v/>
      </c>
      <c r="H1890" s="43" t="e">
        <f ca="1"/>
        <v>#N/A</v>
      </c>
      <c r="I1890" s="42" t="str">
        <f ca="1"/>
        <v/>
      </c>
    </row>
    <row r="1891" spans="4:9" x14ac:dyDescent="0.25">
      <c r="D1891" s="19"/>
      <c r="G1891" s="43" t="str">
        <v/>
      </c>
      <c r="H1891" s="43" t="e">
        <f ca="1"/>
        <v>#N/A</v>
      </c>
      <c r="I1891" s="42" t="str">
        <f ca="1"/>
        <v/>
      </c>
    </row>
    <row r="1892" spans="4:9" x14ac:dyDescent="0.25">
      <c r="D1892" s="19"/>
      <c r="G1892" s="43" t="str">
        <v/>
      </c>
      <c r="H1892" s="43" t="e">
        <f ca="1"/>
        <v>#N/A</v>
      </c>
      <c r="I1892" s="42" t="str">
        <f ca="1"/>
        <v/>
      </c>
    </row>
    <row r="1893" spans="4:9" x14ac:dyDescent="0.25">
      <c r="D1893" s="19"/>
      <c r="G1893" s="43" t="str">
        <v/>
      </c>
      <c r="H1893" s="43" t="e">
        <f ca="1"/>
        <v>#N/A</v>
      </c>
      <c r="I1893" s="42" t="str">
        <f ca="1"/>
        <v/>
      </c>
    </row>
    <row r="1894" spans="4:9" x14ac:dyDescent="0.25">
      <c r="D1894" s="19"/>
      <c r="G1894" s="43" t="str">
        <v/>
      </c>
      <c r="H1894" s="43" t="e">
        <f ca="1"/>
        <v>#N/A</v>
      </c>
      <c r="I1894" s="42" t="str">
        <f ca="1"/>
        <v/>
      </c>
    </row>
    <row r="1895" spans="4:9" x14ac:dyDescent="0.25">
      <c r="D1895" s="19"/>
      <c r="G1895" s="43" t="str">
        <v/>
      </c>
      <c r="H1895" s="43" t="e">
        <f ca="1"/>
        <v>#N/A</v>
      </c>
      <c r="I1895" s="42" t="str">
        <f ca="1"/>
        <v/>
      </c>
    </row>
    <row r="1896" spans="4:9" x14ac:dyDescent="0.25">
      <c r="D1896" s="19"/>
      <c r="G1896" s="43" t="str">
        <v/>
      </c>
      <c r="H1896" s="43" t="e">
        <f ca="1"/>
        <v>#N/A</v>
      </c>
      <c r="I1896" s="42" t="str">
        <f ca="1"/>
        <v/>
      </c>
    </row>
    <row r="1897" spans="4:9" x14ac:dyDescent="0.25">
      <c r="D1897" s="19"/>
      <c r="G1897" s="43" t="str">
        <v/>
      </c>
      <c r="H1897" s="43" t="e">
        <f ca="1"/>
        <v>#N/A</v>
      </c>
      <c r="I1897" s="42" t="str">
        <f ca="1"/>
        <v/>
      </c>
    </row>
    <row r="1898" spans="4:9" x14ac:dyDescent="0.25">
      <c r="D1898" s="19"/>
      <c r="G1898" s="43" t="str">
        <v/>
      </c>
      <c r="H1898" s="43" t="e">
        <f ca="1"/>
        <v>#N/A</v>
      </c>
      <c r="I1898" s="42" t="str">
        <f ca="1"/>
        <v/>
      </c>
    </row>
    <row r="1899" spans="4:9" x14ac:dyDescent="0.25">
      <c r="D1899" s="19"/>
      <c r="G1899" s="43" t="str">
        <v/>
      </c>
      <c r="H1899" s="43" t="e">
        <f ca="1"/>
        <v>#N/A</v>
      </c>
      <c r="I1899" s="42" t="str">
        <f ca="1"/>
        <v/>
      </c>
    </row>
    <row r="1900" spans="4:9" x14ac:dyDescent="0.25">
      <c r="D1900" s="19"/>
      <c r="G1900" s="43" t="str">
        <v/>
      </c>
      <c r="H1900" s="43" t="e">
        <f ca="1"/>
        <v>#N/A</v>
      </c>
      <c r="I1900" s="42" t="str">
        <f ca="1"/>
        <v/>
      </c>
    </row>
    <row r="1901" spans="4:9" x14ac:dyDescent="0.25">
      <c r="D1901" s="19"/>
      <c r="G1901" s="43" t="str">
        <v/>
      </c>
      <c r="H1901" s="43" t="e">
        <f ca="1"/>
        <v>#N/A</v>
      </c>
      <c r="I1901" s="42" t="str">
        <f ca="1"/>
        <v/>
      </c>
    </row>
    <row r="1902" spans="4:9" x14ac:dyDescent="0.25">
      <c r="D1902" s="19"/>
      <c r="G1902" s="43" t="str">
        <v/>
      </c>
      <c r="H1902" s="43" t="e">
        <f ca="1"/>
        <v>#N/A</v>
      </c>
      <c r="I1902" s="42" t="str">
        <f ca="1"/>
        <v/>
      </c>
    </row>
    <row r="1903" spans="4:9" x14ac:dyDescent="0.25">
      <c r="D1903" s="19"/>
      <c r="G1903" s="43" t="str">
        <v/>
      </c>
      <c r="H1903" s="43" t="e">
        <f ca="1"/>
        <v>#N/A</v>
      </c>
      <c r="I1903" s="42" t="str">
        <f ca="1"/>
        <v/>
      </c>
    </row>
    <row r="1904" spans="4:9" x14ac:dyDescent="0.25">
      <c r="D1904" s="19"/>
      <c r="G1904" s="43" t="str">
        <v/>
      </c>
      <c r="H1904" s="43" t="e">
        <f ca="1"/>
        <v>#N/A</v>
      </c>
      <c r="I1904" s="42" t="str">
        <f ca="1"/>
        <v/>
      </c>
    </row>
    <row r="1905" spans="4:9" x14ac:dyDescent="0.25">
      <c r="D1905" s="19"/>
      <c r="G1905" s="43" t="str">
        <v/>
      </c>
      <c r="H1905" s="43" t="e">
        <f ca="1"/>
        <v>#N/A</v>
      </c>
      <c r="I1905" s="42" t="str">
        <f ca="1"/>
        <v/>
      </c>
    </row>
    <row r="1906" spans="4:9" x14ac:dyDescent="0.25">
      <c r="D1906" s="19"/>
      <c r="G1906" s="43" t="str">
        <v/>
      </c>
      <c r="H1906" s="43" t="e">
        <f ca="1"/>
        <v>#N/A</v>
      </c>
      <c r="I1906" s="42" t="str">
        <f ca="1"/>
        <v/>
      </c>
    </row>
    <row r="1907" spans="4:9" x14ac:dyDescent="0.25">
      <c r="D1907" s="19"/>
      <c r="G1907" s="43" t="str">
        <v/>
      </c>
      <c r="H1907" s="43" t="e">
        <f ca="1"/>
        <v>#N/A</v>
      </c>
      <c r="I1907" s="42" t="str">
        <f ca="1"/>
        <v/>
      </c>
    </row>
    <row r="1908" spans="4:9" x14ac:dyDescent="0.25">
      <c r="D1908" s="19"/>
      <c r="G1908" s="43" t="str">
        <v/>
      </c>
      <c r="H1908" s="43" t="e">
        <f ca="1"/>
        <v>#N/A</v>
      </c>
      <c r="I1908" s="42" t="str">
        <f ca="1"/>
        <v/>
      </c>
    </row>
    <row r="1909" spans="4:9" x14ac:dyDescent="0.25">
      <c r="D1909" s="19"/>
      <c r="G1909" s="43" t="str">
        <v/>
      </c>
      <c r="H1909" s="43" t="e">
        <f ca="1"/>
        <v>#N/A</v>
      </c>
      <c r="I1909" s="42" t="str">
        <f ca="1"/>
        <v/>
      </c>
    </row>
    <row r="1910" spans="4:9" x14ac:dyDescent="0.25">
      <c r="D1910" s="19"/>
      <c r="G1910" s="43" t="str">
        <v/>
      </c>
      <c r="H1910" s="43" t="e">
        <f ca="1"/>
        <v>#N/A</v>
      </c>
      <c r="I1910" s="42" t="str">
        <f ca="1"/>
        <v/>
      </c>
    </row>
    <row r="1911" spans="4:9" x14ac:dyDescent="0.25">
      <c r="D1911" s="19"/>
      <c r="G1911" s="43" t="str">
        <v/>
      </c>
      <c r="H1911" s="43" t="e">
        <f ca="1"/>
        <v>#N/A</v>
      </c>
      <c r="I1911" s="42" t="str">
        <f ca="1"/>
        <v/>
      </c>
    </row>
    <row r="1912" spans="4:9" x14ac:dyDescent="0.25">
      <c r="D1912" s="19"/>
      <c r="G1912" s="43" t="str">
        <v/>
      </c>
      <c r="H1912" s="43" t="e">
        <f ca="1"/>
        <v>#N/A</v>
      </c>
      <c r="I1912" s="42" t="str">
        <f ca="1"/>
        <v/>
      </c>
    </row>
    <row r="1913" spans="4:9" x14ac:dyDescent="0.25">
      <c r="D1913" s="19"/>
      <c r="G1913" s="43" t="str">
        <v/>
      </c>
      <c r="H1913" s="43" t="e">
        <f ca="1"/>
        <v>#N/A</v>
      </c>
      <c r="I1913" s="42" t="str">
        <f ca="1"/>
        <v/>
      </c>
    </row>
    <row r="1914" spans="4:9" x14ac:dyDescent="0.25">
      <c r="D1914" s="19"/>
      <c r="G1914" s="43" t="str">
        <v/>
      </c>
      <c r="H1914" s="43" t="e">
        <f ca="1"/>
        <v>#N/A</v>
      </c>
      <c r="I1914" s="42" t="str">
        <f ca="1"/>
        <v/>
      </c>
    </row>
    <row r="1915" spans="4:9" x14ac:dyDescent="0.25">
      <c r="D1915" s="19"/>
      <c r="G1915" s="43" t="str">
        <v/>
      </c>
      <c r="H1915" s="43" t="e">
        <f ca="1"/>
        <v>#N/A</v>
      </c>
      <c r="I1915" s="42" t="str">
        <f ca="1"/>
        <v/>
      </c>
    </row>
    <row r="1916" spans="4:9" x14ac:dyDescent="0.25">
      <c r="D1916" s="19"/>
      <c r="G1916" s="43" t="str">
        <v/>
      </c>
      <c r="H1916" s="43" t="e">
        <f ca="1"/>
        <v>#N/A</v>
      </c>
      <c r="I1916" s="42" t="str">
        <f ca="1"/>
        <v/>
      </c>
    </row>
    <row r="1917" spans="4:9" x14ac:dyDescent="0.25">
      <c r="D1917" s="19"/>
      <c r="G1917" s="43" t="str">
        <v/>
      </c>
      <c r="H1917" s="43" t="e">
        <f ca="1"/>
        <v>#N/A</v>
      </c>
      <c r="I1917" s="42" t="str">
        <f ca="1"/>
        <v/>
      </c>
    </row>
    <row r="1918" spans="4:9" x14ac:dyDescent="0.25">
      <c r="D1918" s="19"/>
      <c r="G1918" s="43" t="str">
        <v/>
      </c>
      <c r="H1918" s="43" t="e">
        <f ca="1"/>
        <v>#N/A</v>
      </c>
      <c r="I1918" s="42" t="str">
        <f ca="1"/>
        <v/>
      </c>
    </row>
    <row r="1919" spans="4:9" x14ac:dyDescent="0.25">
      <c r="D1919" s="19"/>
      <c r="G1919" s="43" t="str">
        <v/>
      </c>
      <c r="H1919" s="43" t="e">
        <f ca="1"/>
        <v>#N/A</v>
      </c>
      <c r="I1919" s="42" t="str">
        <f ca="1"/>
        <v/>
      </c>
    </row>
    <row r="1920" spans="4:9" x14ac:dyDescent="0.25">
      <c r="D1920" s="19"/>
      <c r="G1920" s="43" t="str">
        <v/>
      </c>
      <c r="H1920" s="43" t="e">
        <f ca="1"/>
        <v>#N/A</v>
      </c>
      <c r="I1920" s="42" t="str">
        <f ca="1"/>
        <v/>
      </c>
    </row>
    <row r="1921" spans="4:9" x14ac:dyDescent="0.25">
      <c r="D1921" s="19"/>
      <c r="G1921" s="43" t="str">
        <v/>
      </c>
      <c r="H1921" s="43" t="e">
        <f ca="1"/>
        <v>#N/A</v>
      </c>
      <c r="I1921" s="42" t="str">
        <f ca="1"/>
        <v/>
      </c>
    </row>
    <row r="1922" spans="4:9" x14ac:dyDescent="0.25">
      <c r="D1922" s="19"/>
      <c r="G1922" s="43" t="str">
        <v/>
      </c>
      <c r="H1922" s="43" t="e">
        <f ca="1"/>
        <v>#N/A</v>
      </c>
      <c r="I1922" s="42" t="str">
        <f ca="1"/>
        <v/>
      </c>
    </row>
    <row r="1923" spans="4:9" x14ac:dyDescent="0.25">
      <c r="D1923" s="19"/>
      <c r="G1923" s="43" t="str">
        <v/>
      </c>
      <c r="H1923" s="43" t="e">
        <f ca="1"/>
        <v>#N/A</v>
      </c>
      <c r="I1923" s="42" t="str">
        <f ca="1"/>
        <v/>
      </c>
    </row>
    <row r="1924" spans="4:9" x14ac:dyDescent="0.25">
      <c r="D1924" s="19"/>
      <c r="G1924" s="43" t="str">
        <v/>
      </c>
      <c r="H1924" s="43" t="e">
        <f ca="1"/>
        <v>#N/A</v>
      </c>
      <c r="I1924" s="42" t="str">
        <f ca="1"/>
        <v/>
      </c>
    </row>
    <row r="1925" spans="4:9" x14ac:dyDescent="0.25">
      <c r="D1925" s="19"/>
      <c r="G1925" s="43" t="str">
        <v/>
      </c>
      <c r="H1925" s="43" t="e">
        <f ca="1"/>
        <v>#N/A</v>
      </c>
      <c r="I1925" s="42" t="str">
        <f ca="1"/>
        <v/>
      </c>
    </row>
    <row r="1926" spans="4:9" x14ac:dyDescent="0.25">
      <c r="D1926" s="19"/>
      <c r="G1926" s="43" t="str">
        <v/>
      </c>
      <c r="H1926" s="43" t="e">
        <f ca="1"/>
        <v>#N/A</v>
      </c>
      <c r="I1926" s="42" t="str">
        <f ca="1"/>
        <v/>
      </c>
    </row>
    <row r="1927" spans="4:9" x14ac:dyDescent="0.25">
      <c r="D1927" s="19"/>
      <c r="G1927" s="43" t="str">
        <v/>
      </c>
      <c r="H1927" s="43" t="e">
        <f ca="1"/>
        <v>#N/A</v>
      </c>
      <c r="I1927" s="42" t="str">
        <f ca="1"/>
        <v/>
      </c>
    </row>
    <row r="1928" spans="4:9" x14ac:dyDescent="0.25">
      <c r="D1928" s="19"/>
      <c r="G1928" s="43" t="str">
        <v/>
      </c>
      <c r="H1928" s="43" t="e">
        <f ca="1"/>
        <v>#N/A</v>
      </c>
      <c r="I1928" s="42" t="str">
        <f ca="1"/>
        <v/>
      </c>
    </row>
    <row r="1929" spans="4:9" x14ac:dyDescent="0.25">
      <c r="D1929" s="19"/>
      <c r="G1929" s="43" t="str">
        <v/>
      </c>
      <c r="H1929" s="43" t="e">
        <f ca="1"/>
        <v>#N/A</v>
      </c>
      <c r="I1929" s="42" t="str">
        <f ca="1"/>
        <v/>
      </c>
    </row>
    <row r="1930" spans="4:9" x14ac:dyDescent="0.25">
      <c r="D1930" s="19"/>
      <c r="G1930" s="43" t="str">
        <v/>
      </c>
      <c r="H1930" s="43" t="e">
        <f ca="1"/>
        <v>#N/A</v>
      </c>
      <c r="I1930" s="42" t="str">
        <f ca="1"/>
        <v/>
      </c>
    </row>
    <row r="1931" spans="4:9" x14ac:dyDescent="0.25">
      <c r="D1931" s="19"/>
      <c r="G1931" s="43" t="str">
        <v/>
      </c>
      <c r="H1931" s="43" t="e">
        <f ca="1"/>
        <v>#N/A</v>
      </c>
      <c r="I1931" s="42" t="str">
        <f ca="1"/>
        <v/>
      </c>
    </row>
    <row r="1932" spans="4:9" x14ac:dyDescent="0.25">
      <c r="D1932" s="19"/>
      <c r="G1932" s="43" t="str">
        <v/>
      </c>
      <c r="H1932" s="43" t="e">
        <f ca="1"/>
        <v>#N/A</v>
      </c>
      <c r="I1932" s="42" t="str">
        <f ca="1"/>
        <v/>
      </c>
    </row>
    <row r="1933" spans="4:9" x14ac:dyDescent="0.25">
      <c r="D1933" s="19"/>
      <c r="G1933" s="43" t="str">
        <v/>
      </c>
      <c r="H1933" s="43" t="e">
        <f ca="1"/>
        <v>#N/A</v>
      </c>
      <c r="I1933" s="42" t="str">
        <f ca="1"/>
        <v/>
      </c>
    </row>
    <row r="1934" spans="4:9" x14ac:dyDescent="0.25">
      <c r="D1934" s="19"/>
      <c r="G1934" s="43" t="str">
        <v/>
      </c>
      <c r="H1934" s="43" t="e">
        <f ca="1"/>
        <v>#N/A</v>
      </c>
      <c r="I1934" s="42" t="str">
        <f ca="1"/>
        <v/>
      </c>
    </row>
    <row r="1935" spans="4:9" x14ac:dyDescent="0.25">
      <c r="D1935" s="19"/>
      <c r="G1935" s="43" t="str">
        <v/>
      </c>
      <c r="H1935" s="43" t="e">
        <f ca="1"/>
        <v>#N/A</v>
      </c>
      <c r="I1935" s="42" t="str">
        <f ca="1"/>
        <v/>
      </c>
    </row>
    <row r="1936" spans="4:9" x14ac:dyDescent="0.25">
      <c r="D1936" s="19"/>
      <c r="G1936" s="43" t="str">
        <v/>
      </c>
      <c r="H1936" s="43" t="e">
        <f ca="1"/>
        <v>#N/A</v>
      </c>
      <c r="I1936" s="42" t="str">
        <f ca="1"/>
        <v/>
      </c>
    </row>
    <row r="1937" spans="4:9" x14ac:dyDescent="0.25">
      <c r="D1937" s="19"/>
      <c r="G1937" s="43" t="str">
        <v/>
      </c>
      <c r="H1937" s="43" t="e">
        <f ca="1"/>
        <v>#N/A</v>
      </c>
      <c r="I1937" s="42" t="str">
        <f ca="1"/>
        <v/>
      </c>
    </row>
    <row r="1938" spans="4:9" x14ac:dyDescent="0.25">
      <c r="D1938" s="19"/>
      <c r="G1938" s="43" t="str">
        <v/>
      </c>
      <c r="H1938" s="43" t="e">
        <f ca="1"/>
        <v>#N/A</v>
      </c>
      <c r="I1938" s="42" t="str">
        <f ca="1"/>
        <v/>
      </c>
    </row>
    <row r="1939" spans="4:9" x14ac:dyDescent="0.25">
      <c r="D1939" s="19"/>
      <c r="G1939" s="43" t="str">
        <v/>
      </c>
      <c r="H1939" s="43" t="e">
        <f ca="1"/>
        <v>#N/A</v>
      </c>
      <c r="I1939" s="42" t="str">
        <f ca="1"/>
        <v/>
      </c>
    </row>
    <row r="1940" spans="4:9" x14ac:dyDescent="0.25">
      <c r="D1940" s="19"/>
      <c r="G1940" s="43" t="str">
        <v/>
      </c>
      <c r="H1940" s="43" t="e">
        <f ca="1"/>
        <v>#N/A</v>
      </c>
      <c r="I1940" s="42" t="str">
        <f ca="1"/>
        <v/>
      </c>
    </row>
    <row r="1941" spans="4:9" x14ac:dyDescent="0.25">
      <c r="D1941" s="19"/>
      <c r="G1941" s="43" t="str">
        <v/>
      </c>
      <c r="H1941" s="43" t="e">
        <f ca="1"/>
        <v>#N/A</v>
      </c>
      <c r="I1941" s="42" t="str">
        <f ca="1"/>
        <v/>
      </c>
    </row>
    <row r="1942" spans="4:9" x14ac:dyDescent="0.25">
      <c r="D1942" s="19"/>
      <c r="G1942" s="43" t="str">
        <v/>
      </c>
      <c r="H1942" s="43" t="e">
        <f ca="1"/>
        <v>#N/A</v>
      </c>
      <c r="I1942" s="42" t="str">
        <f ca="1"/>
        <v/>
      </c>
    </row>
    <row r="1943" spans="4:9" x14ac:dyDescent="0.25">
      <c r="D1943" s="19"/>
      <c r="G1943" s="43" t="str">
        <v/>
      </c>
      <c r="H1943" s="43" t="e">
        <f ca="1"/>
        <v>#N/A</v>
      </c>
      <c r="I1943" s="42" t="str">
        <f ca="1"/>
        <v/>
      </c>
    </row>
    <row r="1944" spans="4:9" x14ac:dyDescent="0.25">
      <c r="D1944" s="19"/>
      <c r="G1944" s="43" t="str">
        <v/>
      </c>
      <c r="H1944" s="43" t="e">
        <f ca="1"/>
        <v>#N/A</v>
      </c>
      <c r="I1944" s="42" t="str">
        <f ca="1"/>
        <v/>
      </c>
    </row>
    <row r="1945" spans="4:9" x14ac:dyDescent="0.25">
      <c r="D1945" s="19"/>
      <c r="G1945" s="43" t="str">
        <v/>
      </c>
      <c r="H1945" s="43" t="e">
        <f ca="1"/>
        <v>#N/A</v>
      </c>
      <c r="I1945" s="42" t="str">
        <f ca="1"/>
        <v/>
      </c>
    </row>
    <row r="1946" spans="4:9" x14ac:dyDescent="0.25">
      <c r="D1946" s="19"/>
      <c r="G1946" s="43" t="str">
        <v/>
      </c>
      <c r="H1946" s="43" t="e">
        <f ca="1"/>
        <v>#N/A</v>
      </c>
      <c r="I1946" s="42" t="str">
        <f ca="1"/>
        <v/>
      </c>
    </row>
    <row r="1947" spans="4:9" x14ac:dyDescent="0.25">
      <c r="D1947" s="19"/>
      <c r="G1947" s="43" t="str">
        <v/>
      </c>
      <c r="H1947" s="43" t="e">
        <f ca="1"/>
        <v>#N/A</v>
      </c>
      <c r="I1947" s="42" t="str">
        <f ca="1"/>
        <v/>
      </c>
    </row>
    <row r="1948" spans="4:9" x14ac:dyDescent="0.25">
      <c r="D1948" s="19"/>
      <c r="G1948" s="43" t="str">
        <v/>
      </c>
      <c r="H1948" s="43" t="e">
        <f ca="1"/>
        <v>#N/A</v>
      </c>
      <c r="I1948" s="42" t="str">
        <f ca="1"/>
        <v/>
      </c>
    </row>
    <row r="1949" spans="4:9" x14ac:dyDescent="0.25">
      <c r="D1949" s="19"/>
      <c r="G1949" s="43" t="str">
        <v/>
      </c>
      <c r="H1949" s="43" t="e">
        <f ca="1"/>
        <v>#N/A</v>
      </c>
      <c r="I1949" s="42" t="str">
        <f ca="1"/>
        <v/>
      </c>
    </row>
    <row r="1950" spans="4:9" x14ac:dyDescent="0.25">
      <c r="D1950" s="19"/>
      <c r="G1950" s="43" t="str">
        <v/>
      </c>
      <c r="H1950" s="43" t="e">
        <f ca="1"/>
        <v>#N/A</v>
      </c>
      <c r="I1950" s="42" t="str">
        <f ca="1"/>
        <v/>
      </c>
    </row>
    <row r="1951" spans="4:9" x14ac:dyDescent="0.25">
      <c r="D1951" s="19"/>
      <c r="G1951" s="43" t="str">
        <v/>
      </c>
      <c r="H1951" s="43" t="e">
        <f ca="1"/>
        <v>#N/A</v>
      </c>
      <c r="I1951" s="42" t="str">
        <f ca="1"/>
        <v/>
      </c>
    </row>
    <row r="1952" spans="4:9" x14ac:dyDescent="0.25">
      <c r="D1952" s="19"/>
      <c r="G1952" s="43" t="str">
        <v/>
      </c>
      <c r="H1952" s="43" t="e">
        <f ca="1"/>
        <v>#N/A</v>
      </c>
      <c r="I1952" s="42" t="str">
        <f ca="1"/>
        <v/>
      </c>
    </row>
    <row r="1953" spans="4:9" x14ac:dyDescent="0.25">
      <c r="D1953" s="19"/>
      <c r="G1953" s="43" t="str">
        <v/>
      </c>
      <c r="H1953" s="43" t="e">
        <f ca="1"/>
        <v>#N/A</v>
      </c>
      <c r="I1953" s="42" t="str">
        <f ca="1"/>
        <v/>
      </c>
    </row>
    <row r="1954" spans="4:9" x14ac:dyDescent="0.25">
      <c r="D1954" s="19"/>
      <c r="G1954" s="43" t="str">
        <v/>
      </c>
      <c r="H1954" s="43" t="e">
        <f ca="1"/>
        <v>#N/A</v>
      </c>
      <c r="I1954" s="42" t="str">
        <f ca="1"/>
        <v/>
      </c>
    </row>
    <row r="1955" spans="4:9" x14ac:dyDescent="0.25">
      <c r="D1955" s="19"/>
      <c r="G1955" s="43" t="str">
        <v/>
      </c>
      <c r="H1955" s="43" t="e">
        <f ca="1"/>
        <v>#N/A</v>
      </c>
      <c r="I1955" s="42" t="str">
        <f ca="1"/>
        <v/>
      </c>
    </row>
    <row r="1956" spans="4:9" x14ac:dyDescent="0.25">
      <c r="D1956" s="19"/>
      <c r="G1956" s="43" t="str">
        <v/>
      </c>
      <c r="H1956" s="43" t="e">
        <f ca="1"/>
        <v>#N/A</v>
      </c>
      <c r="I1956" s="121" t="str">
        <f ca="1">IF(OR($I$1955=$N$106,$I$1955=""),"",$N$106)</f>
        <v/>
      </c>
    </row>
    <row r="1957" spans="4:9" x14ac:dyDescent="0.25">
      <c r="D1957" s="19"/>
      <c r="G1957" s="43" t="str">
        <v/>
      </c>
      <c r="H1957" s="43" t="e">
        <f ca="1"/>
        <v>#N/A</v>
      </c>
    </row>
    <row r="1958" spans="4:9" x14ac:dyDescent="0.25">
      <c r="D1958" s="19"/>
      <c r="G1958" s="43" t="str">
        <v/>
      </c>
      <c r="H1958" s="43" t="e">
        <f ca="1"/>
        <v>#N/A</v>
      </c>
    </row>
    <row r="1959" spans="4:9" x14ac:dyDescent="0.25">
      <c r="D1959" s="19"/>
      <c r="G1959" s="43" t="str">
        <v/>
      </c>
      <c r="H1959" s="43" t="e">
        <f ca="1"/>
        <v>#N/A</v>
      </c>
    </row>
    <row r="1960" spans="4:9" x14ac:dyDescent="0.25">
      <c r="D1960" s="19"/>
      <c r="G1960" s="43" t="str">
        <v/>
      </c>
      <c r="H1960" s="43" t="e">
        <f ca="1"/>
        <v>#N/A</v>
      </c>
    </row>
    <row r="1961" spans="4:9" x14ac:dyDescent="0.25">
      <c r="D1961" s="19"/>
      <c r="G1961" s="43" t="str">
        <v/>
      </c>
      <c r="H1961" s="43" t="e">
        <f ca="1"/>
        <v>#N/A</v>
      </c>
    </row>
    <row r="1962" spans="4:9" x14ac:dyDescent="0.25">
      <c r="D1962" s="19"/>
      <c r="G1962" s="43" t="str">
        <v/>
      </c>
      <c r="H1962" s="43" t="e">
        <f ca="1"/>
        <v>#N/A</v>
      </c>
    </row>
    <row r="1963" spans="4:9" x14ac:dyDescent="0.25">
      <c r="D1963" s="19"/>
      <c r="G1963" s="43" t="str">
        <v/>
      </c>
      <c r="H1963" s="43" t="e">
        <f ca="1"/>
        <v>#N/A</v>
      </c>
    </row>
    <row r="1964" spans="4:9" x14ac:dyDescent="0.25">
      <c r="D1964" s="19"/>
      <c r="G1964" s="43" t="str">
        <v/>
      </c>
      <c r="H1964" s="43" t="e">
        <f ca="1"/>
        <v>#N/A</v>
      </c>
    </row>
    <row r="1965" spans="4:9" x14ac:dyDescent="0.25">
      <c r="D1965" s="19"/>
      <c r="G1965" s="43" t="str">
        <v/>
      </c>
      <c r="H1965" s="43" t="e">
        <f ca="1"/>
        <v>#N/A</v>
      </c>
    </row>
    <row r="1966" spans="4:9" x14ac:dyDescent="0.25">
      <c r="D1966" s="19"/>
      <c r="G1966" s="43" t="str">
        <v/>
      </c>
      <c r="H1966" s="43" t="e">
        <f ca="1"/>
        <v>#N/A</v>
      </c>
    </row>
    <row r="1967" spans="4:9" x14ac:dyDescent="0.25">
      <c r="D1967" s="19"/>
      <c r="G1967" s="43" t="str">
        <v/>
      </c>
      <c r="H1967" s="43" t="e">
        <f ca="1"/>
        <v>#N/A</v>
      </c>
    </row>
    <row r="1968" spans="4:9" x14ac:dyDescent="0.25">
      <c r="D1968" s="19"/>
      <c r="G1968" s="43" t="str">
        <v/>
      </c>
      <c r="H1968" s="43" t="e">
        <f ca="1"/>
        <v>#N/A</v>
      </c>
    </row>
    <row r="1969" spans="4:8" x14ac:dyDescent="0.25">
      <c r="D1969" s="19"/>
      <c r="G1969" s="43" t="str">
        <v/>
      </c>
      <c r="H1969" s="43" t="e">
        <f ca="1"/>
        <v>#N/A</v>
      </c>
    </row>
    <row r="1970" spans="4:8" x14ac:dyDescent="0.25">
      <c r="D1970" s="19"/>
      <c r="G1970" s="43" t="str">
        <v/>
      </c>
      <c r="H1970" s="43" t="e">
        <f ca="1"/>
        <v>#N/A</v>
      </c>
    </row>
    <row r="1971" spans="4:8" x14ac:dyDescent="0.25">
      <c r="D1971" s="19"/>
      <c r="G1971" s="43" t="str">
        <v/>
      </c>
      <c r="H1971" s="43" t="e">
        <f ca="1"/>
        <v>#N/A</v>
      </c>
    </row>
    <row r="1972" spans="4:8" x14ac:dyDescent="0.25">
      <c r="D1972" s="19"/>
      <c r="G1972" s="43" t="str">
        <v/>
      </c>
      <c r="H1972" s="43" t="e">
        <f ca="1"/>
        <v>#N/A</v>
      </c>
    </row>
    <row r="1973" spans="4:8" x14ac:dyDescent="0.25">
      <c r="D1973" s="19"/>
      <c r="G1973" s="43" t="str">
        <v/>
      </c>
      <c r="H1973" s="43" t="e">
        <f ca="1"/>
        <v>#N/A</v>
      </c>
    </row>
    <row r="1974" spans="4:8" x14ac:dyDescent="0.25">
      <c r="D1974" s="19"/>
      <c r="G1974" s="43" t="str">
        <v/>
      </c>
      <c r="H1974" s="43" t="e">
        <f ca="1"/>
        <v>#N/A</v>
      </c>
    </row>
    <row r="1975" spans="4:8" x14ac:dyDescent="0.25">
      <c r="D1975" s="19"/>
      <c r="G1975" s="43" t="str">
        <v/>
      </c>
      <c r="H1975" s="43" t="e">
        <f ca="1"/>
        <v>#N/A</v>
      </c>
    </row>
    <row r="1976" spans="4:8" x14ac:dyDescent="0.25">
      <c r="D1976" s="19"/>
      <c r="G1976" s="43" t="str">
        <v/>
      </c>
      <c r="H1976" s="43" t="e">
        <f ca="1"/>
        <v>#N/A</v>
      </c>
    </row>
    <row r="1977" spans="4:8" x14ac:dyDescent="0.25">
      <c r="D1977" s="19"/>
      <c r="G1977" s="43" t="str">
        <v/>
      </c>
      <c r="H1977" s="43" t="e">
        <f ca="1"/>
        <v>#N/A</v>
      </c>
    </row>
    <row r="1978" spans="4:8" x14ac:dyDescent="0.25">
      <c r="D1978" s="19"/>
      <c r="G1978" s="43" t="str">
        <v/>
      </c>
      <c r="H1978" s="43" t="e">
        <f ca="1"/>
        <v>#N/A</v>
      </c>
    </row>
    <row r="1979" spans="4:8" x14ac:dyDescent="0.25">
      <c r="D1979" s="19"/>
      <c r="G1979" s="43" t="str">
        <v/>
      </c>
      <c r="H1979" s="43" t="e">
        <f ca="1"/>
        <v>#N/A</v>
      </c>
    </row>
    <row r="1980" spans="4:8" x14ac:dyDescent="0.25">
      <c r="D1980" s="19"/>
      <c r="G1980" s="43" t="str">
        <v/>
      </c>
      <c r="H1980" s="43" t="e">
        <f ca="1"/>
        <v>#N/A</v>
      </c>
    </row>
    <row r="1981" spans="4:8" x14ac:dyDescent="0.25">
      <c r="D1981" s="19"/>
      <c r="G1981" s="43" t="str">
        <v/>
      </c>
      <c r="H1981" s="43" t="e">
        <f ca="1"/>
        <v>#N/A</v>
      </c>
    </row>
    <row r="1982" spans="4:8" x14ac:dyDescent="0.25">
      <c r="D1982" s="19"/>
      <c r="G1982" s="43" t="str">
        <v/>
      </c>
      <c r="H1982" s="43" t="e">
        <f ca="1"/>
        <v>#N/A</v>
      </c>
    </row>
    <row r="1983" spans="4:8" x14ac:dyDescent="0.25">
      <c r="D1983" s="19"/>
      <c r="G1983" s="43" t="str">
        <v/>
      </c>
      <c r="H1983" s="43" t="e">
        <f ca="1"/>
        <v>#N/A</v>
      </c>
    </row>
    <row r="1984" spans="4:8" x14ac:dyDescent="0.25">
      <c r="D1984" s="19"/>
      <c r="G1984" s="43" t="str">
        <v/>
      </c>
      <c r="H1984" s="43" t="e">
        <f ca="1"/>
        <v>#N/A</v>
      </c>
    </row>
    <row r="1985" spans="4:8" x14ac:dyDescent="0.25">
      <c r="D1985" s="19"/>
      <c r="G1985" s="43" t="str">
        <v/>
      </c>
      <c r="H1985" s="43" t="e">
        <f ca="1"/>
        <v>#N/A</v>
      </c>
    </row>
    <row r="1986" spans="4:8" x14ac:dyDescent="0.25">
      <c r="D1986" s="19"/>
      <c r="G1986" s="43" t="str">
        <v/>
      </c>
      <c r="H1986" s="43" t="e">
        <f ca="1"/>
        <v>#N/A</v>
      </c>
    </row>
    <row r="1987" spans="4:8" x14ac:dyDescent="0.25">
      <c r="D1987" s="19"/>
      <c r="G1987" s="43" t="str">
        <v/>
      </c>
      <c r="H1987" s="43" t="e">
        <f ca="1"/>
        <v>#N/A</v>
      </c>
    </row>
    <row r="1988" spans="4:8" x14ac:dyDescent="0.25">
      <c r="D1988" s="19"/>
      <c r="G1988" s="43" t="str">
        <v/>
      </c>
      <c r="H1988" s="43" t="e">
        <f ca="1"/>
        <v>#N/A</v>
      </c>
    </row>
    <row r="1989" spans="4:8" x14ac:dyDescent="0.25">
      <c r="D1989" s="19"/>
      <c r="G1989" s="43" t="str">
        <v/>
      </c>
      <c r="H1989" s="43" t="e">
        <f ca="1"/>
        <v>#N/A</v>
      </c>
    </row>
    <row r="1990" spans="4:8" x14ac:dyDescent="0.25">
      <c r="D1990" s="19"/>
      <c r="G1990" s="43" t="str">
        <v/>
      </c>
      <c r="H1990" s="43" t="e">
        <f ca="1"/>
        <v>#N/A</v>
      </c>
    </row>
    <row r="1991" spans="4:8" x14ac:dyDescent="0.25">
      <c r="D1991" s="19"/>
      <c r="G1991" s="43" t="str">
        <v/>
      </c>
      <c r="H1991" s="43" t="e">
        <f ca="1"/>
        <v>#N/A</v>
      </c>
    </row>
    <row r="1992" spans="4:8" x14ac:dyDescent="0.25">
      <c r="D1992" s="19"/>
      <c r="G1992" s="43" t="str">
        <v/>
      </c>
      <c r="H1992" s="43" t="e">
        <f ca="1"/>
        <v>#N/A</v>
      </c>
    </row>
    <row r="1993" spans="4:8" x14ac:dyDescent="0.25">
      <c r="D1993" s="19"/>
      <c r="G1993" s="43" t="str">
        <v/>
      </c>
      <c r="H1993" s="43" t="e">
        <f ca="1"/>
        <v>#N/A</v>
      </c>
    </row>
    <row r="1994" spans="4:8" x14ac:dyDescent="0.25">
      <c r="D1994" s="19"/>
      <c r="G1994" s="43" t="str">
        <v/>
      </c>
      <c r="H1994" s="43" t="e">
        <f ca="1"/>
        <v>#N/A</v>
      </c>
    </row>
    <row r="1995" spans="4:8" x14ac:dyDescent="0.25">
      <c r="D1995" s="19"/>
      <c r="G1995" s="43" t="str">
        <v/>
      </c>
      <c r="H1995" s="43" t="e">
        <f ca="1"/>
        <v>#N/A</v>
      </c>
    </row>
    <row r="1996" spans="4:8" x14ac:dyDescent="0.25">
      <c r="D1996" s="19"/>
      <c r="G1996" s="42" t="str">
        <v/>
      </c>
      <c r="H1996" s="42" t="e">
        <f ca="1"/>
        <v>#N/A</v>
      </c>
    </row>
    <row r="1997" spans="4:8" x14ac:dyDescent="0.25">
      <c r="D1997" s="19"/>
      <c r="G1997" s="42" t="str">
        <v/>
      </c>
      <c r="H1997" s="42" t="e">
        <f ca="1"/>
        <v>#N/A</v>
      </c>
    </row>
    <row r="1998" spans="4:8" x14ac:dyDescent="0.25">
      <c r="D1998" s="19"/>
      <c r="G1998" s="42" t="str">
        <v/>
      </c>
      <c r="H1998" s="42" t="e">
        <f ca="1"/>
        <v>#N/A</v>
      </c>
    </row>
    <row r="1999" spans="4:8" x14ac:dyDescent="0.25">
      <c r="D1999" s="19"/>
      <c r="G1999" s="42" t="str">
        <v/>
      </c>
      <c r="H1999" s="42" t="e">
        <f ca="1"/>
        <v>#N/A</v>
      </c>
    </row>
    <row r="2000" spans="4:8" x14ac:dyDescent="0.25">
      <c r="D2000" s="19"/>
      <c r="G2000" s="42" t="str">
        <v/>
      </c>
      <c r="H2000" s="42" t="e">
        <f ca="1"/>
        <v>#N/A</v>
      </c>
    </row>
    <row r="2001" spans="4:8" x14ac:dyDescent="0.25">
      <c r="D2001" s="19"/>
      <c r="G2001" s="114" t="str">
        <v/>
      </c>
      <c r="H2001" s="114" t="e">
        <f ca="1"/>
        <v>#N/A</v>
      </c>
    </row>
    <row r="2002" spans="4:8" x14ac:dyDescent="0.25">
      <c r="D2002" s="19"/>
      <c r="G2002" s="128"/>
    </row>
    <row r="2003" spans="4:8" x14ac:dyDescent="0.25">
      <c r="D2003" s="19"/>
      <c r="G2003" s="128"/>
    </row>
    <row r="2004" spans="4:8" hidden="1" x14ac:dyDescent="0.25"/>
    <row r="2005" spans="4:8" hidden="1" x14ac:dyDescent="0.25"/>
    <row r="2006" spans="4:8" hidden="1" x14ac:dyDescent="0.25"/>
    <row r="2007" spans="4:8" hidden="1" x14ac:dyDescent="0.25"/>
    <row r="2008" spans="4:8" hidden="1" x14ac:dyDescent="0.25"/>
    <row r="2009" spans="4:8" hidden="1" x14ac:dyDescent="0.25"/>
    <row r="2010" spans="4:8" hidden="1" x14ac:dyDescent="0.25"/>
    <row r="2011" spans="4:8" hidden="1" x14ac:dyDescent="0.25"/>
    <row r="2012" spans="4:8" hidden="1" x14ac:dyDescent="0.25"/>
    <row r="2013" spans="4:8" hidden="1" x14ac:dyDescent="0.25"/>
    <row r="2014" spans="4:8" hidden="1" x14ac:dyDescent="0.25"/>
    <row r="2015" spans="4:8" hidden="1" x14ac:dyDescent="0.25"/>
    <row r="2016" spans="4:8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</sheetData>
  <conditionalFormatting sqref="P35:P54">
    <cfRule type="cellIs" dxfId="3" priority="5" stopIfTrue="1" operator="equal">
      <formula>"Sell"</formula>
    </cfRule>
  </conditionalFormatting>
  <conditionalFormatting sqref="B6:B29 B3 M1:N1">
    <cfRule type="expression" dxfId="2" priority="4" stopIfTrue="1">
      <formula>AND(OR($K$37&lt;&gt;"",$K$41&lt;&gt;"",$K$43&lt;&gt;""),$B$3=TODAY()+1)</formula>
    </cfRule>
  </conditionalFormatting>
  <dataValidations disablePrompts="1" count="1">
    <dataValidation type="list" allowBlank="1" showInputMessage="1" showErrorMessage="1" sqref="B2">
      <formula1>DAM</formula1>
    </dataValidation>
  </dataValidations>
  <pageMargins left="0.7" right="0.7" top="0.75" bottom="0.75" header="0.3" footer="0.3"/>
  <pageSetup paperSize="9" orientation="portrait" r:id="rId1"/>
  <ignoredErrors>
    <ignoredError sqref="Q35:Q54" formulaRange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00"/>
  <sheetViews>
    <sheetView workbookViewId="0">
      <selection activeCell="J10" sqref="J10"/>
    </sheetView>
  </sheetViews>
  <sheetFormatPr defaultRowHeight="12.75" x14ac:dyDescent="0.2"/>
  <cols>
    <col min="1" max="1" width="17.5703125" style="132" customWidth="1"/>
    <col min="2" max="2" width="15.85546875" style="132" bestFit="1" customWidth="1"/>
    <col min="3" max="3" width="11.28515625" style="132" bestFit="1" customWidth="1"/>
    <col min="4" max="4" width="13.85546875" style="132" bestFit="1" customWidth="1"/>
    <col min="5" max="5" width="8.85546875" style="132" bestFit="1" customWidth="1"/>
    <col min="6" max="6" width="10.5703125" style="132" bestFit="1" customWidth="1"/>
    <col min="7" max="7" width="12.7109375" style="132" bestFit="1" customWidth="1"/>
    <col min="8" max="8" width="8.7109375" style="132" customWidth="1"/>
    <col min="9" max="9" width="9.140625" style="132"/>
    <col min="10" max="10" width="10.85546875" style="132" customWidth="1"/>
    <col min="11" max="11" width="9.140625" style="132"/>
    <col min="12" max="12" width="10.140625" style="132" customWidth="1"/>
    <col min="13" max="15" width="9.140625" style="132"/>
    <col min="16" max="16" width="8.7109375" style="132" customWidth="1"/>
    <col min="17" max="17" width="14.5703125" style="132" customWidth="1"/>
    <col min="18" max="19" width="9.140625" style="132"/>
    <col min="20" max="20" width="14.85546875" style="132" customWidth="1"/>
    <col min="21" max="16384" width="9.140625" style="132"/>
  </cols>
  <sheetData>
    <row r="1" spans="1:16" x14ac:dyDescent="0.2">
      <c r="A1" s="130" t="s">
        <v>47</v>
      </c>
      <c r="B1" s="131"/>
      <c r="C1" s="130"/>
      <c r="D1" s="130" t="s">
        <v>171</v>
      </c>
      <c r="E1" s="130"/>
      <c r="F1" s="130"/>
      <c r="G1" s="130"/>
      <c r="H1" s="130"/>
      <c r="I1" s="130"/>
      <c r="J1" s="130"/>
      <c r="K1" s="130"/>
      <c r="L1" s="130"/>
    </row>
    <row r="2" spans="1:16" x14ac:dyDescent="0.2">
      <c r="A2" s="130" t="s">
        <v>48</v>
      </c>
      <c r="B2" s="131">
        <v>42943</v>
      </c>
      <c r="C2" s="130"/>
      <c r="D2" s="130" t="s">
        <v>49</v>
      </c>
      <c r="E2" s="130"/>
      <c r="F2" s="130"/>
      <c r="G2" s="130" t="s">
        <v>50</v>
      </c>
      <c r="H2" s="130"/>
      <c r="I2" s="130"/>
      <c r="J2" s="130" t="s">
        <v>51</v>
      </c>
      <c r="K2" s="130"/>
      <c r="L2" s="130"/>
    </row>
    <row r="3" spans="1:16" x14ac:dyDescent="0.2">
      <c r="A3" s="130"/>
      <c r="B3" s="131" t="s">
        <v>52</v>
      </c>
      <c r="C3" s="130" t="s">
        <v>53</v>
      </c>
      <c r="D3" s="130" t="s">
        <v>54</v>
      </c>
      <c r="E3" s="130" t="s">
        <v>55</v>
      </c>
      <c r="F3" s="130" t="s">
        <v>56</v>
      </c>
      <c r="G3" s="130" t="s">
        <v>54</v>
      </c>
      <c r="H3" s="130" t="s">
        <v>55</v>
      </c>
      <c r="I3" s="130" t="s">
        <v>56</v>
      </c>
      <c r="J3" s="130" t="s">
        <v>54</v>
      </c>
      <c r="K3" s="130" t="s">
        <v>55</v>
      </c>
      <c r="L3" s="130" t="s">
        <v>56</v>
      </c>
      <c r="O3" s="133" t="s">
        <v>1</v>
      </c>
    </row>
    <row r="4" spans="1:16" x14ac:dyDescent="0.2">
      <c r="A4" s="130" t="s">
        <v>57</v>
      </c>
      <c r="B4" s="130">
        <v>57.97</v>
      </c>
      <c r="C4" s="130">
        <v>2470.1999999999998</v>
      </c>
      <c r="D4" s="130">
        <v>-46.7</v>
      </c>
      <c r="E4" s="130">
        <v>0</v>
      </c>
      <c r="F4" s="130">
        <v>46.7</v>
      </c>
      <c r="G4" s="130">
        <v>-46.7</v>
      </c>
      <c r="H4" s="130">
        <v>0</v>
      </c>
      <c r="I4" s="130">
        <v>46.7</v>
      </c>
      <c r="J4" s="130">
        <v>0</v>
      </c>
      <c r="K4" s="130">
        <v>0</v>
      </c>
      <c r="L4" s="130">
        <v>0</v>
      </c>
    </row>
    <row r="5" spans="1:16" x14ac:dyDescent="0.2">
      <c r="A5" s="130" t="s">
        <v>58</v>
      </c>
      <c r="B5" s="130">
        <v>55.03</v>
      </c>
      <c r="C5" s="130">
        <v>2757.9</v>
      </c>
      <c r="D5" s="130">
        <v>-130</v>
      </c>
      <c r="E5" s="130">
        <v>0</v>
      </c>
      <c r="F5" s="130">
        <v>130</v>
      </c>
      <c r="G5" s="130">
        <v>-130</v>
      </c>
      <c r="H5" s="130">
        <v>0</v>
      </c>
      <c r="I5" s="130">
        <v>130</v>
      </c>
      <c r="J5" s="130">
        <v>0</v>
      </c>
      <c r="K5" s="130">
        <v>0</v>
      </c>
      <c r="L5" s="130">
        <v>0</v>
      </c>
    </row>
    <row r="6" spans="1:16" x14ac:dyDescent="0.2">
      <c r="A6" s="130" t="s">
        <v>59</v>
      </c>
      <c r="B6" s="130">
        <v>50.43</v>
      </c>
      <c r="C6" s="130">
        <v>2256.6</v>
      </c>
      <c r="D6" s="130">
        <v>-130</v>
      </c>
      <c r="E6" s="130">
        <v>0</v>
      </c>
      <c r="F6" s="130">
        <v>130</v>
      </c>
      <c r="G6" s="130">
        <v>-130</v>
      </c>
      <c r="H6" s="130">
        <v>0</v>
      </c>
      <c r="I6" s="130">
        <v>130</v>
      </c>
      <c r="J6" s="130">
        <v>0</v>
      </c>
      <c r="K6" s="130">
        <v>0</v>
      </c>
      <c r="L6" s="130">
        <v>0</v>
      </c>
    </row>
    <row r="7" spans="1:16" x14ac:dyDescent="0.2">
      <c r="A7" s="130" t="s">
        <v>60</v>
      </c>
      <c r="B7" s="130">
        <v>48.01</v>
      </c>
      <c r="C7" s="130">
        <v>2509.5</v>
      </c>
      <c r="D7" s="130">
        <v>-130</v>
      </c>
      <c r="E7" s="130">
        <v>0</v>
      </c>
      <c r="F7" s="130">
        <v>130</v>
      </c>
      <c r="G7" s="130">
        <v>-130</v>
      </c>
      <c r="H7" s="130">
        <v>0</v>
      </c>
      <c r="I7" s="130">
        <v>130</v>
      </c>
      <c r="J7" s="130">
        <v>0</v>
      </c>
      <c r="K7" s="130">
        <v>0</v>
      </c>
      <c r="L7" s="130">
        <v>0</v>
      </c>
    </row>
    <row r="8" spans="1:16" x14ac:dyDescent="0.2">
      <c r="A8" s="130" t="s">
        <v>61</v>
      </c>
      <c r="B8" s="130">
        <v>46.91</v>
      </c>
      <c r="C8" s="130">
        <v>2561.8000000000002</v>
      </c>
      <c r="D8" s="130">
        <v>-130</v>
      </c>
      <c r="E8" s="130">
        <v>0</v>
      </c>
      <c r="F8" s="130">
        <v>130</v>
      </c>
      <c r="G8" s="130">
        <v>-130</v>
      </c>
      <c r="H8" s="130">
        <v>0</v>
      </c>
      <c r="I8" s="130">
        <v>130</v>
      </c>
      <c r="J8" s="130">
        <v>0</v>
      </c>
      <c r="K8" s="130">
        <v>0</v>
      </c>
      <c r="L8" s="130">
        <v>0</v>
      </c>
      <c r="O8" s="133" t="s">
        <v>11</v>
      </c>
    </row>
    <row r="9" spans="1:16" x14ac:dyDescent="0.2">
      <c r="A9" s="130" t="s">
        <v>62</v>
      </c>
      <c r="B9" s="130">
        <v>51.1</v>
      </c>
      <c r="C9" s="130">
        <v>2568.4</v>
      </c>
      <c r="D9" s="130">
        <v>-30</v>
      </c>
      <c r="E9" s="130">
        <v>0</v>
      </c>
      <c r="F9" s="130">
        <v>30</v>
      </c>
      <c r="G9" s="130">
        <v>-30</v>
      </c>
      <c r="H9" s="130">
        <v>0</v>
      </c>
      <c r="I9" s="130">
        <v>30</v>
      </c>
      <c r="J9" s="130">
        <v>0</v>
      </c>
      <c r="K9" s="130">
        <v>0</v>
      </c>
      <c r="L9" s="130">
        <v>0</v>
      </c>
    </row>
    <row r="10" spans="1:16" x14ac:dyDescent="0.2">
      <c r="A10" s="130" t="s">
        <v>63</v>
      </c>
      <c r="B10" s="130">
        <v>71.95</v>
      </c>
      <c r="C10" s="130">
        <v>2347.1</v>
      </c>
      <c r="D10" s="130">
        <v>20</v>
      </c>
      <c r="E10" s="130">
        <v>20</v>
      </c>
      <c r="F10" s="130">
        <v>0</v>
      </c>
      <c r="G10" s="130">
        <v>20</v>
      </c>
      <c r="H10" s="130">
        <v>20</v>
      </c>
      <c r="I10" s="130">
        <v>0</v>
      </c>
      <c r="J10" s="130">
        <v>0</v>
      </c>
      <c r="K10" s="130">
        <v>0</v>
      </c>
      <c r="L10" s="130">
        <v>0</v>
      </c>
    </row>
    <row r="11" spans="1:16" x14ac:dyDescent="0.2">
      <c r="A11" s="130" t="s">
        <v>64</v>
      </c>
      <c r="B11" s="130">
        <v>76.489999999999995</v>
      </c>
      <c r="C11" s="130">
        <v>3150.5</v>
      </c>
      <c r="D11" s="130">
        <v>20</v>
      </c>
      <c r="E11" s="130">
        <v>20</v>
      </c>
      <c r="F11" s="130">
        <v>0</v>
      </c>
      <c r="G11" s="130">
        <v>20</v>
      </c>
      <c r="H11" s="130">
        <v>20</v>
      </c>
      <c r="I11" s="130">
        <v>0</v>
      </c>
      <c r="J11" s="130">
        <v>0</v>
      </c>
      <c r="K11" s="130">
        <v>0</v>
      </c>
      <c r="L11" s="130">
        <v>0</v>
      </c>
    </row>
    <row r="12" spans="1:16" x14ac:dyDescent="0.2">
      <c r="A12" s="130" t="s">
        <v>65</v>
      </c>
      <c r="B12" s="130">
        <v>76.709999999999994</v>
      </c>
      <c r="C12" s="130">
        <v>2755.5</v>
      </c>
      <c r="D12" s="130">
        <v>20</v>
      </c>
      <c r="E12" s="130">
        <v>20</v>
      </c>
      <c r="F12" s="130">
        <v>0</v>
      </c>
      <c r="G12" s="130">
        <v>20</v>
      </c>
      <c r="H12" s="130">
        <v>20</v>
      </c>
      <c r="I12" s="130">
        <v>0</v>
      </c>
      <c r="J12" s="130">
        <v>0</v>
      </c>
      <c r="K12" s="130">
        <v>0</v>
      </c>
      <c r="L12" s="130">
        <v>0</v>
      </c>
    </row>
    <row r="13" spans="1:16" x14ac:dyDescent="0.2">
      <c r="A13" s="130" t="s">
        <v>66</v>
      </c>
      <c r="B13" s="130">
        <v>76.459999999999994</v>
      </c>
      <c r="C13" s="130">
        <v>2878.9</v>
      </c>
      <c r="D13" s="130">
        <v>20</v>
      </c>
      <c r="E13" s="130">
        <v>20</v>
      </c>
      <c r="F13" s="130">
        <v>0</v>
      </c>
      <c r="G13" s="130">
        <v>20</v>
      </c>
      <c r="H13" s="130">
        <v>20</v>
      </c>
      <c r="I13" s="130">
        <v>0</v>
      </c>
      <c r="J13" s="130">
        <v>0</v>
      </c>
      <c r="K13" s="130">
        <v>0</v>
      </c>
      <c r="L13" s="130">
        <v>0</v>
      </c>
      <c r="N13" s="134" t="s">
        <v>67</v>
      </c>
      <c r="O13" s="135"/>
      <c r="P13" s="135"/>
    </row>
    <row r="14" spans="1:16" x14ac:dyDescent="0.2">
      <c r="A14" s="130" t="s">
        <v>68</v>
      </c>
      <c r="B14" s="130">
        <v>75.040000000000006</v>
      </c>
      <c r="C14" s="130">
        <v>2931.3</v>
      </c>
      <c r="D14" s="130">
        <v>20</v>
      </c>
      <c r="E14" s="130">
        <v>20</v>
      </c>
      <c r="F14" s="130">
        <v>0</v>
      </c>
      <c r="G14" s="130">
        <v>20</v>
      </c>
      <c r="H14" s="130">
        <v>20</v>
      </c>
      <c r="I14" s="130">
        <v>0</v>
      </c>
      <c r="J14" s="130">
        <v>0</v>
      </c>
      <c r="K14" s="130">
        <v>0</v>
      </c>
      <c r="L14" s="130">
        <v>0</v>
      </c>
      <c r="N14" s="132" t="s">
        <v>69</v>
      </c>
    </row>
    <row r="15" spans="1:16" x14ac:dyDescent="0.2">
      <c r="A15" s="130" t="s">
        <v>70</v>
      </c>
      <c r="B15" s="130">
        <v>74.36</v>
      </c>
      <c r="C15" s="130">
        <v>2833.8</v>
      </c>
      <c r="D15" s="130">
        <v>20</v>
      </c>
      <c r="E15" s="130">
        <v>20</v>
      </c>
      <c r="F15" s="130">
        <v>0</v>
      </c>
      <c r="G15" s="130">
        <v>20</v>
      </c>
      <c r="H15" s="130">
        <v>20</v>
      </c>
      <c r="I15" s="130">
        <v>0</v>
      </c>
      <c r="J15" s="130">
        <v>0</v>
      </c>
      <c r="K15" s="130">
        <v>0</v>
      </c>
      <c r="L15" s="130">
        <v>0</v>
      </c>
    </row>
    <row r="16" spans="1:16" x14ac:dyDescent="0.2">
      <c r="A16" s="130" t="s">
        <v>71</v>
      </c>
      <c r="B16" s="130">
        <v>72.3</v>
      </c>
      <c r="C16" s="130">
        <v>2736.1</v>
      </c>
      <c r="D16" s="130">
        <v>20</v>
      </c>
      <c r="E16" s="130">
        <v>20</v>
      </c>
      <c r="F16" s="130">
        <v>0</v>
      </c>
      <c r="G16" s="130">
        <v>20</v>
      </c>
      <c r="H16" s="130">
        <v>20</v>
      </c>
      <c r="I16" s="130">
        <v>0</v>
      </c>
      <c r="J16" s="130">
        <v>0</v>
      </c>
      <c r="K16" s="130">
        <v>0</v>
      </c>
      <c r="L16" s="130">
        <v>0</v>
      </c>
      <c r="N16" s="132" t="s">
        <v>72</v>
      </c>
    </row>
    <row r="17" spans="1:20" x14ac:dyDescent="0.2">
      <c r="A17" s="130" t="s">
        <v>73</v>
      </c>
      <c r="B17" s="130">
        <v>72.94</v>
      </c>
      <c r="C17" s="130">
        <v>2640.4</v>
      </c>
      <c r="D17" s="130">
        <v>20</v>
      </c>
      <c r="E17" s="130">
        <v>20</v>
      </c>
      <c r="F17" s="130">
        <v>0</v>
      </c>
      <c r="G17" s="130">
        <v>20</v>
      </c>
      <c r="H17" s="130">
        <v>20</v>
      </c>
      <c r="I17" s="130">
        <v>0</v>
      </c>
      <c r="J17" s="130">
        <v>0</v>
      </c>
      <c r="K17" s="130">
        <v>0</v>
      </c>
      <c r="L17" s="130">
        <v>0</v>
      </c>
      <c r="N17" s="132" t="s">
        <v>74</v>
      </c>
    </row>
    <row r="18" spans="1:20" x14ac:dyDescent="0.2">
      <c r="A18" s="130" t="s">
        <v>75</v>
      </c>
      <c r="B18" s="130">
        <v>72.97</v>
      </c>
      <c r="C18" s="130">
        <v>2583.6999999999998</v>
      </c>
      <c r="D18" s="130">
        <v>20</v>
      </c>
      <c r="E18" s="130">
        <v>20</v>
      </c>
      <c r="F18" s="130">
        <v>0</v>
      </c>
      <c r="G18" s="130">
        <v>20</v>
      </c>
      <c r="H18" s="130">
        <v>20</v>
      </c>
      <c r="I18" s="130">
        <v>0</v>
      </c>
      <c r="J18" s="130">
        <v>0</v>
      </c>
      <c r="K18" s="130">
        <v>0</v>
      </c>
      <c r="L18" s="130">
        <v>0</v>
      </c>
      <c r="N18" s="132" t="s">
        <v>178</v>
      </c>
    </row>
    <row r="19" spans="1:20" x14ac:dyDescent="0.2">
      <c r="A19" s="130" t="s">
        <v>76</v>
      </c>
      <c r="B19" s="130">
        <v>75.06</v>
      </c>
      <c r="C19" s="130">
        <v>2543.4</v>
      </c>
      <c r="D19" s="130">
        <v>20</v>
      </c>
      <c r="E19" s="130">
        <v>20</v>
      </c>
      <c r="F19" s="130">
        <v>0</v>
      </c>
      <c r="G19" s="130">
        <v>20</v>
      </c>
      <c r="H19" s="130">
        <v>20</v>
      </c>
      <c r="I19" s="130">
        <v>0</v>
      </c>
      <c r="J19" s="130">
        <v>0</v>
      </c>
      <c r="K19" s="130">
        <v>0</v>
      </c>
      <c r="L19" s="130">
        <v>0</v>
      </c>
      <c r="N19" s="132" t="s">
        <v>77</v>
      </c>
    </row>
    <row r="20" spans="1:20" x14ac:dyDescent="0.2">
      <c r="A20" s="130" t="s">
        <v>78</v>
      </c>
      <c r="B20" s="130">
        <v>75.430000000000007</v>
      </c>
      <c r="C20" s="130">
        <v>2487.9</v>
      </c>
      <c r="D20" s="130">
        <v>20</v>
      </c>
      <c r="E20" s="130">
        <v>20</v>
      </c>
      <c r="F20" s="130">
        <v>0</v>
      </c>
      <c r="G20" s="130">
        <v>20</v>
      </c>
      <c r="H20" s="130">
        <v>20</v>
      </c>
      <c r="I20" s="130">
        <v>0</v>
      </c>
      <c r="J20" s="130">
        <v>0</v>
      </c>
      <c r="K20" s="130">
        <v>0</v>
      </c>
      <c r="L20" s="130">
        <v>0</v>
      </c>
      <c r="N20" s="132" t="s">
        <v>79</v>
      </c>
    </row>
    <row r="21" spans="1:20" x14ac:dyDescent="0.2">
      <c r="A21" s="130" t="s">
        <v>80</v>
      </c>
      <c r="B21" s="130">
        <v>84.4</v>
      </c>
      <c r="C21" s="130">
        <v>2630.5</v>
      </c>
      <c r="D21" s="130">
        <v>20</v>
      </c>
      <c r="E21" s="130">
        <v>20</v>
      </c>
      <c r="F21" s="130">
        <v>0</v>
      </c>
      <c r="G21" s="130">
        <v>20</v>
      </c>
      <c r="H21" s="130">
        <v>20</v>
      </c>
      <c r="I21" s="130">
        <v>0</v>
      </c>
      <c r="J21" s="130">
        <v>0</v>
      </c>
      <c r="K21" s="130">
        <v>0</v>
      </c>
      <c r="L21" s="130">
        <v>0</v>
      </c>
      <c r="N21" s="132" t="s">
        <v>81</v>
      </c>
    </row>
    <row r="22" spans="1:20" x14ac:dyDescent="0.2">
      <c r="A22" s="130" t="s">
        <v>82</v>
      </c>
      <c r="B22" s="130">
        <v>82.82</v>
      </c>
      <c r="C22" s="130">
        <v>2769.4</v>
      </c>
      <c r="D22" s="130">
        <v>20</v>
      </c>
      <c r="E22" s="130">
        <v>20</v>
      </c>
      <c r="F22" s="130">
        <v>0</v>
      </c>
      <c r="G22" s="130">
        <v>20</v>
      </c>
      <c r="H22" s="130">
        <v>20</v>
      </c>
      <c r="I22" s="130">
        <v>0</v>
      </c>
      <c r="J22" s="130">
        <v>0</v>
      </c>
      <c r="K22" s="130">
        <v>0</v>
      </c>
      <c r="L22" s="130">
        <v>0</v>
      </c>
      <c r="N22" s="132" t="s">
        <v>83</v>
      </c>
    </row>
    <row r="23" spans="1:20" x14ac:dyDescent="0.2">
      <c r="A23" s="130" t="s">
        <v>84</v>
      </c>
      <c r="B23" s="130">
        <v>78.92</v>
      </c>
      <c r="C23" s="130">
        <v>2699.2</v>
      </c>
      <c r="D23" s="130">
        <v>20</v>
      </c>
      <c r="E23" s="130">
        <v>20</v>
      </c>
      <c r="F23" s="130">
        <v>0</v>
      </c>
      <c r="G23" s="130">
        <v>20</v>
      </c>
      <c r="H23" s="130">
        <v>20</v>
      </c>
      <c r="I23" s="130">
        <v>0</v>
      </c>
      <c r="J23" s="130">
        <v>0</v>
      </c>
      <c r="K23" s="130">
        <v>0</v>
      </c>
      <c r="L23" s="130">
        <v>0</v>
      </c>
    </row>
    <row r="24" spans="1:20" x14ac:dyDescent="0.2">
      <c r="A24" s="130" t="s">
        <v>85</v>
      </c>
      <c r="B24" s="130">
        <v>74.95</v>
      </c>
      <c r="C24" s="130">
        <v>3165.5</v>
      </c>
      <c r="D24" s="130">
        <v>116</v>
      </c>
      <c r="E24" s="130">
        <v>116</v>
      </c>
      <c r="F24" s="130">
        <v>0</v>
      </c>
      <c r="G24" s="130">
        <v>116</v>
      </c>
      <c r="H24" s="130">
        <v>116</v>
      </c>
      <c r="I24" s="130">
        <v>0</v>
      </c>
      <c r="J24" s="130">
        <v>0</v>
      </c>
      <c r="K24" s="130">
        <v>0</v>
      </c>
      <c r="L24" s="130">
        <v>0</v>
      </c>
      <c r="O24" s="133" t="s">
        <v>13</v>
      </c>
    </row>
    <row r="25" spans="1:20" x14ac:dyDescent="0.2">
      <c r="A25" s="130" t="s">
        <v>86</v>
      </c>
      <c r="B25" s="130">
        <v>72.95</v>
      </c>
      <c r="C25" s="130">
        <v>2637.5</v>
      </c>
      <c r="D25" s="130">
        <v>20</v>
      </c>
      <c r="E25" s="130">
        <v>20</v>
      </c>
      <c r="F25" s="130">
        <v>0</v>
      </c>
      <c r="G25" s="130">
        <v>20</v>
      </c>
      <c r="H25" s="130">
        <v>20</v>
      </c>
      <c r="I25" s="130">
        <v>0</v>
      </c>
      <c r="J25" s="130">
        <v>0</v>
      </c>
      <c r="K25" s="130">
        <v>0</v>
      </c>
      <c r="L25" s="130">
        <v>0</v>
      </c>
    </row>
    <row r="26" spans="1:20" x14ac:dyDescent="0.2">
      <c r="A26" s="130" t="s">
        <v>87</v>
      </c>
      <c r="B26" s="130">
        <v>71.680000000000007</v>
      </c>
      <c r="C26" s="130">
        <v>2657.4</v>
      </c>
      <c r="D26" s="130">
        <v>20</v>
      </c>
      <c r="E26" s="130">
        <v>20</v>
      </c>
      <c r="F26" s="130">
        <v>0</v>
      </c>
      <c r="G26" s="130">
        <v>20</v>
      </c>
      <c r="H26" s="130">
        <v>20</v>
      </c>
      <c r="I26" s="130">
        <v>0</v>
      </c>
      <c r="J26" s="130">
        <v>0</v>
      </c>
      <c r="K26" s="130">
        <v>0</v>
      </c>
      <c r="L26" s="130">
        <v>0</v>
      </c>
      <c r="T26" s="136"/>
    </row>
    <row r="27" spans="1:20" x14ac:dyDescent="0.2">
      <c r="A27" s="130" t="s">
        <v>88</v>
      </c>
      <c r="B27" s="130">
        <v>69.010000000000005</v>
      </c>
      <c r="C27" s="130">
        <v>2565.4</v>
      </c>
      <c r="D27" s="130">
        <v>20</v>
      </c>
      <c r="E27" s="130">
        <v>20</v>
      </c>
      <c r="F27" s="130">
        <v>0</v>
      </c>
      <c r="G27" s="130">
        <v>20</v>
      </c>
      <c r="H27" s="130">
        <v>20</v>
      </c>
      <c r="I27" s="130">
        <v>0</v>
      </c>
      <c r="J27" s="130">
        <v>0</v>
      </c>
      <c r="K27" s="130">
        <v>0</v>
      </c>
      <c r="L27" s="130">
        <v>0</v>
      </c>
    </row>
    <row r="28" spans="1:20" x14ac:dyDescent="0.2">
      <c r="A28" s="130" t="s">
        <v>89</v>
      </c>
      <c r="B28" s="130">
        <v>69.33</v>
      </c>
      <c r="C28" s="130">
        <v>64137.9</v>
      </c>
      <c r="D28" s="130">
        <v>-140.69999999999999</v>
      </c>
      <c r="E28" s="130">
        <v>456</v>
      </c>
      <c r="F28" s="130">
        <v>596.70000000000005</v>
      </c>
      <c r="G28" s="130">
        <v>-140.69999999999999</v>
      </c>
      <c r="H28" s="130">
        <v>456</v>
      </c>
      <c r="I28" s="130">
        <v>596.70000000000005</v>
      </c>
      <c r="J28" s="130">
        <v>0</v>
      </c>
      <c r="K28" s="130">
        <v>0</v>
      </c>
      <c r="L28" s="130">
        <v>0</v>
      </c>
    </row>
    <row r="29" spans="1:20" x14ac:dyDescent="0.2">
      <c r="A29" s="130" t="s">
        <v>90</v>
      </c>
      <c r="B29" s="130">
        <v>69.33</v>
      </c>
      <c r="C29" s="130">
        <v>64137.9</v>
      </c>
      <c r="D29" s="130">
        <v>-140.69999999999999</v>
      </c>
      <c r="E29" s="130">
        <v>456</v>
      </c>
      <c r="F29" s="130">
        <v>596.70000000000005</v>
      </c>
      <c r="G29" s="130">
        <v>-140.69999999999999</v>
      </c>
      <c r="H29" s="130">
        <v>456</v>
      </c>
      <c r="I29" s="130">
        <v>596.70000000000005</v>
      </c>
      <c r="J29" s="130">
        <v>0</v>
      </c>
      <c r="K29" s="130">
        <v>0</v>
      </c>
      <c r="L29" s="130">
        <v>0</v>
      </c>
    </row>
    <row r="30" spans="1:20" x14ac:dyDescent="0.2">
      <c r="A30" s="130" t="s">
        <v>91</v>
      </c>
      <c r="B30" s="130">
        <v>76.45</v>
      </c>
      <c r="C30" s="130">
        <v>32490.1</v>
      </c>
      <c r="D30" s="130">
        <v>240</v>
      </c>
      <c r="E30" s="130">
        <v>240</v>
      </c>
      <c r="F30" s="130">
        <v>0</v>
      </c>
      <c r="G30" s="130">
        <v>240</v>
      </c>
      <c r="H30" s="130">
        <v>240</v>
      </c>
      <c r="I30" s="130">
        <v>0</v>
      </c>
      <c r="J30" s="130">
        <v>0</v>
      </c>
      <c r="K30" s="130">
        <v>0</v>
      </c>
      <c r="L30" s="130">
        <v>0</v>
      </c>
    </row>
    <row r="31" spans="1:20" x14ac:dyDescent="0.2">
      <c r="A31" s="130" t="s">
        <v>92</v>
      </c>
      <c r="B31" s="130">
        <v>57.24</v>
      </c>
      <c r="C31" s="130">
        <v>20622</v>
      </c>
      <c r="D31" s="130">
        <v>-556.70000000000005</v>
      </c>
      <c r="E31" s="130">
        <v>40</v>
      </c>
      <c r="F31" s="130">
        <v>596.70000000000005</v>
      </c>
      <c r="G31" s="130">
        <v>-556.70000000000005</v>
      </c>
      <c r="H31" s="130">
        <v>40</v>
      </c>
      <c r="I31" s="130">
        <v>596.70000000000005</v>
      </c>
      <c r="J31" s="130">
        <v>0</v>
      </c>
      <c r="K31" s="130">
        <v>0</v>
      </c>
      <c r="L31" s="130">
        <v>0</v>
      </c>
    </row>
    <row r="32" spans="1:20" x14ac:dyDescent="0.2">
      <c r="A32" s="130" t="s">
        <v>93</v>
      </c>
      <c r="B32" s="130">
        <v>72.150000000000006</v>
      </c>
      <c r="C32" s="130">
        <v>11025.8</v>
      </c>
      <c r="D32" s="130">
        <v>176</v>
      </c>
      <c r="E32" s="130">
        <v>176</v>
      </c>
      <c r="F32" s="130">
        <v>0</v>
      </c>
      <c r="G32" s="130">
        <v>176</v>
      </c>
      <c r="H32" s="130">
        <v>176</v>
      </c>
      <c r="I32" s="130">
        <v>0</v>
      </c>
      <c r="J32" s="130">
        <v>0</v>
      </c>
      <c r="K32" s="130">
        <v>0</v>
      </c>
      <c r="L32" s="130">
        <v>0</v>
      </c>
    </row>
    <row r="33" spans="1:22" x14ac:dyDescent="0.2">
      <c r="A33" s="130" t="s">
        <v>94</v>
      </c>
      <c r="B33" s="130">
        <v>62.21</v>
      </c>
      <c r="C33" s="130">
        <v>31647.8</v>
      </c>
      <c r="D33" s="130">
        <v>-380.7</v>
      </c>
      <c r="E33" s="130">
        <v>216</v>
      </c>
      <c r="F33" s="130">
        <v>596.70000000000005</v>
      </c>
      <c r="G33" s="130">
        <v>-380.7</v>
      </c>
      <c r="H33" s="130">
        <v>216</v>
      </c>
      <c r="I33" s="130">
        <v>596.70000000000005</v>
      </c>
      <c r="J33" s="130">
        <v>0</v>
      </c>
      <c r="K33" s="130">
        <v>0</v>
      </c>
      <c r="L33" s="130">
        <v>0</v>
      </c>
    </row>
    <row r="38" spans="1:22" x14ac:dyDescent="0.2">
      <c r="A38" s="137" t="s">
        <v>95</v>
      </c>
      <c r="B38" s="135"/>
      <c r="C38" s="135"/>
      <c r="D38" s="135"/>
      <c r="E38" s="135"/>
      <c r="F38" s="135"/>
    </row>
    <row r="39" spans="1:22" ht="13.5" thickBot="1" x14ac:dyDescent="0.25">
      <c r="A39" s="138" t="s">
        <v>14</v>
      </c>
      <c r="B39" s="138" t="s">
        <v>23</v>
      </c>
      <c r="C39" s="138" t="s">
        <v>44</v>
      </c>
      <c r="D39" s="138" t="s">
        <v>24</v>
      </c>
      <c r="E39" s="138" t="s">
        <v>96</v>
      </c>
      <c r="F39" s="138" t="s">
        <v>97</v>
      </c>
      <c r="H39" s="134" t="s">
        <v>98</v>
      </c>
      <c r="I39" s="135"/>
      <c r="J39" s="135"/>
      <c r="O39" s="249" t="s">
        <v>14</v>
      </c>
      <c r="P39" s="250"/>
      <c r="Q39" s="249" t="s">
        <v>170</v>
      </c>
      <c r="R39" s="250"/>
      <c r="S39" s="250"/>
      <c r="T39" s="249" t="s">
        <v>99</v>
      </c>
    </row>
    <row r="40" spans="1:22" x14ac:dyDescent="0.2">
      <c r="A40" s="139">
        <v>1</v>
      </c>
      <c r="B40" s="140">
        <v>20</v>
      </c>
      <c r="C40" s="140">
        <v>0</v>
      </c>
      <c r="D40" s="140">
        <v>-66.7</v>
      </c>
      <c r="E40" s="152">
        <f t="shared" ref="E40:E63" si="0">$B40+$C40+$D40</f>
        <v>-46.7</v>
      </c>
      <c r="F40" s="142">
        <f>ROUND(IF(B40+C40+D40=D4,0,(B40+C40+D40)-D4),3)</f>
        <v>0</v>
      </c>
      <c r="O40" s="251">
        <v>1</v>
      </c>
      <c r="P40" s="250"/>
      <c r="Q40" s="252">
        <f>+E40-C40+T40</f>
        <v>-46.7</v>
      </c>
      <c r="R40" s="250"/>
      <c r="S40" s="250"/>
      <c r="T40" s="252">
        <f>+J4</f>
        <v>0</v>
      </c>
      <c r="V40" s="143"/>
    </row>
    <row r="41" spans="1:22" x14ac:dyDescent="0.2">
      <c r="A41" s="139">
        <v>2</v>
      </c>
      <c r="B41" s="140">
        <v>20</v>
      </c>
      <c r="C41" s="140">
        <v>0</v>
      </c>
      <c r="D41" s="151">
        <v>-150</v>
      </c>
      <c r="E41" s="152">
        <f t="shared" si="0"/>
        <v>-130</v>
      </c>
      <c r="F41" s="144">
        <f t="shared" ref="F41:F63" si="1">ROUND(IF(B41+C41+D41=D5,0,(B41+C41+D41)-D5),3)</f>
        <v>0</v>
      </c>
      <c r="H41" s="132" t="s">
        <v>100</v>
      </c>
      <c r="O41" s="251">
        <v>2</v>
      </c>
      <c r="P41" s="250"/>
      <c r="Q41" s="252">
        <f t="shared" ref="Q41:Q63" si="2">+E41-C41+T41</f>
        <v>-130</v>
      </c>
      <c r="R41" s="250"/>
      <c r="S41" s="250"/>
      <c r="T41" s="252">
        <f t="shared" ref="T41:T63" si="3">+J5</f>
        <v>0</v>
      </c>
      <c r="V41" s="143"/>
    </row>
    <row r="42" spans="1:22" x14ac:dyDescent="0.2">
      <c r="A42" s="145">
        <v>3</v>
      </c>
      <c r="B42" s="146">
        <v>20</v>
      </c>
      <c r="C42" s="146">
        <v>0</v>
      </c>
      <c r="D42" s="146">
        <v>-150</v>
      </c>
      <c r="E42" s="147">
        <f t="shared" si="0"/>
        <v>-130</v>
      </c>
      <c r="F42" s="148">
        <f t="shared" si="1"/>
        <v>0</v>
      </c>
      <c r="H42" s="132" t="s">
        <v>101</v>
      </c>
      <c r="O42" s="251">
        <v>3</v>
      </c>
      <c r="P42" s="250"/>
      <c r="Q42" s="252">
        <f t="shared" si="2"/>
        <v>-130</v>
      </c>
      <c r="R42" s="250"/>
      <c r="S42" s="250"/>
      <c r="T42" s="252">
        <f t="shared" si="3"/>
        <v>0</v>
      </c>
      <c r="V42" s="143"/>
    </row>
    <row r="43" spans="1:22" x14ac:dyDescent="0.2">
      <c r="A43" s="149">
        <v>4</v>
      </c>
      <c r="B43" s="150">
        <v>20</v>
      </c>
      <c r="C43" s="150">
        <v>0</v>
      </c>
      <c r="D43" s="150">
        <v>-150</v>
      </c>
      <c r="E43" s="153">
        <f t="shared" si="0"/>
        <v>-130</v>
      </c>
      <c r="F43" s="148">
        <f t="shared" si="1"/>
        <v>0</v>
      </c>
      <c r="O43" s="251">
        <v>4</v>
      </c>
      <c r="P43" s="250"/>
      <c r="Q43" s="252">
        <f t="shared" si="2"/>
        <v>-130</v>
      </c>
      <c r="R43" s="250"/>
      <c r="S43" s="250"/>
      <c r="T43" s="252">
        <f t="shared" si="3"/>
        <v>0</v>
      </c>
      <c r="V43" s="143"/>
    </row>
    <row r="44" spans="1:22" x14ac:dyDescent="0.2">
      <c r="A44" s="139">
        <v>5</v>
      </c>
      <c r="B44" s="140">
        <v>20</v>
      </c>
      <c r="C44" s="140">
        <v>0</v>
      </c>
      <c r="D44" s="140">
        <v>-150</v>
      </c>
      <c r="E44" s="141">
        <f t="shared" si="0"/>
        <v>-130</v>
      </c>
      <c r="F44" s="142">
        <f t="shared" si="1"/>
        <v>0</v>
      </c>
      <c r="H44" s="132" t="s">
        <v>102</v>
      </c>
      <c r="O44" s="251">
        <v>5</v>
      </c>
      <c r="P44" s="250"/>
      <c r="Q44" s="252">
        <f t="shared" si="2"/>
        <v>-130</v>
      </c>
      <c r="R44" s="250"/>
      <c r="S44" s="250"/>
      <c r="T44" s="252">
        <f t="shared" si="3"/>
        <v>0</v>
      </c>
      <c r="V44" s="143"/>
    </row>
    <row r="45" spans="1:22" x14ac:dyDescent="0.2">
      <c r="A45" s="139">
        <v>6</v>
      </c>
      <c r="B45" s="140">
        <v>20</v>
      </c>
      <c r="C45" s="140">
        <v>0</v>
      </c>
      <c r="D45" s="140">
        <v>-50</v>
      </c>
      <c r="E45" s="141">
        <f t="shared" si="0"/>
        <v>-30</v>
      </c>
      <c r="F45" s="144">
        <f t="shared" si="1"/>
        <v>0</v>
      </c>
      <c r="H45" s="132" t="s">
        <v>103</v>
      </c>
      <c r="O45" s="251">
        <v>6</v>
      </c>
      <c r="P45" s="250"/>
      <c r="Q45" s="252">
        <f t="shared" si="2"/>
        <v>-30</v>
      </c>
      <c r="R45" s="250"/>
      <c r="S45" s="250"/>
      <c r="T45" s="252">
        <f t="shared" si="3"/>
        <v>0</v>
      </c>
      <c r="V45" s="143"/>
    </row>
    <row r="46" spans="1:22" x14ac:dyDescent="0.2">
      <c r="A46" s="145">
        <v>7</v>
      </c>
      <c r="B46" s="146">
        <v>20</v>
      </c>
      <c r="C46" s="146">
        <v>0</v>
      </c>
      <c r="D46" s="146">
        <v>0</v>
      </c>
      <c r="E46" s="147">
        <f t="shared" si="0"/>
        <v>20</v>
      </c>
      <c r="F46" s="148">
        <f t="shared" si="1"/>
        <v>0</v>
      </c>
      <c r="O46" s="251">
        <v>7</v>
      </c>
      <c r="P46" s="250"/>
      <c r="Q46" s="252">
        <f t="shared" si="2"/>
        <v>20</v>
      </c>
      <c r="R46" s="250"/>
      <c r="S46" s="250"/>
      <c r="T46" s="252">
        <f t="shared" si="3"/>
        <v>0</v>
      </c>
      <c r="V46" s="143"/>
    </row>
    <row r="47" spans="1:22" x14ac:dyDescent="0.2">
      <c r="A47" s="149">
        <v>8</v>
      </c>
      <c r="B47" s="150">
        <v>20</v>
      </c>
      <c r="C47" s="150">
        <v>0</v>
      </c>
      <c r="D47" s="150">
        <v>0</v>
      </c>
      <c r="E47" s="153">
        <f t="shared" si="0"/>
        <v>20</v>
      </c>
      <c r="F47" s="148">
        <f t="shared" si="1"/>
        <v>0</v>
      </c>
      <c r="H47" s="132" t="s">
        <v>175</v>
      </c>
      <c r="O47" s="251">
        <v>8</v>
      </c>
      <c r="P47" s="250"/>
      <c r="Q47" s="252">
        <f t="shared" si="2"/>
        <v>20</v>
      </c>
      <c r="R47" s="250"/>
      <c r="S47" s="250"/>
      <c r="T47" s="252">
        <f t="shared" si="3"/>
        <v>0</v>
      </c>
      <c r="V47" s="143"/>
    </row>
    <row r="48" spans="1:22" ht="15" x14ac:dyDescent="0.25">
      <c r="A48" s="139">
        <v>9</v>
      </c>
      <c r="B48" s="140">
        <v>20</v>
      </c>
      <c r="C48" s="140">
        <v>0</v>
      </c>
      <c r="D48" s="140">
        <v>0</v>
      </c>
      <c r="E48" s="141">
        <f t="shared" si="0"/>
        <v>20</v>
      </c>
      <c r="F48" s="142">
        <f t="shared" si="1"/>
        <v>0</v>
      </c>
      <c r="H48" s="130" t="s">
        <v>172</v>
      </c>
      <c r="I48"/>
      <c r="J48"/>
      <c r="K48"/>
      <c r="L48"/>
      <c r="O48" s="251">
        <v>9</v>
      </c>
      <c r="P48" s="250"/>
      <c r="Q48" s="252">
        <f t="shared" si="2"/>
        <v>20</v>
      </c>
      <c r="R48" s="250"/>
      <c r="S48" s="250"/>
      <c r="T48" s="252">
        <f t="shared" si="3"/>
        <v>0</v>
      </c>
      <c r="V48" s="143"/>
    </row>
    <row r="49" spans="1:22" ht="15" x14ac:dyDescent="0.25">
      <c r="A49" s="139">
        <v>10</v>
      </c>
      <c r="B49" s="140">
        <v>20</v>
      </c>
      <c r="C49" s="140">
        <v>0</v>
      </c>
      <c r="D49" s="140">
        <v>0</v>
      </c>
      <c r="E49" s="141">
        <f t="shared" si="0"/>
        <v>20</v>
      </c>
      <c r="F49" s="144">
        <f t="shared" si="1"/>
        <v>0</v>
      </c>
      <c r="H49" s="130" t="s">
        <v>173</v>
      </c>
      <c r="I49"/>
      <c r="J49"/>
      <c r="K49"/>
      <c r="L49"/>
      <c r="O49" s="251">
        <v>10</v>
      </c>
      <c r="P49" s="250"/>
      <c r="Q49" s="252">
        <f t="shared" si="2"/>
        <v>20</v>
      </c>
      <c r="R49" s="250"/>
      <c r="S49" s="250"/>
      <c r="T49" s="252">
        <f t="shared" si="3"/>
        <v>0</v>
      </c>
      <c r="V49" s="143"/>
    </row>
    <row r="50" spans="1:22" ht="15" x14ac:dyDescent="0.25">
      <c r="A50" s="145">
        <v>11</v>
      </c>
      <c r="B50" s="146">
        <v>20</v>
      </c>
      <c r="C50" s="146">
        <v>0</v>
      </c>
      <c r="D50" s="146">
        <v>0</v>
      </c>
      <c r="E50" s="147">
        <f t="shared" si="0"/>
        <v>20</v>
      </c>
      <c r="F50" s="148">
        <f t="shared" si="1"/>
        <v>0</v>
      </c>
      <c r="H50" s="130" t="s">
        <v>174</v>
      </c>
      <c r="I50"/>
      <c r="J50"/>
      <c r="K50"/>
      <c r="L50"/>
      <c r="O50" s="251">
        <v>11</v>
      </c>
      <c r="P50" s="250"/>
      <c r="Q50" s="252">
        <f t="shared" si="2"/>
        <v>20</v>
      </c>
      <c r="R50" s="250"/>
      <c r="S50" s="250"/>
      <c r="T50" s="252">
        <f t="shared" si="3"/>
        <v>0</v>
      </c>
      <c r="V50" s="143"/>
    </row>
    <row r="51" spans="1:22" ht="15" x14ac:dyDescent="0.25">
      <c r="A51" s="149">
        <v>12</v>
      </c>
      <c r="B51" s="150">
        <v>20</v>
      </c>
      <c r="C51" s="150">
        <v>0</v>
      </c>
      <c r="D51" s="150">
        <v>0</v>
      </c>
      <c r="E51" s="153">
        <f t="shared" si="0"/>
        <v>20</v>
      </c>
      <c r="F51" s="148">
        <f t="shared" si="1"/>
        <v>0</v>
      </c>
      <c r="H51" s="130" t="s">
        <v>176</v>
      </c>
      <c r="I51"/>
      <c r="J51"/>
      <c r="K51"/>
      <c r="L51"/>
      <c r="O51" s="251">
        <v>12</v>
      </c>
      <c r="P51" s="250"/>
      <c r="Q51" s="252">
        <f t="shared" si="2"/>
        <v>20</v>
      </c>
      <c r="R51" s="250"/>
      <c r="S51" s="250"/>
      <c r="T51" s="252">
        <f t="shared" si="3"/>
        <v>0</v>
      </c>
      <c r="V51" s="143"/>
    </row>
    <row r="52" spans="1:22" ht="15" x14ac:dyDescent="0.25">
      <c r="A52" s="139">
        <v>13</v>
      </c>
      <c r="B52" s="140">
        <v>20</v>
      </c>
      <c r="C52" s="140">
        <v>0</v>
      </c>
      <c r="D52" s="140">
        <v>0</v>
      </c>
      <c r="E52" s="141">
        <f t="shared" si="0"/>
        <v>20</v>
      </c>
      <c r="F52" s="142">
        <f t="shared" si="1"/>
        <v>0</v>
      </c>
      <c r="H52" s="130" t="s">
        <v>177</v>
      </c>
      <c r="I52"/>
      <c r="J52"/>
      <c r="K52"/>
      <c r="L52"/>
      <c r="O52" s="251">
        <v>13</v>
      </c>
      <c r="P52" s="250"/>
      <c r="Q52" s="252">
        <f t="shared" si="2"/>
        <v>20</v>
      </c>
      <c r="R52" s="250"/>
      <c r="S52" s="250"/>
      <c r="T52" s="252">
        <f t="shared" si="3"/>
        <v>0</v>
      </c>
      <c r="V52" s="143"/>
    </row>
    <row r="53" spans="1:22" ht="15" x14ac:dyDescent="0.25">
      <c r="A53" s="139">
        <v>14</v>
      </c>
      <c r="B53" s="140">
        <v>20</v>
      </c>
      <c r="C53" s="140">
        <v>0</v>
      </c>
      <c r="D53" s="140">
        <v>0</v>
      </c>
      <c r="E53" s="141">
        <f t="shared" si="0"/>
        <v>20</v>
      </c>
      <c r="F53" s="144">
        <f t="shared" si="1"/>
        <v>0</v>
      </c>
      <c r="H53"/>
      <c r="I53"/>
      <c r="J53"/>
      <c r="K53"/>
      <c r="L53"/>
      <c r="O53" s="251">
        <v>14</v>
      </c>
      <c r="P53" s="250"/>
      <c r="Q53" s="252">
        <f t="shared" si="2"/>
        <v>20</v>
      </c>
      <c r="R53" s="250"/>
      <c r="S53" s="250"/>
      <c r="T53" s="252">
        <f t="shared" si="3"/>
        <v>0</v>
      </c>
      <c r="V53" s="143"/>
    </row>
    <row r="54" spans="1:22" ht="15" x14ac:dyDescent="0.25">
      <c r="A54" s="145">
        <v>15</v>
      </c>
      <c r="B54" s="146">
        <v>20</v>
      </c>
      <c r="C54" s="146">
        <v>0</v>
      </c>
      <c r="D54" s="146">
        <v>0</v>
      </c>
      <c r="E54" s="147">
        <f t="shared" si="0"/>
        <v>20</v>
      </c>
      <c r="F54" s="148">
        <f t="shared" si="1"/>
        <v>0</v>
      </c>
      <c r="H54"/>
      <c r="I54"/>
      <c r="J54"/>
      <c r="K54"/>
      <c r="L54"/>
      <c r="O54" s="251">
        <v>15</v>
      </c>
      <c r="P54" s="250"/>
      <c r="Q54" s="252">
        <f t="shared" si="2"/>
        <v>20</v>
      </c>
      <c r="R54" s="250"/>
      <c r="S54" s="250"/>
      <c r="T54" s="252">
        <f t="shared" si="3"/>
        <v>0</v>
      </c>
      <c r="V54" s="143"/>
    </row>
    <row r="55" spans="1:22" x14ac:dyDescent="0.2">
      <c r="A55" s="149">
        <v>16</v>
      </c>
      <c r="B55" s="150">
        <v>20</v>
      </c>
      <c r="C55" s="150">
        <v>0</v>
      </c>
      <c r="D55" s="150">
        <v>0</v>
      </c>
      <c r="E55" s="153">
        <f t="shared" si="0"/>
        <v>20</v>
      </c>
      <c r="F55" s="144">
        <f t="shared" si="1"/>
        <v>0</v>
      </c>
      <c r="O55" s="251">
        <v>16</v>
      </c>
      <c r="P55" s="250"/>
      <c r="Q55" s="252">
        <f t="shared" si="2"/>
        <v>20</v>
      </c>
      <c r="R55" s="250"/>
      <c r="S55" s="250"/>
      <c r="T55" s="252">
        <f t="shared" si="3"/>
        <v>0</v>
      </c>
      <c r="V55" s="143"/>
    </row>
    <row r="56" spans="1:22" x14ac:dyDescent="0.2">
      <c r="A56" s="139">
        <v>17</v>
      </c>
      <c r="B56" s="140">
        <v>20</v>
      </c>
      <c r="C56" s="140">
        <v>0</v>
      </c>
      <c r="D56" s="140">
        <v>0</v>
      </c>
      <c r="E56" s="155">
        <f t="shared" si="0"/>
        <v>20</v>
      </c>
      <c r="F56" s="148">
        <f t="shared" si="1"/>
        <v>0</v>
      </c>
      <c r="O56" s="251">
        <v>17</v>
      </c>
      <c r="P56" s="250"/>
      <c r="Q56" s="252">
        <f t="shared" si="2"/>
        <v>20</v>
      </c>
      <c r="R56" s="250"/>
      <c r="S56" s="250"/>
      <c r="T56" s="252">
        <f t="shared" si="3"/>
        <v>0</v>
      </c>
      <c r="V56" s="143"/>
    </row>
    <row r="57" spans="1:22" x14ac:dyDescent="0.2">
      <c r="A57" s="139">
        <v>18</v>
      </c>
      <c r="B57" s="140">
        <v>20</v>
      </c>
      <c r="C57" s="140">
        <v>0</v>
      </c>
      <c r="D57" s="140">
        <v>0</v>
      </c>
      <c r="E57" s="141">
        <f t="shared" si="0"/>
        <v>20</v>
      </c>
      <c r="F57" s="148">
        <f t="shared" si="1"/>
        <v>0</v>
      </c>
      <c r="G57" s="154"/>
      <c r="O57" s="251">
        <v>18</v>
      </c>
      <c r="P57" s="250"/>
      <c r="Q57" s="252">
        <f t="shared" si="2"/>
        <v>20</v>
      </c>
      <c r="R57" s="250"/>
      <c r="S57" s="250"/>
      <c r="T57" s="252">
        <f t="shared" si="3"/>
        <v>0</v>
      </c>
      <c r="V57" s="143"/>
    </row>
    <row r="58" spans="1:22" x14ac:dyDescent="0.2">
      <c r="A58" s="145">
        <v>19</v>
      </c>
      <c r="B58" s="146">
        <v>20</v>
      </c>
      <c r="C58" s="146">
        <v>0</v>
      </c>
      <c r="D58" s="146">
        <v>0</v>
      </c>
      <c r="E58" s="147">
        <f t="shared" si="0"/>
        <v>20</v>
      </c>
      <c r="F58" s="142">
        <f t="shared" si="1"/>
        <v>0</v>
      </c>
      <c r="O58" s="251">
        <v>19</v>
      </c>
      <c r="P58" s="250"/>
      <c r="Q58" s="252">
        <f t="shared" si="2"/>
        <v>20</v>
      </c>
      <c r="R58" s="250"/>
      <c r="S58" s="250"/>
      <c r="T58" s="252">
        <f t="shared" si="3"/>
        <v>0</v>
      </c>
      <c r="V58" s="143"/>
    </row>
    <row r="59" spans="1:22" x14ac:dyDescent="0.2">
      <c r="A59" s="149">
        <v>20</v>
      </c>
      <c r="B59" s="150">
        <v>20</v>
      </c>
      <c r="C59" s="150">
        <v>0</v>
      </c>
      <c r="D59" s="150">
        <v>0</v>
      </c>
      <c r="E59" s="153">
        <f t="shared" si="0"/>
        <v>20</v>
      </c>
      <c r="F59" s="144">
        <f t="shared" si="1"/>
        <v>0</v>
      </c>
      <c r="O59" s="251">
        <v>20</v>
      </c>
      <c r="P59" s="250"/>
      <c r="Q59" s="252">
        <f t="shared" si="2"/>
        <v>20</v>
      </c>
      <c r="R59" s="250"/>
      <c r="S59" s="250"/>
      <c r="T59" s="252">
        <f t="shared" si="3"/>
        <v>0</v>
      </c>
      <c r="V59" s="143"/>
    </row>
    <row r="60" spans="1:22" x14ac:dyDescent="0.2">
      <c r="A60" s="139">
        <v>21</v>
      </c>
      <c r="B60" s="140">
        <v>20</v>
      </c>
      <c r="C60" s="140">
        <v>0</v>
      </c>
      <c r="D60" s="140">
        <v>96</v>
      </c>
      <c r="E60" s="141">
        <f t="shared" si="0"/>
        <v>116</v>
      </c>
      <c r="F60" s="148">
        <f t="shared" si="1"/>
        <v>0</v>
      </c>
      <c r="O60" s="251">
        <v>21</v>
      </c>
      <c r="P60" s="250"/>
      <c r="Q60" s="252">
        <f t="shared" si="2"/>
        <v>116</v>
      </c>
      <c r="R60" s="250"/>
      <c r="S60" s="250"/>
      <c r="T60" s="252">
        <f t="shared" si="3"/>
        <v>0</v>
      </c>
      <c r="V60" s="143"/>
    </row>
    <row r="61" spans="1:22" x14ac:dyDescent="0.2">
      <c r="A61" s="139">
        <v>22</v>
      </c>
      <c r="B61" s="140">
        <v>20</v>
      </c>
      <c r="C61" s="140">
        <v>0</v>
      </c>
      <c r="D61" s="140">
        <v>0</v>
      </c>
      <c r="E61" s="155">
        <f t="shared" si="0"/>
        <v>20</v>
      </c>
      <c r="F61" s="148">
        <f t="shared" si="1"/>
        <v>0</v>
      </c>
      <c r="G61" s="154"/>
      <c r="H61" s="154"/>
      <c r="I61" s="154"/>
      <c r="J61" s="154"/>
      <c r="O61" s="251">
        <v>22</v>
      </c>
      <c r="P61" s="250"/>
      <c r="Q61" s="252">
        <f t="shared" si="2"/>
        <v>20</v>
      </c>
      <c r="R61" s="250"/>
      <c r="S61" s="250"/>
      <c r="T61" s="252">
        <f t="shared" si="3"/>
        <v>0</v>
      </c>
      <c r="V61" s="143"/>
    </row>
    <row r="62" spans="1:22" x14ac:dyDescent="0.2">
      <c r="A62" s="145">
        <v>23</v>
      </c>
      <c r="B62" s="146">
        <v>20</v>
      </c>
      <c r="C62" s="146">
        <v>0</v>
      </c>
      <c r="D62" s="146">
        <v>0</v>
      </c>
      <c r="E62" s="147">
        <f t="shared" si="0"/>
        <v>20</v>
      </c>
      <c r="F62" s="142">
        <f t="shared" si="1"/>
        <v>0</v>
      </c>
      <c r="O62" s="251">
        <v>23</v>
      </c>
      <c r="P62" s="250"/>
      <c r="Q62" s="252">
        <f t="shared" si="2"/>
        <v>20</v>
      </c>
      <c r="R62" s="250"/>
      <c r="S62" s="250"/>
      <c r="T62" s="252">
        <f t="shared" si="3"/>
        <v>0</v>
      </c>
      <c r="V62" s="143"/>
    </row>
    <row r="63" spans="1:22" x14ac:dyDescent="0.2">
      <c r="A63" s="149">
        <v>24</v>
      </c>
      <c r="B63" s="150">
        <v>20</v>
      </c>
      <c r="C63" s="150">
        <v>0</v>
      </c>
      <c r="D63" s="150">
        <v>0</v>
      </c>
      <c r="E63" s="153">
        <f t="shared" si="0"/>
        <v>20</v>
      </c>
      <c r="F63" s="144">
        <f t="shared" si="1"/>
        <v>0</v>
      </c>
      <c r="O63" s="251">
        <v>24</v>
      </c>
      <c r="P63" s="250"/>
      <c r="Q63" s="252">
        <f t="shared" si="2"/>
        <v>20</v>
      </c>
      <c r="R63" s="250"/>
      <c r="S63" s="250"/>
      <c r="T63" s="252">
        <f t="shared" si="3"/>
        <v>0</v>
      </c>
      <c r="V63" s="143"/>
    </row>
    <row r="65" spans="1:15" x14ac:dyDescent="0.2">
      <c r="A65" s="156"/>
      <c r="B65" s="156"/>
      <c r="C65" s="156"/>
      <c r="D65" s="156"/>
      <c r="E65" s="156"/>
      <c r="F65" s="156"/>
      <c r="G65" s="156"/>
      <c r="H65" s="156"/>
      <c r="I65" s="156" t="s">
        <v>104</v>
      </c>
      <c r="J65" s="156"/>
      <c r="K65" s="156"/>
      <c r="L65" s="156"/>
    </row>
    <row r="66" spans="1:15" x14ac:dyDescent="0.2">
      <c r="A66" s="157" t="s">
        <v>105</v>
      </c>
      <c r="B66" s="157" t="s">
        <v>14</v>
      </c>
      <c r="C66" s="157" t="s">
        <v>17</v>
      </c>
      <c r="D66" s="157" t="s">
        <v>15</v>
      </c>
      <c r="E66" s="157" t="s">
        <v>16</v>
      </c>
      <c r="F66" s="157" t="s">
        <v>106</v>
      </c>
      <c r="G66" s="157" t="s">
        <v>107</v>
      </c>
      <c r="H66" s="157"/>
      <c r="I66" s="157"/>
      <c r="J66" s="157" t="s">
        <v>108</v>
      </c>
      <c r="K66" s="157" t="s">
        <v>109</v>
      </c>
      <c r="L66" s="158">
        <v>0</v>
      </c>
    </row>
    <row r="67" spans="1:15" x14ac:dyDescent="0.2">
      <c r="A67" s="159">
        <v>53</v>
      </c>
      <c r="B67" s="159">
        <v>2</v>
      </c>
      <c r="C67" s="159" t="s">
        <v>24</v>
      </c>
      <c r="D67" s="159">
        <v>-25</v>
      </c>
      <c r="E67" s="159">
        <v>55</v>
      </c>
      <c r="F67" s="159">
        <v>54.9</v>
      </c>
      <c r="G67" s="159">
        <v>55.03</v>
      </c>
      <c r="H67" s="159"/>
      <c r="I67" s="159"/>
      <c r="J67" s="160">
        <v>-57.500000000000639</v>
      </c>
      <c r="K67" s="159">
        <v>-58</v>
      </c>
      <c r="L67" s="161">
        <v>-58</v>
      </c>
      <c r="M67" s="159"/>
      <c r="N67" s="130"/>
      <c r="O67" s="130"/>
    </row>
    <row r="68" spans="1:15" x14ac:dyDescent="0.2">
      <c r="A68" s="159"/>
      <c r="B68" s="159"/>
      <c r="C68" s="159"/>
      <c r="D68" s="159"/>
      <c r="E68" s="159"/>
      <c r="F68" s="159">
        <v>62.4</v>
      </c>
      <c r="G68" s="159">
        <v>62.54</v>
      </c>
      <c r="H68" s="159"/>
      <c r="I68" s="159"/>
      <c r="J68" s="159">
        <v>-60.000000000000142</v>
      </c>
      <c r="K68" s="159">
        <v>-60</v>
      </c>
      <c r="L68" s="161">
        <v>-205</v>
      </c>
      <c r="M68" s="159"/>
      <c r="N68" s="130"/>
      <c r="O68" s="130"/>
    </row>
    <row r="69" spans="1:15" x14ac:dyDescent="0.2">
      <c r="A69" s="159"/>
      <c r="B69" s="159"/>
      <c r="C69" s="159"/>
      <c r="D69" s="159"/>
      <c r="E69" s="159"/>
      <c r="F69" s="159">
        <v>61.9</v>
      </c>
      <c r="G69" s="159">
        <v>62.01</v>
      </c>
      <c r="H69" s="159"/>
      <c r="I69" s="159"/>
      <c r="J69" s="159">
        <v>-52.499999999999858</v>
      </c>
      <c r="K69" s="159">
        <v>-52</v>
      </c>
      <c r="L69" s="161">
        <v>-257</v>
      </c>
      <c r="M69" s="159"/>
      <c r="N69" s="130"/>
      <c r="O69" s="130"/>
    </row>
    <row r="70" spans="1:15" x14ac:dyDescent="0.2">
      <c r="A70" s="159" t="s">
        <v>110</v>
      </c>
      <c r="B70" s="159"/>
      <c r="C70" s="159"/>
      <c r="D70" s="159"/>
      <c r="E70" s="159"/>
      <c r="F70" s="159">
        <v>61.9</v>
      </c>
      <c r="G70" s="159">
        <v>62.07</v>
      </c>
      <c r="H70" s="159"/>
      <c r="I70" s="159"/>
      <c r="J70" s="159">
        <v>-67.500000000000426</v>
      </c>
      <c r="K70" s="159">
        <v>-68</v>
      </c>
      <c r="L70" s="161">
        <v>-325</v>
      </c>
      <c r="M70" s="159"/>
      <c r="N70" s="130"/>
      <c r="O70" s="130"/>
    </row>
    <row r="71" spans="1:15" x14ac:dyDescent="0.2">
      <c r="A71" s="159" t="s">
        <v>14</v>
      </c>
      <c r="B71" s="159" t="s">
        <v>23</v>
      </c>
      <c r="C71" s="159" t="s">
        <v>44</v>
      </c>
      <c r="D71" s="159" t="s">
        <v>24</v>
      </c>
      <c r="E71" s="159" t="s">
        <v>96</v>
      </c>
      <c r="F71" s="159">
        <v>48.1</v>
      </c>
      <c r="G71" s="159">
        <v>48.08</v>
      </c>
      <c r="H71" s="159"/>
      <c r="I71" s="159"/>
      <c r="J71" s="159">
        <v>5.0000000000004263</v>
      </c>
      <c r="K71" s="159">
        <v>5</v>
      </c>
      <c r="L71" s="161">
        <v>-82</v>
      </c>
      <c r="M71" s="159"/>
      <c r="N71" s="130"/>
      <c r="O71" s="130"/>
    </row>
    <row r="72" spans="1:15" x14ac:dyDescent="0.2">
      <c r="A72" s="159">
        <v>1</v>
      </c>
      <c r="B72" s="162">
        <v>20</v>
      </c>
      <c r="C72" s="162">
        <v>0</v>
      </c>
      <c r="D72" s="162">
        <v>-50</v>
      </c>
      <c r="E72" s="162">
        <v>-30</v>
      </c>
      <c r="F72" s="159">
        <v>37.9</v>
      </c>
      <c r="G72" s="162">
        <v>38.01</v>
      </c>
      <c r="H72" s="162"/>
      <c r="I72" s="162"/>
      <c r="J72" s="162">
        <v>-52.499999999999858</v>
      </c>
      <c r="K72" s="162">
        <v>-52</v>
      </c>
      <c r="L72" s="163">
        <v>-47</v>
      </c>
      <c r="M72" s="162"/>
      <c r="N72" s="162"/>
      <c r="O72" s="164"/>
    </row>
    <row r="73" spans="1:15" x14ac:dyDescent="0.2">
      <c r="A73" s="159">
        <v>2</v>
      </c>
      <c r="B73" s="159">
        <v>20</v>
      </c>
      <c r="C73" s="159">
        <v>0</v>
      </c>
      <c r="D73" s="165">
        <v>-125</v>
      </c>
      <c r="E73" s="165">
        <v>-105</v>
      </c>
      <c r="F73" s="159">
        <v>32.6</v>
      </c>
      <c r="G73" s="159">
        <v>32.53</v>
      </c>
      <c r="H73" s="159"/>
      <c r="I73" s="159"/>
      <c r="J73" s="159">
        <v>69.999999999998863</v>
      </c>
      <c r="K73" s="159">
        <v>70</v>
      </c>
      <c r="L73" s="161">
        <v>197</v>
      </c>
      <c r="M73" s="159"/>
      <c r="N73" s="130"/>
      <c r="O73" s="130"/>
    </row>
    <row r="74" spans="1:15" x14ac:dyDescent="0.2">
      <c r="A74" s="159">
        <v>3</v>
      </c>
      <c r="B74" s="159">
        <v>20</v>
      </c>
      <c r="C74" s="159">
        <v>0</v>
      </c>
      <c r="D74" s="159">
        <v>-150</v>
      </c>
      <c r="E74" s="159">
        <v>-130</v>
      </c>
      <c r="F74" s="159">
        <v>36.6</v>
      </c>
      <c r="G74" s="159">
        <v>36.51</v>
      </c>
      <c r="H74" s="159"/>
      <c r="I74" s="159"/>
      <c r="J74" s="159">
        <v>45.000000000000995</v>
      </c>
      <c r="K74" s="159">
        <v>45</v>
      </c>
      <c r="L74" s="161">
        <v>242</v>
      </c>
      <c r="M74" s="159"/>
      <c r="N74" s="130"/>
      <c r="O74" s="130"/>
    </row>
    <row r="75" spans="1:15" x14ac:dyDescent="0.2">
      <c r="A75" s="159">
        <v>4</v>
      </c>
      <c r="B75" s="159">
        <v>20</v>
      </c>
      <c r="C75" s="159">
        <v>0</v>
      </c>
      <c r="D75" s="159">
        <v>-150</v>
      </c>
      <c r="E75" s="159">
        <v>-130</v>
      </c>
      <c r="F75" s="159">
        <v>35.1</v>
      </c>
      <c r="G75" s="159">
        <v>35.07</v>
      </c>
      <c r="H75" s="159"/>
      <c r="I75" s="159"/>
      <c r="J75" s="159">
        <v>29.999999999999716</v>
      </c>
      <c r="K75" s="159">
        <v>30</v>
      </c>
      <c r="L75" s="161">
        <v>272</v>
      </c>
      <c r="M75" s="159"/>
      <c r="N75" s="130"/>
      <c r="O75" s="130"/>
    </row>
    <row r="76" spans="1:15" x14ac:dyDescent="0.2">
      <c r="A76" s="159">
        <v>5</v>
      </c>
      <c r="B76" s="159">
        <v>20</v>
      </c>
      <c r="C76" s="159">
        <v>0</v>
      </c>
      <c r="D76" s="159">
        <v>-150</v>
      </c>
      <c r="E76" s="159">
        <v>-130</v>
      </c>
      <c r="F76" s="159">
        <v>33.4</v>
      </c>
      <c r="G76" s="159">
        <v>33.58</v>
      </c>
      <c r="H76" s="159"/>
      <c r="I76" s="159"/>
      <c r="J76" s="159">
        <v>-139.99999999999986</v>
      </c>
      <c r="K76" s="159">
        <v>-140</v>
      </c>
      <c r="L76" s="161">
        <v>-715</v>
      </c>
      <c r="M76" s="159"/>
      <c r="N76" s="130"/>
      <c r="O76" s="130"/>
    </row>
    <row r="77" spans="1:15" x14ac:dyDescent="0.2">
      <c r="A77" s="159">
        <v>6</v>
      </c>
      <c r="B77" s="159">
        <v>20</v>
      </c>
      <c r="C77" s="159">
        <v>0</v>
      </c>
      <c r="D77" s="159">
        <v>-50</v>
      </c>
      <c r="E77" s="159">
        <v>-30</v>
      </c>
      <c r="F77" s="159">
        <v>28.6</v>
      </c>
      <c r="G77" s="159">
        <v>28.54</v>
      </c>
      <c r="H77" s="159"/>
      <c r="I77" s="159"/>
      <c r="J77" s="159">
        <v>60.000000000000853</v>
      </c>
      <c r="K77" s="159">
        <v>60</v>
      </c>
      <c r="L77" s="161">
        <v>-1095</v>
      </c>
      <c r="M77" s="159"/>
      <c r="N77" s="130"/>
      <c r="O77" s="130"/>
    </row>
    <row r="78" spans="1:15" x14ac:dyDescent="0.2">
      <c r="A78" s="159">
        <v>7</v>
      </c>
      <c r="B78" s="159">
        <v>20</v>
      </c>
      <c r="C78" s="159">
        <v>0</v>
      </c>
      <c r="D78" s="159">
        <v>0</v>
      </c>
      <c r="E78" s="159">
        <v>20</v>
      </c>
      <c r="F78" s="159">
        <v>28.4</v>
      </c>
      <c r="G78" s="159">
        <v>28.54</v>
      </c>
      <c r="H78" s="159"/>
      <c r="I78" s="159"/>
      <c r="J78" s="159">
        <v>-240.00000000000057</v>
      </c>
      <c r="K78" s="159">
        <v>-240</v>
      </c>
      <c r="L78" s="161">
        <v>-895</v>
      </c>
      <c r="M78" s="159"/>
      <c r="N78" s="130"/>
      <c r="O78" s="130"/>
    </row>
    <row r="79" spans="1:15" x14ac:dyDescent="0.2">
      <c r="A79" s="159">
        <v>8</v>
      </c>
      <c r="B79" s="159">
        <v>20</v>
      </c>
      <c r="C79" s="159">
        <v>0</v>
      </c>
      <c r="D79" s="159">
        <v>0</v>
      </c>
      <c r="E79" s="159">
        <v>20</v>
      </c>
      <c r="F79" s="159">
        <v>30.1</v>
      </c>
      <c r="G79" s="159">
        <v>30</v>
      </c>
      <c r="H79" s="159"/>
      <c r="I79" s="159"/>
      <c r="J79" s="159">
        <v>3.5527136788005009E-13</v>
      </c>
      <c r="K79" s="159">
        <v>0</v>
      </c>
      <c r="L79" s="161">
        <v>-166</v>
      </c>
      <c r="M79" s="159"/>
      <c r="N79" s="130"/>
      <c r="O79" s="130"/>
    </row>
    <row r="80" spans="1:15" x14ac:dyDescent="0.2">
      <c r="A80" s="159">
        <v>9</v>
      </c>
      <c r="B80" s="159">
        <v>20</v>
      </c>
      <c r="C80" s="159">
        <v>0</v>
      </c>
      <c r="D80" s="159">
        <v>0</v>
      </c>
      <c r="E80" s="159">
        <v>20</v>
      </c>
      <c r="F80" s="159">
        <v>21.1</v>
      </c>
      <c r="G80" s="159">
        <v>21</v>
      </c>
      <c r="H80" s="159"/>
      <c r="I80" s="159"/>
      <c r="J80" s="159">
        <v>50</v>
      </c>
      <c r="K80" s="159">
        <v>50</v>
      </c>
      <c r="L80" s="161">
        <v>125</v>
      </c>
      <c r="M80" s="159"/>
      <c r="N80" s="130"/>
      <c r="O80" s="130"/>
    </row>
    <row r="81" spans="1:15" x14ac:dyDescent="0.2">
      <c r="A81" s="159">
        <v>10</v>
      </c>
      <c r="B81" s="159">
        <v>20</v>
      </c>
      <c r="C81" s="159">
        <v>0</v>
      </c>
      <c r="D81" s="159">
        <v>0</v>
      </c>
      <c r="E81" s="159">
        <v>20</v>
      </c>
      <c r="F81" s="159"/>
      <c r="G81" s="159"/>
      <c r="H81" s="159"/>
      <c r="I81" s="159"/>
      <c r="J81" s="159"/>
      <c r="K81" s="159"/>
      <c r="L81" s="159"/>
      <c r="M81" s="159"/>
      <c r="N81" s="130"/>
      <c r="O81" s="130"/>
    </row>
    <row r="82" spans="1:15" x14ac:dyDescent="0.2">
      <c r="A82" s="159">
        <v>11</v>
      </c>
      <c r="B82" s="159">
        <v>20</v>
      </c>
      <c r="C82" s="159">
        <v>0</v>
      </c>
      <c r="D82" s="159">
        <v>0</v>
      </c>
      <c r="E82" s="159">
        <v>20</v>
      </c>
      <c r="F82" s="159"/>
      <c r="G82" s="159"/>
      <c r="H82" s="159"/>
      <c r="I82" s="159"/>
      <c r="J82" s="159"/>
      <c r="K82" s="159"/>
      <c r="L82" s="159"/>
      <c r="M82" s="159"/>
      <c r="N82" s="130"/>
      <c r="O82" s="130"/>
    </row>
    <row r="83" spans="1:15" x14ac:dyDescent="0.2">
      <c r="A83" s="159">
        <v>12</v>
      </c>
      <c r="B83" s="159">
        <v>20</v>
      </c>
      <c r="C83" s="159">
        <v>0</v>
      </c>
      <c r="D83" s="159">
        <v>0</v>
      </c>
      <c r="E83" s="159">
        <v>20</v>
      </c>
      <c r="F83" s="159"/>
      <c r="G83" s="159"/>
      <c r="H83" s="159"/>
      <c r="I83" s="159"/>
      <c r="J83" s="159"/>
      <c r="K83" s="159"/>
      <c r="L83" s="159"/>
      <c r="M83" s="159"/>
      <c r="N83" s="130"/>
      <c r="O83" s="130"/>
    </row>
    <row r="84" spans="1:15" x14ac:dyDescent="0.2">
      <c r="A84" s="159">
        <v>13</v>
      </c>
      <c r="B84" s="159">
        <v>20</v>
      </c>
      <c r="C84" s="159">
        <v>0</v>
      </c>
      <c r="D84" s="159">
        <v>0</v>
      </c>
      <c r="E84" s="159">
        <v>20</v>
      </c>
      <c r="F84" s="159"/>
      <c r="G84" s="159"/>
      <c r="H84" s="159"/>
      <c r="I84" s="159"/>
      <c r="J84" s="159"/>
      <c r="K84" s="159"/>
      <c r="L84" s="159"/>
      <c r="M84" s="159"/>
      <c r="N84" s="130"/>
      <c r="O84" s="130"/>
    </row>
    <row r="85" spans="1:15" x14ac:dyDescent="0.2">
      <c r="A85" s="159">
        <v>14</v>
      </c>
      <c r="B85" s="159">
        <v>20</v>
      </c>
      <c r="C85" s="159">
        <v>0</v>
      </c>
      <c r="D85" s="159">
        <v>0</v>
      </c>
      <c r="E85" s="159">
        <v>20</v>
      </c>
      <c r="F85" s="159"/>
      <c r="G85" s="159"/>
      <c r="H85" s="159"/>
      <c r="I85" s="159"/>
      <c r="J85" s="159"/>
      <c r="K85" s="159"/>
      <c r="L85" s="159"/>
      <c r="M85" s="159"/>
      <c r="N85" s="130"/>
      <c r="O85" s="130"/>
    </row>
    <row r="86" spans="1:15" x14ac:dyDescent="0.2">
      <c r="A86" s="159">
        <v>15</v>
      </c>
      <c r="B86" s="159">
        <v>20</v>
      </c>
      <c r="C86" s="159">
        <v>0</v>
      </c>
      <c r="D86" s="159">
        <v>0</v>
      </c>
      <c r="E86" s="159">
        <v>20</v>
      </c>
      <c r="F86" s="159"/>
      <c r="G86" s="159"/>
      <c r="H86" s="159"/>
      <c r="I86" s="159"/>
      <c r="J86" s="159"/>
      <c r="K86" s="159"/>
      <c r="L86" s="159"/>
      <c r="M86" s="159"/>
      <c r="N86" s="130"/>
      <c r="O86" s="130"/>
    </row>
    <row r="87" spans="1:15" x14ac:dyDescent="0.2">
      <c r="A87" s="159">
        <v>16</v>
      </c>
      <c r="B87" s="159">
        <v>20</v>
      </c>
      <c r="C87" s="159">
        <v>0</v>
      </c>
      <c r="D87" s="159">
        <v>0</v>
      </c>
      <c r="E87" s="159">
        <v>20</v>
      </c>
      <c r="F87" s="159"/>
      <c r="G87" s="159"/>
      <c r="H87" s="159"/>
      <c r="I87" s="159"/>
      <c r="J87" s="159"/>
      <c r="K87" s="159"/>
      <c r="L87" s="159"/>
      <c r="M87" s="159"/>
      <c r="N87" s="130"/>
      <c r="O87" s="130"/>
    </row>
    <row r="88" spans="1:15" x14ac:dyDescent="0.2">
      <c r="A88" s="159">
        <v>17</v>
      </c>
      <c r="B88" s="159">
        <v>20</v>
      </c>
      <c r="C88" s="159">
        <v>0</v>
      </c>
      <c r="D88" s="159">
        <v>0</v>
      </c>
      <c r="E88" s="159">
        <v>20</v>
      </c>
      <c r="F88" s="159"/>
      <c r="G88" s="159"/>
      <c r="H88" s="159"/>
      <c r="I88" s="159"/>
      <c r="J88" s="159"/>
      <c r="K88" s="159"/>
      <c r="L88" s="159"/>
      <c r="M88" s="159"/>
      <c r="N88" s="130"/>
      <c r="O88" s="130"/>
    </row>
    <row r="89" spans="1:15" x14ac:dyDescent="0.2">
      <c r="A89" s="159">
        <v>18</v>
      </c>
      <c r="B89" s="159">
        <v>20</v>
      </c>
      <c r="C89" s="159">
        <v>0</v>
      </c>
      <c r="D89" s="159">
        <v>0</v>
      </c>
      <c r="E89" s="159">
        <v>20</v>
      </c>
      <c r="F89" s="159"/>
      <c r="G89" s="159"/>
      <c r="H89" s="159"/>
      <c r="I89" s="159"/>
      <c r="J89" s="159"/>
      <c r="K89" s="159"/>
      <c r="L89" s="159"/>
      <c r="M89" s="159"/>
      <c r="N89" s="130"/>
      <c r="O89" s="130"/>
    </row>
    <row r="90" spans="1:15" x14ac:dyDescent="0.2">
      <c r="A90" s="159">
        <v>19</v>
      </c>
      <c r="B90" s="159">
        <v>20</v>
      </c>
      <c r="C90" s="159">
        <v>0</v>
      </c>
      <c r="D90" s="159">
        <v>0</v>
      </c>
      <c r="E90" s="159">
        <v>20</v>
      </c>
      <c r="F90" s="159"/>
      <c r="G90" s="159"/>
      <c r="H90" s="159"/>
      <c r="I90" s="159"/>
      <c r="J90" s="159"/>
      <c r="K90" s="159"/>
      <c r="L90" s="159"/>
      <c r="M90" s="159"/>
      <c r="N90" s="130"/>
      <c r="O90" s="130"/>
    </row>
    <row r="91" spans="1:15" x14ac:dyDescent="0.2">
      <c r="A91" s="159">
        <v>20</v>
      </c>
      <c r="B91" s="159">
        <v>20</v>
      </c>
      <c r="C91" s="159">
        <v>0</v>
      </c>
      <c r="D91" s="159">
        <v>0</v>
      </c>
      <c r="E91" s="159">
        <v>20</v>
      </c>
      <c r="F91" s="159"/>
      <c r="G91" s="159"/>
      <c r="H91" s="159"/>
      <c r="I91" s="159"/>
      <c r="J91" s="159"/>
      <c r="K91" s="159"/>
      <c r="L91" s="159"/>
      <c r="M91" s="159"/>
      <c r="N91" s="130"/>
      <c r="O91" s="130"/>
    </row>
    <row r="92" spans="1:15" x14ac:dyDescent="0.2">
      <c r="A92" s="159">
        <v>21</v>
      </c>
      <c r="B92" s="159">
        <v>20</v>
      </c>
      <c r="C92" s="159">
        <v>0</v>
      </c>
      <c r="D92" s="159">
        <v>96</v>
      </c>
      <c r="E92" s="159">
        <v>116</v>
      </c>
      <c r="F92" s="159"/>
      <c r="G92" s="159"/>
      <c r="H92" s="159"/>
      <c r="I92" s="159"/>
      <c r="J92" s="159"/>
      <c r="K92" s="159"/>
      <c r="L92" s="159"/>
      <c r="M92" s="159"/>
      <c r="N92" s="130"/>
      <c r="O92" s="130"/>
    </row>
    <row r="93" spans="1:15" x14ac:dyDescent="0.2">
      <c r="A93" s="159">
        <v>22</v>
      </c>
      <c r="B93" s="159">
        <v>20</v>
      </c>
      <c r="C93" s="159">
        <v>0</v>
      </c>
      <c r="D93" s="159">
        <v>0</v>
      </c>
      <c r="E93" s="159">
        <v>20</v>
      </c>
      <c r="F93" s="159"/>
      <c r="G93" s="159"/>
      <c r="H93" s="159"/>
      <c r="I93" s="159"/>
      <c r="J93" s="159"/>
      <c r="K93" s="159"/>
      <c r="L93" s="159"/>
      <c r="M93" s="159"/>
      <c r="N93" s="130"/>
      <c r="O93" s="130"/>
    </row>
    <row r="94" spans="1:15" x14ac:dyDescent="0.2">
      <c r="A94" s="159">
        <v>23</v>
      </c>
      <c r="B94" s="159">
        <v>20</v>
      </c>
      <c r="C94" s="159">
        <v>0</v>
      </c>
      <c r="D94" s="159">
        <v>0</v>
      </c>
      <c r="E94" s="159">
        <v>20</v>
      </c>
      <c r="F94" s="159"/>
      <c r="G94" s="159"/>
      <c r="H94" s="159"/>
      <c r="I94" s="159"/>
      <c r="J94" s="159"/>
      <c r="K94" s="159"/>
      <c r="L94" s="159"/>
      <c r="M94" s="159"/>
      <c r="N94" s="130"/>
      <c r="O94" s="130"/>
    </row>
    <row r="95" spans="1:15" x14ac:dyDescent="0.2">
      <c r="A95" s="159">
        <v>24</v>
      </c>
      <c r="B95" s="159">
        <v>20</v>
      </c>
      <c r="C95" s="159">
        <v>0</v>
      </c>
      <c r="D95" s="159">
        <v>0</v>
      </c>
      <c r="E95" s="159">
        <v>20</v>
      </c>
      <c r="F95" s="159"/>
      <c r="G95" s="159"/>
      <c r="H95" s="159"/>
      <c r="I95" s="159"/>
      <c r="J95" s="159"/>
      <c r="K95" s="159"/>
      <c r="L95" s="159"/>
      <c r="M95" s="159"/>
      <c r="N95" s="130"/>
      <c r="O95" s="130"/>
    </row>
    <row r="96" spans="1:15" x14ac:dyDescent="0.2">
      <c r="A96" s="159"/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30"/>
      <c r="O96" s="130"/>
    </row>
    <row r="97" spans="1:15" x14ac:dyDescent="0.2">
      <c r="A97" s="159"/>
      <c r="B97" s="159"/>
      <c r="C97" s="159"/>
      <c r="D97" s="159"/>
      <c r="E97" s="159"/>
      <c r="F97" s="130"/>
      <c r="G97" s="130"/>
      <c r="H97" s="130"/>
      <c r="I97" s="130"/>
      <c r="J97" s="130"/>
      <c r="K97" s="130"/>
      <c r="L97" s="130"/>
      <c r="M97" s="130"/>
      <c r="N97" s="130"/>
      <c r="O97" s="130"/>
    </row>
    <row r="98" spans="1:15" x14ac:dyDescent="0.2">
      <c r="A98" s="159"/>
      <c r="B98" s="159"/>
      <c r="C98" s="159"/>
      <c r="D98" s="159"/>
      <c r="E98" s="159"/>
      <c r="F98" s="130"/>
      <c r="G98" s="130"/>
      <c r="H98" s="130"/>
      <c r="I98" s="130"/>
      <c r="J98" s="130"/>
      <c r="K98" s="130"/>
      <c r="L98" s="130"/>
      <c r="M98" s="130"/>
      <c r="N98" s="130"/>
      <c r="O98" s="130"/>
    </row>
    <row r="99" spans="1:15" x14ac:dyDescent="0.2">
      <c r="A99" s="159"/>
      <c r="B99" s="159"/>
      <c r="C99" s="159"/>
      <c r="D99" s="159"/>
      <c r="E99" s="159"/>
      <c r="F99" s="130"/>
      <c r="G99" s="130"/>
      <c r="H99" s="130"/>
      <c r="I99" s="130"/>
      <c r="J99" s="130"/>
      <c r="K99" s="130"/>
      <c r="L99" s="130"/>
      <c r="M99" s="130"/>
      <c r="N99" s="130"/>
      <c r="O99" s="130"/>
    </row>
    <row r="100" spans="1:15" x14ac:dyDescent="0.2">
      <c r="A100" s="130"/>
      <c r="B100" s="130"/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</row>
    <row r="101" spans="1:15" x14ac:dyDescent="0.2">
      <c r="A101" s="13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</row>
    <row r="102" spans="1:15" x14ac:dyDescent="0.2">
      <c r="A102" s="130"/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</row>
    <row r="103" spans="1:15" x14ac:dyDescent="0.2">
      <c r="A103" s="130"/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</row>
    <row r="104" spans="1:15" x14ac:dyDescent="0.2">
      <c r="A104" s="130"/>
      <c r="B104" s="130"/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</row>
    <row r="105" spans="1:15" x14ac:dyDescent="0.2">
      <c r="A105" s="130"/>
      <c r="B105" s="130"/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</row>
    <row r="106" spans="1:15" x14ac:dyDescent="0.2">
      <c r="A106" s="130"/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</row>
    <row r="107" spans="1:15" x14ac:dyDescent="0.2">
      <c r="A107" s="130"/>
      <c r="B107" s="130"/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</row>
    <row r="108" spans="1:15" x14ac:dyDescent="0.2">
      <c r="A108" s="130"/>
      <c r="B108" s="130"/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</row>
    <row r="109" spans="1:15" x14ac:dyDescent="0.2">
      <c r="A109" s="130"/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</row>
    <row r="110" spans="1:15" x14ac:dyDescent="0.2">
      <c r="A110" s="130"/>
      <c r="B110" s="130"/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</row>
    <row r="111" spans="1:15" x14ac:dyDescent="0.2">
      <c r="A111" s="130"/>
      <c r="B111" s="130"/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</row>
    <row r="112" spans="1:15" x14ac:dyDescent="0.2">
      <c r="A112" s="130"/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</row>
    <row r="113" spans="1:15" x14ac:dyDescent="0.2">
      <c r="A113" s="130"/>
      <c r="B113" s="130"/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</row>
    <row r="114" spans="1:15" x14ac:dyDescent="0.2">
      <c r="A114" s="130"/>
      <c r="B114" s="130"/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</row>
    <row r="115" spans="1:15" x14ac:dyDescent="0.2">
      <c r="A115" s="130"/>
      <c r="B115" s="130"/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</row>
    <row r="116" spans="1:15" x14ac:dyDescent="0.2">
      <c r="A116" s="130"/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</row>
    <row r="117" spans="1:15" x14ac:dyDescent="0.2">
      <c r="A117" s="130"/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</row>
    <row r="118" spans="1:15" x14ac:dyDescent="0.2">
      <c r="A118" s="130"/>
      <c r="B118" s="130"/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</row>
    <row r="119" spans="1:15" x14ac:dyDescent="0.2">
      <c r="A119" s="130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</row>
    <row r="120" spans="1:15" x14ac:dyDescent="0.2">
      <c r="A120" s="130"/>
      <c r="B120" s="130"/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</row>
    <row r="121" spans="1:15" x14ac:dyDescent="0.2">
      <c r="A121" s="130"/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</row>
    <row r="122" spans="1:15" x14ac:dyDescent="0.2">
      <c r="A122" s="130"/>
      <c r="B122" s="130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</row>
    <row r="123" spans="1:15" x14ac:dyDescent="0.2">
      <c r="A123" s="130"/>
      <c r="B123" s="130"/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</row>
    <row r="124" spans="1:15" x14ac:dyDescent="0.2">
      <c r="A124" s="130"/>
      <c r="B124" s="130"/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</row>
    <row r="125" spans="1:15" x14ac:dyDescent="0.2">
      <c r="A125" s="130"/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</row>
    <row r="126" spans="1:15" x14ac:dyDescent="0.2">
      <c r="A126" s="130"/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</row>
    <row r="127" spans="1:15" x14ac:dyDescent="0.2">
      <c r="A127" s="130"/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</row>
    <row r="128" spans="1:15" x14ac:dyDescent="0.2">
      <c r="A128" s="130"/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</row>
    <row r="129" spans="1:15" x14ac:dyDescent="0.2">
      <c r="A129" s="130"/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</row>
    <row r="130" spans="1:15" x14ac:dyDescent="0.2">
      <c r="A130" s="130"/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</row>
    <row r="131" spans="1:15" x14ac:dyDescent="0.2">
      <c r="A131" s="130"/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</row>
    <row r="132" spans="1:15" x14ac:dyDescent="0.2">
      <c r="A132" s="130"/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</row>
    <row r="133" spans="1:15" x14ac:dyDescent="0.2">
      <c r="A133" s="130"/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</row>
    <row r="134" spans="1:15" x14ac:dyDescent="0.2">
      <c r="A134" s="130"/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</row>
    <row r="135" spans="1:15" x14ac:dyDescent="0.2">
      <c r="A135" s="130"/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</row>
    <row r="136" spans="1:15" x14ac:dyDescent="0.2">
      <c r="A136" s="130"/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</row>
    <row r="137" spans="1:15" x14ac:dyDescent="0.2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</row>
    <row r="138" spans="1:15" x14ac:dyDescent="0.2">
      <c r="A138" s="130"/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</row>
    <row r="139" spans="1:15" x14ac:dyDescent="0.2">
      <c r="A139" s="130"/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</row>
    <row r="140" spans="1:15" x14ac:dyDescent="0.2">
      <c r="A140" s="130"/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</row>
    <row r="141" spans="1:15" x14ac:dyDescent="0.2">
      <c r="A141" s="130"/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</row>
    <row r="142" spans="1:15" x14ac:dyDescent="0.2">
      <c r="A142" s="130"/>
      <c r="B142" s="130"/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</row>
    <row r="143" spans="1:15" x14ac:dyDescent="0.2">
      <c r="A143" s="130"/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</row>
    <row r="144" spans="1:15" x14ac:dyDescent="0.2">
      <c r="A144" s="130"/>
      <c r="B144" s="130"/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</row>
    <row r="145" spans="1:15" x14ac:dyDescent="0.2">
      <c r="A145" s="130"/>
      <c r="B145" s="130"/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</row>
    <row r="146" spans="1:15" x14ac:dyDescent="0.2">
      <c r="A146" s="130"/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</row>
    <row r="147" spans="1:15" x14ac:dyDescent="0.2">
      <c r="A147" s="130"/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</row>
    <row r="148" spans="1:15" x14ac:dyDescent="0.2">
      <c r="A148" s="130"/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</row>
    <row r="149" spans="1:15" x14ac:dyDescent="0.2">
      <c r="A149" s="130"/>
      <c r="B149" s="130"/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</row>
    <row r="150" spans="1:15" x14ac:dyDescent="0.2">
      <c r="A150" s="130"/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</row>
    <row r="151" spans="1:15" x14ac:dyDescent="0.2">
      <c r="A151" s="130"/>
      <c r="B151" s="130"/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</row>
    <row r="152" spans="1:15" x14ac:dyDescent="0.2">
      <c r="A152" s="130"/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</row>
    <row r="153" spans="1:15" x14ac:dyDescent="0.2">
      <c r="A153" s="130"/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</row>
    <row r="154" spans="1:15" x14ac:dyDescent="0.2">
      <c r="A154" s="130"/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</row>
    <row r="155" spans="1:15" x14ac:dyDescent="0.2">
      <c r="A155" s="130"/>
      <c r="B155" s="130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</row>
    <row r="156" spans="1:15" x14ac:dyDescent="0.2">
      <c r="A156" s="130"/>
      <c r="B156" s="130"/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</row>
    <row r="157" spans="1:15" x14ac:dyDescent="0.2">
      <c r="A157" s="130"/>
      <c r="B157" s="130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</row>
    <row r="158" spans="1:15" x14ac:dyDescent="0.2">
      <c r="A158" s="130"/>
      <c r="B158" s="130"/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</row>
    <row r="159" spans="1:15" x14ac:dyDescent="0.2">
      <c r="A159" s="130"/>
      <c r="B159" s="130"/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</row>
    <row r="160" spans="1:15" x14ac:dyDescent="0.2">
      <c r="A160" s="130"/>
      <c r="B160" s="130"/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</row>
    <row r="161" spans="1:15" x14ac:dyDescent="0.2">
      <c r="A161" s="130"/>
      <c r="B161" s="130"/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</row>
    <row r="162" spans="1:15" x14ac:dyDescent="0.2">
      <c r="A162" s="130"/>
      <c r="B162" s="130"/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</row>
    <row r="163" spans="1:15" x14ac:dyDescent="0.2">
      <c r="A163" s="130"/>
      <c r="B163" s="130"/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</row>
    <row r="164" spans="1:15" x14ac:dyDescent="0.2">
      <c r="A164" s="130"/>
      <c r="B164" s="130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</row>
    <row r="165" spans="1:15" x14ac:dyDescent="0.2">
      <c r="A165" s="130"/>
      <c r="B165" s="130"/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</row>
    <row r="166" spans="1:15" x14ac:dyDescent="0.2">
      <c r="A166" s="130"/>
      <c r="B166" s="130"/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</row>
    <row r="167" spans="1:15" x14ac:dyDescent="0.2">
      <c r="A167" s="130"/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</row>
    <row r="168" spans="1:15" x14ac:dyDescent="0.2">
      <c r="A168" s="130"/>
      <c r="B168" s="130"/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</row>
    <row r="169" spans="1:15" x14ac:dyDescent="0.2">
      <c r="A169" s="130"/>
      <c r="B169" s="130"/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</row>
    <row r="170" spans="1:15" x14ac:dyDescent="0.2">
      <c r="A170" s="130"/>
      <c r="B170" s="130"/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</row>
    <row r="171" spans="1:15" x14ac:dyDescent="0.2">
      <c r="A171" s="130"/>
      <c r="B171" s="130"/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</row>
    <row r="172" spans="1:15" x14ac:dyDescent="0.2">
      <c r="A172" s="130"/>
      <c r="B172" s="130"/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</row>
    <row r="173" spans="1:15" x14ac:dyDescent="0.2">
      <c r="A173" s="130"/>
      <c r="B173" s="130"/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</row>
    <row r="174" spans="1:15" x14ac:dyDescent="0.2">
      <c r="A174" s="130"/>
      <c r="B174" s="130"/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</row>
    <row r="175" spans="1:15" x14ac:dyDescent="0.2">
      <c r="A175" s="130"/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</row>
    <row r="176" spans="1:15" x14ac:dyDescent="0.2">
      <c r="A176" s="130"/>
      <c r="B176" s="130"/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</row>
    <row r="177" spans="1:15" x14ac:dyDescent="0.2">
      <c r="A177" s="130"/>
      <c r="B177" s="130"/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</row>
    <row r="178" spans="1:15" x14ac:dyDescent="0.2">
      <c r="A178" s="130"/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</row>
    <row r="179" spans="1:15" x14ac:dyDescent="0.2">
      <c r="A179" s="130"/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</row>
    <row r="180" spans="1:15" x14ac:dyDescent="0.2">
      <c r="A180" s="130"/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</row>
    <row r="181" spans="1:15" x14ac:dyDescent="0.2">
      <c r="A181" s="130"/>
      <c r="B181" s="130"/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</row>
    <row r="182" spans="1:15" x14ac:dyDescent="0.2">
      <c r="A182" s="130"/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</row>
    <row r="183" spans="1:15" x14ac:dyDescent="0.2">
      <c r="A183" s="130"/>
      <c r="B183" s="130"/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</row>
    <row r="184" spans="1:15" x14ac:dyDescent="0.2">
      <c r="A184" s="130"/>
      <c r="B184" s="130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</row>
    <row r="185" spans="1:15" x14ac:dyDescent="0.2">
      <c r="A185" s="130"/>
      <c r="B185" s="130"/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</row>
    <row r="186" spans="1:15" x14ac:dyDescent="0.2">
      <c r="A186" s="130"/>
      <c r="B186" s="130"/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</row>
    <row r="187" spans="1:15" x14ac:dyDescent="0.2">
      <c r="A187" s="130"/>
      <c r="B187" s="130"/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</row>
    <row r="188" spans="1:15" x14ac:dyDescent="0.2">
      <c r="A188" s="130"/>
      <c r="B188" s="130"/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</row>
    <row r="189" spans="1:15" x14ac:dyDescent="0.2">
      <c r="A189" s="130"/>
      <c r="B189" s="130"/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</row>
    <row r="190" spans="1:15" x14ac:dyDescent="0.2">
      <c r="A190" s="130"/>
      <c r="B190" s="130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</row>
    <row r="191" spans="1:15" x14ac:dyDescent="0.2">
      <c r="A191" s="130"/>
      <c r="B191" s="130"/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</row>
    <row r="192" spans="1:15" x14ac:dyDescent="0.2">
      <c r="A192" s="130"/>
      <c r="B192" s="130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</row>
    <row r="193" spans="1:15" x14ac:dyDescent="0.2">
      <c r="A193" s="130"/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</row>
    <row r="194" spans="1:15" x14ac:dyDescent="0.2">
      <c r="A194" s="130"/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</row>
    <row r="195" spans="1:15" x14ac:dyDescent="0.2">
      <c r="A195" s="130"/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</row>
    <row r="196" spans="1:15" x14ac:dyDescent="0.2">
      <c r="A196" s="130"/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</row>
    <row r="197" spans="1:15" x14ac:dyDescent="0.2">
      <c r="A197" s="130"/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</row>
    <row r="198" spans="1:15" x14ac:dyDescent="0.2">
      <c r="A198" s="130"/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</row>
    <row r="199" spans="1:15" x14ac:dyDescent="0.2">
      <c r="A199" s="130"/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</row>
    <row r="200" spans="1:15" x14ac:dyDescent="0.2">
      <c r="A200" s="130"/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</row>
    <row r="201" spans="1:15" x14ac:dyDescent="0.2">
      <c r="A201" s="130"/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</row>
    <row r="202" spans="1:15" x14ac:dyDescent="0.2">
      <c r="A202" s="130"/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</row>
    <row r="203" spans="1:15" x14ac:dyDescent="0.2">
      <c r="A203" s="130"/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</row>
    <row r="204" spans="1:15" x14ac:dyDescent="0.2">
      <c r="A204" s="130"/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</row>
    <row r="205" spans="1:15" x14ac:dyDescent="0.2">
      <c r="A205" s="130"/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</row>
    <row r="206" spans="1:15" x14ac:dyDescent="0.2">
      <c r="A206" s="130"/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</row>
    <row r="207" spans="1:15" x14ac:dyDescent="0.2">
      <c r="A207" s="130"/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</row>
    <row r="208" spans="1:15" x14ac:dyDescent="0.2">
      <c r="A208" s="130"/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</row>
    <row r="209" spans="1:15" x14ac:dyDescent="0.2">
      <c r="A209" s="130"/>
      <c r="B209" s="130"/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</row>
    <row r="210" spans="1:15" x14ac:dyDescent="0.2">
      <c r="A210" s="130"/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</row>
    <row r="211" spans="1:15" x14ac:dyDescent="0.2">
      <c r="A211" s="130"/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</row>
    <row r="212" spans="1:15" x14ac:dyDescent="0.2">
      <c r="A212" s="130"/>
      <c r="B212" s="130"/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</row>
    <row r="213" spans="1:15" x14ac:dyDescent="0.2">
      <c r="A213" s="130"/>
      <c r="B213" s="130"/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</row>
    <row r="214" spans="1:15" x14ac:dyDescent="0.2">
      <c r="A214" s="130"/>
      <c r="B214" s="130"/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</row>
    <row r="215" spans="1:15" x14ac:dyDescent="0.2">
      <c r="A215" s="130"/>
      <c r="B215" s="130"/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</row>
    <row r="216" spans="1:15" x14ac:dyDescent="0.2">
      <c r="A216" s="130"/>
      <c r="B216" s="130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</row>
    <row r="217" spans="1:15" x14ac:dyDescent="0.2">
      <c r="A217" s="130"/>
      <c r="B217" s="130"/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</row>
    <row r="218" spans="1:15" x14ac:dyDescent="0.2">
      <c r="A218" s="130"/>
      <c r="B218" s="130"/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</row>
    <row r="219" spans="1:15" x14ac:dyDescent="0.2">
      <c r="A219" s="130"/>
      <c r="B219" s="130"/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</row>
    <row r="220" spans="1:15" x14ac:dyDescent="0.2">
      <c r="A220" s="130"/>
      <c r="B220" s="130"/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</row>
    <row r="221" spans="1:15" x14ac:dyDescent="0.2">
      <c r="A221" s="130"/>
      <c r="B221" s="130"/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</row>
    <row r="222" spans="1:15" x14ac:dyDescent="0.2">
      <c r="A222" s="130"/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</row>
    <row r="223" spans="1:15" x14ac:dyDescent="0.2">
      <c r="A223" s="130"/>
      <c r="B223" s="130"/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</row>
    <row r="224" spans="1:15" x14ac:dyDescent="0.2">
      <c r="A224" s="130"/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</row>
    <row r="225" spans="1:15" x14ac:dyDescent="0.2">
      <c r="A225" s="130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</row>
    <row r="226" spans="1:15" x14ac:dyDescent="0.2">
      <c r="A226" s="130"/>
      <c r="B226" s="130"/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</row>
    <row r="227" spans="1:15" x14ac:dyDescent="0.2">
      <c r="A227" s="130"/>
      <c r="B227" s="130"/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</row>
    <row r="228" spans="1:15" x14ac:dyDescent="0.2">
      <c r="A228" s="130"/>
      <c r="B228" s="130"/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</row>
    <row r="229" spans="1:15" x14ac:dyDescent="0.2">
      <c r="A229" s="130"/>
      <c r="B229" s="130"/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</row>
    <row r="230" spans="1:15" x14ac:dyDescent="0.2">
      <c r="A230" s="130"/>
      <c r="B230" s="130"/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</row>
    <row r="231" spans="1:15" x14ac:dyDescent="0.2">
      <c r="A231" s="130"/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</row>
    <row r="232" spans="1:15" x14ac:dyDescent="0.2">
      <c r="A232" s="130"/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</row>
    <row r="233" spans="1:15" x14ac:dyDescent="0.2">
      <c r="A233" s="130"/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</row>
    <row r="234" spans="1:15" x14ac:dyDescent="0.2">
      <c r="A234" s="130"/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</row>
    <row r="235" spans="1:15" x14ac:dyDescent="0.2">
      <c r="A235" s="130"/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</row>
    <row r="236" spans="1:15" x14ac:dyDescent="0.2">
      <c r="A236" s="130"/>
      <c r="B236" s="130"/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</row>
    <row r="237" spans="1:15" x14ac:dyDescent="0.2">
      <c r="A237" s="130"/>
      <c r="B237" s="130"/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</row>
    <row r="238" spans="1:15" x14ac:dyDescent="0.2">
      <c r="A238" s="130"/>
      <c r="B238" s="130"/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</row>
    <row r="239" spans="1:15" x14ac:dyDescent="0.2">
      <c r="A239" s="130"/>
      <c r="B239" s="130"/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</row>
    <row r="240" spans="1:15" x14ac:dyDescent="0.2">
      <c r="A240" s="130"/>
      <c r="B240" s="130"/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</row>
    <row r="241" spans="1:15" x14ac:dyDescent="0.2">
      <c r="A241" s="130"/>
      <c r="B241" s="130"/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</row>
    <row r="242" spans="1:15" x14ac:dyDescent="0.2">
      <c r="A242" s="130"/>
      <c r="B242" s="130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</row>
    <row r="243" spans="1:15" x14ac:dyDescent="0.2">
      <c r="A243" s="130"/>
      <c r="B243" s="130"/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</row>
    <row r="244" spans="1:15" x14ac:dyDescent="0.2">
      <c r="A244" s="130"/>
      <c r="B244" s="130"/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</row>
    <row r="245" spans="1:15" x14ac:dyDescent="0.2">
      <c r="A245" s="130"/>
      <c r="B245" s="130"/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</row>
    <row r="246" spans="1:15" x14ac:dyDescent="0.2">
      <c r="A246" s="130"/>
      <c r="B246" s="130"/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</row>
    <row r="247" spans="1:15" x14ac:dyDescent="0.2">
      <c r="A247" s="130"/>
      <c r="B247" s="130"/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</row>
    <row r="248" spans="1:15" x14ac:dyDescent="0.2">
      <c r="A248" s="130"/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</row>
    <row r="249" spans="1:15" x14ac:dyDescent="0.2">
      <c r="A249" s="130"/>
      <c r="B249" s="130"/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</row>
    <row r="250" spans="1:15" x14ac:dyDescent="0.2">
      <c r="A250" s="130"/>
      <c r="B250" s="130"/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</row>
    <row r="251" spans="1:15" x14ac:dyDescent="0.2">
      <c r="A251" s="130"/>
      <c r="B251" s="130"/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</row>
    <row r="252" spans="1:15" x14ac:dyDescent="0.2">
      <c r="A252" s="130"/>
      <c r="B252" s="130"/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</row>
    <row r="253" spans="1:15" x14ac:dyDescent="0.2">
      <c r="A253" s="130"/>
      <c r="B253" s="130"/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</row>
    <row r="254" spans="1:15" x14ac:dyDescent="0.2">
      <c r="A254" s="130"/>
      <c r="B254" s="130"/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</row>
    <row r="255" spans="1:15" x14ac:dyDescent="0.2">
      <c r="A255" s="130"/>
      <c r="B255" s="130"/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</row>
    <row r="256" spans="1:15" x14ac:dyDescent="0.2">
      <c r="A256" s="130"/>
      <c r="B256" s="130"/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</row>
    <row r="257" spans="1:15" x14ac:dyDescent="0.2">
      <c r="A257" s="130"/>
      <c r="B257" s="130"/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</row>
    <row r="258" spans="1:15" x14ac:dyDescent="0.2">
      <c r="A258" s="130"/>
      <c r="B258" s="130"/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</row>
    <row r="259" spans="1:15" x14ac:dyDescent="0.2">
      <c r="A259" s="130"/>
      <c r="B259" s="130"/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</row>
    <row r="260" spans="1:15" x14ac:dyDescent="0.2">
      <c r="A260" s="130"/>
      <c r="B260" s="130"/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</row>
    <row r="261" spans="1:15" x14ac:dyDescent="0.2">
      <c r="A261" s="130"/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</row>
    <row r="262" spans="1:15" x14ac:dyDescent="0.2">
      <c r="A262" s="130"/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</row>
    <row r="263" spans="1:15" x14ac:dyDescent="0.2">
      <c r="A263" s="130"/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</row>
    <row r="264" spans="1:15" x14ac:dyDescent="0.2">
      <c r="A264" s="130"/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</row>
    <row r="265" spans="1:15" x14ac:dyDescent="0.2">
      <c r="A265" s="130"/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</row>
    <row r="266" spans="1:15" x14ac:dyDescent="0.2">
      <c r="A266" s="130"/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</row>
    <row r="267" spans="1:15" x14ac:dyDescent="0.2">
      <c r="A267" s="130"/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</row>
    <row r="268" spans="1:15" x14ac:dyDescent="0.2">
      <c r="A268" s="130"/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</row>
    <row r="269" spans="1:15" x14ac:dyDescent="0.2">
      <c r="A269" s="130"/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</row>
    <row r="270" spans="1:15" x14ac:dyDescent="0.2">
      <c r="A270" s="130"/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</row>
    <row r="271" spans="1:15" x14ac:dyDescent="0.2">
      <c r="A271" s="130"/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</row>
    <row r="272" spans="1:15" x14ac:dyDescent="0.2">
      <c r="A272" s="130"/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</row>
    <row r="273" spans="1:15" x14ac:dyDescent="0.2">
      <c r="A273" s="130"/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</row>
    <row r="274" spans="1:15" x14ac:dyDescent="0.2">
      <c r="A274" s="130"/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</row>
    <row r="275" spans="1:15" x14ac:dyDescent="0.2">
      <c r="A275" s="130"/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</row>
    <row r="276" spans="1:15" x14ac:dyDescent="0.2">
      <c r="A276" s="130"/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</row>
    <row r="277" spans="1:15" x14ac:dyDescent="0.2">
      <c r="A277" s="130"/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</row>
    <row r="278" spans="1:15" x14ac:dyDescent="0.2">
      <c r="A278" s="130"/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</row>
    <row r="279" spans="1:15" x14ac:dyDescent="0.2">
      <c r="A279" s="130"/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</row>
    <row r="280" spans="1:15" x14ac:dyDescent="0.2">
      <c r="A280" s="130"/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</row>
    <row r="281" spans="1:15" x14ac:dyDescent="0.2">
      <c r="A281" s="130"/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</row>
    <row r="282" spans="1:15" x14ac:dyDescent="0.2">
      <c r="A282" s="130"/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</row>
    <row r="283" spans="1:15" x14ac:dyDescent="0.2">
      <c r="A283" s="130"/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</row>
    <row r="284" spans="1:15" x14ac:dyDescent="0.2">
      <c r="A284" s="130"/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</row>
    <row r="285" spans="1:15" x14ac:dyDescent="0.2">
      <c r="A285" s="130"/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</row>
    <row r="286" spans="1:15" x14ac:dyDescent="0.2">
      <c r="A286" s="130"/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</row>
    <row r="287" spans="1:15" x14ac:dyDescent="0.2">
      <c r="A287" s="130"/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</row>
    <row r="288" spans="1:15" x14ac:dyDescent="0.2">
      <c r="A288" s="130"/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</row>
    <row r="289" spans="1:15" x14ac:dyDescent="0.2">
      <c r="A289" s="130"/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</row>
    <row r="290" spans="1:15" x14ac:dyDescent="0.2">
      <c r="A290" s="130"/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</row>
    <row r="291" spans="1:15" x14ac:dyDescent="0.2">
      <c r="A291" s="130"/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</row>
    <row r="292" spans="1:15" x14ac:dyDescent="0.2">
      <c r="A292" s="130"/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</row>
    <row r="293" spans="1:15" x14ac:dyDescent="0.2">
      <c r="A293" s="130"/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</row>
    <row r="294" spans="1:15" x14ac:dyDescent="0.2">
      <c r="A294" s="130"/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</row>
    <row r="295" spans="1:15" x14ac:dyDescent="0.2">
      <c r="A295" s="130"/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</row>
    <row r="296" spans="1:15" x14ac:dyDescent="0.2">
      <c r="A296" s="130"/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</row>
    <row r="297" spans="1:15" x14ac:dyDescent="0.2">
      <c r="A297" s="130"/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</row>
    <row r="298" spans="1:15" x14ac:dyDescent="0.2">
      <c r="A298" s="130"/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</row>
    <row r="299" spans="1:15" x14ac:dyDescent="0.2">
      <c r="A299" s="130"/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</row>
    <row r="300" spans="1:15" x14ac:dyDescent="0.2">
      <c r="A300" s="130"/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</row>
    <row r="301" spans="1:15" x14ac:dyDescent="0.2">
      <c r="A301" s="130"/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</row>
    <row r="302" spans="1:15" x14ac:dyDescent="0.2">
      <c r="A302" s="130"/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</row>
    <row r="303" spans="1:15" x14ac:dyDescent="0.2">
      <c r="A303" s="130"/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</row>
    <row r="304" spans="1:15" x14ac:dyDescent="0.2">
      <c r="A304" s="130"/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</row>
    <row r="305" spans="1:15" x14ac:dyDescent="0.2">
      <c r="A305" s="130"/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</row>
    <row r="306" spans="1:15" x14ac:dyDescent="0.2">
      <c r="A306" s="130"/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</row>
    <row r="307" spans="1:15" x14ac:dyDescent="0.2">
      <c r="A307" s="130"/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</row>
    <row r="308" spans="1:15" x14ac:dyDescent="0.2">
      <c r="A308" s="130"/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</row>
    <row r="309" spans="1:15" x14ac:dyDescent="0.2">
      <c r="A309" s="130"/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</row>
    <row r="310" spans="1:15" x14ac:dyDescent="0.2">
      <c r="A310" s="130"/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</row>
    <row r="311" spans="1:15" x14ac:dyDescent="0.2">
      <c r="A311" s="130"/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</row>
    <row r="312" spans="1:15" x14ac:dyDescent="0.2">
      <c r="A312" s="130"/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</row>
    <row r="313" spans="1:15" x14ac:dyDescent="0.2">
      <c r="A313" s="130"/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</row>
    <row r="314" spans="1:15" x14ac:dyDescent="0.2">
      <c r="A314" s="130"/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</row>
    <row r="315" spans="1:15" x14ac:dyDescent="0.2">
      <c r="A315" s="130"/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</row>
    <row r="316" spans="1:15" x14ac:dyDescent="0.2">
      <c r="A316" s="130"/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</row>
    <row r="317" spans="1:15" x14ac:dyDescent="0.2">
      <c r="A317" s="130"/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</row>
    <row r="318" spans="1:15" x14ac:dyDescent="0.2">
      <c r="A318" s="130"/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</row>
    <row r="319" spans="1:15" x14ac:dyDescent="0.2">
      <c r="A319" s="130"/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</row>
    <row r="320" spans="1:15" x14ac:dyDescent="0.2">
      <c r="A320" s="130"/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</row>
    <row r="321" spans="1:15" x14ac:dyDescent="0.2">
      <c r="A321" s="130"/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</row>
    <row r="322" spans="1:15" x14ac:dyDescent="0.2">
      <c r="A322" s="130"/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</row>
    <row r="323" spans="1:15" x14ac:dyDescent="0.2">
      <c r="A323" s="130"/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</row>
    <row r="324" spans="1:15" x14ac:dyDescent="0.2">
      <c r="A324" s="130"/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</row>
    <row r="325" spans="1:15" x14ac:dyDescent="0.2">
      <c r="A325" s="130"/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</row>
    <row r="326" spans="1:15" x14ac:dyDescent="0.2">
      <c r="A326" s="130"/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</row>
    <row r="327" spans="1:15" x14ac:dyDescent="0.2">
      <c r="A327" s="130"/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</row>
    <row r="328" spans="1:15" x14ac:dyDescent="0.2">
      <c r="A328" s="130"/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</row>
    <row r="329" spans="1:15" x14ac:dyDescent="0.2">
      <c r="A329" s="130"/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</row>
    <row r="330" spans="1:15" x14ac:dyDescent="0.2">
      <c r="A330" s="130"/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</row>
    <row r="331" spans="1:15" x14ac:dyDescent="0.2">
      <c r="A331" s="130"/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</row>
    <row r="332" spans="1:15" x14ac:dyDescent="0.2">
      <c r="A332" s="130"/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</row>
    <row r="333" spans="1:15" x14ac:dyDescent="0.2">
      <c r="A333" s="130"/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</row>
    <row r="334" spans="1:15" x14ac:dyDescent="0.2">
      <c r="A334" s="130"/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</row>
    <row r="335" spans="1:15" x14ac:dyDescent="0.2">
      <c r="A335" s="130"/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</row>
    <row r="336" spans="1:15" x14ac:dyDescent="0.2">
      <c r="A336" s="130"/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</row>
    <row r="337" spans="1:15" x14ac:dyDescent="0.2">
      <c r="A337" s="130"/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</row>
    <row r="338" spans="1:15" x14ac:dyDescent="0.2">
      <c r="A338" s="130"/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</row>
    <row r="339" spans="1:15" x14ac:dyDescent="0.2">
      <c r="A339" s="130"/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</row>
    <row r="340" spans="1:15" x14ac:dyDescent="0.2">
      <c r="A340" s="130"/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</row>
    <row r="341" spans="1:15" x14ac:dyDescent="0.2">
      <c r="A341" s="13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</row>
    <row r="342" spans="1:15" x14ac:dyDescent="0.2">
      <c r="A342" s="130"/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</row>
    <row r="343" spans="1:15" x14ac:dyDescent="0.2">
      <c r="A343" s="130"/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</row>
    <row r="344" spans="1:15" x14ac:dyDescent="0.2">
      <c r="A344" s="130"/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</row>
    <row r="345" spans="1:15" x14ac:dyDescent="0.2">
      <c r="A345" s="130"/>
      <c r="B345" s="130"/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</row>
    <row r="346" spans="1:15" x14ac:dyDescent="0.2">
      <c r="A346" s="130"/>
      <c r="B346" s="130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</row>
    <row r="347" spans="1:15" x14ac:dyDescent="0.2">
      <c r="A347" s="130"/>
      <c r="B347" s="130"/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</row>
    <row r="348" spans="1:15" x14ac:dyDescent="0.2">
      <c r="A348" s="130"/>
      <c r="B348" s="130"/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</row>
    <row r="349" spans="1:15" x14ac:dyDescent="0.2">
      <c r="A349" s="130"/>
      <c r="B349" s="130"/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</row>
    <row r="350" spans="1:15" x14ac:dyDescent="0.2">
      <c r="A350" s="130"/>
      <c r="B350" s="130"/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</row>
    <row r="351" spans="1:15" x14ac:dyDescent="0.2">
      <c r="A351" s="130"/>
      <c r="B351" s="130"/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</row>
    <row r="352" spans="1:15" x14ac:dyDescent="0.2">
      <c r="A352" s="130"/>
      <c r="B352" s="130"/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</row>
    <row r="353" spans="1:15" x14ac:dyDescent="0.2">
      <c r="A353" s="130"/>
      <c r="B353" s="130"/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</row>
    <row r="354" spans="1:15" x14ac:dyDescent="0.2">
      <c r="A354" s="130"/>
      <c r="B354" s="130"/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</row>
    <row r="355" spans="1:15" x14ac:dyDescent="0.2">
      <c r="A355" s="130"/>
      <c r="B355" s="130"/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  <c r="M355" s="130"/>
      <c r="N355" s="130"/>
      <c r="O355" s="130"/>
    </row>
    <row r="356" spans="1:15" x14ac:dyDescent="0.2">
      <c r="A356" s="130"/>
      <c r="B356" s="130"/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</row>
    <row r="357" spans="1:15" x14ac:dyDescent="0.2">
      <c r="A357" s="130"/>
      <c r="B357" s="130"/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</row>
    <row r="358" spans="1:15" x14ac:dyDescent="0.2">
      <c r="A358" s="130"/>
      <c r="B358" s="130"/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</row>
    <row r="359" spans="1:15" x14ac:dyDescent="0.2">
      <c r="A359" s="130"/>
      <c r="B359" s="130"/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</row>
    <row r="360" spans="1:15" x14ac:dyDescent="0.2">
      <c r="A360" s="130"/>
      <c r="B360" s="130"/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</row>
    <row r="361" spans="1:15" x14ac:dyDescent="0.2">
      <c r="A361" s="130"/>
      <c r="B361" s="130"/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</row>
    <row r="362" spans="1:15" x14ac:dyDescent="0.2">
      <c r="A362" s="130"/>
      <c r="B362" s="130"/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</row>
    <row r="363" spans="1:15" x14ac:dyDescent="0.2">
      <c r="A363" s="130"/>
      <c r="B363" s="130"/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</row>
    <row r="364" spans="1:15" x14ac:dyDescent="0.2">
      <c r="A364" s="130"/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</row>
    <row r="365" spans="1:15" x14ac:dyDescent="0.2">
      <c r="A365" s="130"/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</row>
    <row r="366" spans="1:15" x14ac:dyDescent="0.2">
      <c r="A366" s="130"/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</row>
    <row r="367" spans="1:15" x14ac:dyDescent="0.2">
      <c r="A367" s="130"/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</row>
    <row r="368" spans="1:15" x14ac:dyDescent="0.2">
      <c r="A368" s="130"/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</row>
    <row r="369" spans="1:15" x14ac:dyDescent="0.2">
      <c r="A369" s="130"/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</row>
    <row r="370" spans="1:15" x14ac:dyDescent="0.2">
      <c r="A370" s="130"/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</row>
    <row r="371" spans="1:15" x14ac:dyDescent="0.2">
      <c r="A371" s="130"/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</row>
    <row r="372" spans="1:15" x14ac:dyDescent="0.2">
      <c r="A372" s="130"/>
      <c r="B372" s="130"/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</row>
    <row r="373" spans="1:15" x14ac:dyDescent="0.2">
      <c r="A373" s="130"/>
      <c r="B373" s="130"/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</row>
    <row r="374" spans="1:15" x14ac:dyDescent="0.2">
      <c r="A374" s="130"/>
      <c r="B374" s="130"/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</row>
    <row r="375" spans="1:15" x14ac:dyDescent="0.2">
      <c r="A375" s="130"/>
      <c r="B375" s="130"/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</row>
    <row r="376" spans="1:15" x14ac:dyDescent="0.2">
      <c r="A376" s="130"/>
      <c r="B376" s="130"/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</row>
    <row r="377" spans="1:15" x14ac:dyDescent="0.2">
      <c r="A377" s="130"/>
      <c r="B377" s="130"/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</row>
    <row r="378" spans="1:15" x14ac:dyDescent="0.2">
      <c r="A378" s="130"/>
      <c r="B378" s="130"/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</row>
    <row r="379" spans="1:15" x14ac:dyDescent="0.2">
      <c r="A379" s="130"/>
      <c r="B379" s="130"/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</row>
    <row r="380" spans="1:15" x14ac:dyDescent="0.2">
      <c r="A380" s="130"/>
      <c r="B380" s="130"/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</row>
    <row r="381" spans="1:15" x14ac:dyDescent="0.2">
      <c r="A381" s="130"/>
      <c r="B381" s="130"/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</row>
    <row r="382" spans="1:15" x14ac:dyDescent="0.2">
      <c r="A382" s="130"/>
      <c r="B382" s="130"/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</row>
    <row r="383" spans="1:15" x14ac:dyDescent="0.2">
      <c r="A383" s="130"/>
      <c r="B383" s="130"/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</row>
    <row r="384" spans="1:15" x14ac:dyDescent="0.2">
      <c r="A384" s="130"/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</row>
    <row r="385" spans="1:15" x14ac:dyDescent="0.2">
      <c r="A385" s="130"/>
      <c r="B385" s="130"/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</row>
    <row r="386" spans="1:15" x14ac:dyDescent="0.2">
      <c r="A386" s="130"/>
      <c r="B386" s="130"/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</row>
    <row r="387" spans="1:15" x14ac:dyDescent="0.2">
      <c r="A387" s="130"/>
      <c r="B387" s="130"/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</row>
    <row r="388" spans="1:15" x14ac:dyDescent="0.2">
      <c r="A388" s="130"/>
      <c r="B388" s="130"/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</row>
    <row r="389" spans="1:15" x14ac:dyDescent="0.2">
      <c r="A389" s="130"/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</row>
    <row r="390" spans="1:15" x14ac:dyDescent="0.2">
      <c r="A390" s="130"/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</row>
    <row r="391" spans="1:15" x14ac:dyDescent="0.2">
      <c r="A391" s="130"/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</row>
    <row r="392" spans="1:15" x14ac:dyDescent="0.2">
      <c r="A392" s="130"/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</row>
    <row r="393" spans="1:15" x14ac:dyDescent="0.2">
      <c r="A393" s="130"/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</row>
    <row r="394" spans="1:15" x14ac:dyDescent="0.2">
      <c r="A394" s="130"/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</row>
    <row r="395" spans="1:15" x14ac:dyDescent="0.2">
      <c r="A395" s="130"/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</row>
    <row r="396" spans="1:15" x14ac:dyDescent="0.2">
      <c r="A396" s="130"/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</row>
    <row r="397" spans="1:15" x14ac:dyDescent="0.2">
      <c r="A397" s="130"/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</row>
    <row r="398" spans="1:15" x14ac:dyDescent="0.2">
      <c r="A398" s="130"/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</row>
    <row r="399" spans="1:15" x14ac:dyDescent="0.2">
      <c r="A399" s="130"/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</row>
    <row r="400" spans="1:15" x14ac:dyDescent="0.2">
      <c r="A400" s="130"/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</row>
    <row r="401" spans="1:15" x14ac:dyDescent="0.2">
      <c r="A401" s="130"/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</row>
    <row r="402" spans="1:15" x14ac:dyDescent="0.2">
      <c r="A402" s="130"/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</row>
    <row r="403" spans="1:15" x14ac:dyDescent="0.2">
      <c r="A403" s="130"/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</row>
    <row r="404" spans="1:15" x14ac:dyDescent="0.2">
      <c r="A404" s="130"/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</row>
    <row r="405" spans="1:15" x14ac:dyDescent="0.2">
      <c r="A405" s="130"/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</row>
    <row r="406" spans="1:15" x14ac:dyDescent="0.2">
      <c r="A406" s="130"/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</row>
    <row r="407" spans="1:15" x14ac:dyDescent="0.2">
      <c r="A407" s="130"/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</row>
    <row r="408" spans="1:15" x14ac:dyDescent="0.2">
      <c r="A408" s="130"/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</row>
    <row r="409" spans="1:15" x14ac:dyDescent="0.2">
      <c r="A409" s="130"/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</row>
    <row r="410" spans="1:15" x14ac:dyDescent="0.2">
      <c r="A410" s="130"/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</row>
    <row r="411" spans="1:15" x14ac:dyDescent="0.2">
      <c r="A411" s="130"/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</row>
    <row r="412" spans="1:15" x14ac:dyDescent="0.2">
      <c r="A412" s="130"/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</row>
    <row r="413" spans="1:15" x14ac:dyDescent="0.2">
      <c r="A413" s="130"/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</row>
    <row r="414" spans="1:15" x14ac:dyDescent="0.2">
      <c r="A414" s="130"/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</row>
    <row r="415" spans="1:15" x14ac:dyDescent="0.2">
      <c r="A415" s="130"/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</row>
    <row r="416" spans="1:15" x14ac:dyDescent="0.2">
      <c r="A416" s="130"/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</row>
    <row r="417" spans="1:15" x14ac:dyDescent="0.2">
      <c r="A417" s="130"/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</row>
    <row r="418" spans="1:15" x14ac:dyDescent="0.2">
      <c r="A418" s="130"/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</row>
    <row r="419" spans="1:15" x14ac:dyDescent="0.2">
      <c r="A419" s="130"/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  <c r="M419" s="130"/>
      <c r="N419" s="130"/>
      <c r="O419" s="130"/>
    </row>
    <row r="420" spans="1:15" x14ac:dyDescent="0.2">
      <c r="A420" s="130"/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</row>
    <row r="421" spans="1:15" x14ac:dyDescent="0.2">
      <c r="A421" s="130"/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</row>
    <row r="422" spans="1:15" x14ac:dyDescent="0.2">
      <c r="A422" s="130"/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</row>
    <row r="423" spans="1:15" x14ac:dyDescent="0.2">
      <c r="A423" s="130"/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</row>
    <row r="424" spans="1:15" x14ac:dyDescent="0.2">
      <c r="A424" s="130"/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</row>
    <row r="425" spans="1:15" x14ac:dyDescent="0.2">
      <c r="A425" s="130"/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</row>
    <row r="426" spans="1:15" x14ac:dyDescent="0.2">
      <c r="A426" s="130"/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</row>
    <row r="427" spans="1:15" x14ac:dyDescent="0.2">
      <c r="A427" s="130"/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</row>
    <row r="428" spans="1:15" x14ac:dyDescent="0.2">
      <c r="A428" s="130"/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</row>
    <row r="429" spans="1:15" x14ac:dyDescent="0.2">
      <c r="A429" s="130"/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</row>
    <row r="430" spans="1:15" x14ac:dyDescent="0.2">
      <c r="A430" s="130"/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</row>
    <row r="431" spans="1:15" x14ac:dyDescent="0.2">
      <c r="A431" s="130"/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</row>
    <row r="432" spans="1:15" x14ac:dyDescent="0.2">
      <c r="A432" s="130"/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</row>
    <row r="433" spans="1:15" x14ac:dyDescent="0.2">
      <c r="A433" s="130"/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</row>
    <row r="434" spans="1:15" x14ac:dyDescent="0.2">
      <c r="A434" s="130"/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</row>
    <row r="435" spans="1:15" x14ac:dyDescent="0.2">
      <c r="A435" s="130"/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</row>
    <row r="436" spans="1:15" x14ac:dyDescent="0.2">
      <c r="A436" s="130"/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</row>
    <row r="437" spans="1:15" x14ac:dyDescent="0.2">
      <c r="A437" s="130"/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</row>
    <row r="438" spans="1:15" x14ac:dyDescent="0.2">
      <c r="A438" s="130"/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</row>
    <row r="439" spans="1:15" x14ac:dyDescent="0.2">
      <c r="A439" s="130"/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</row>
    <row r="440" spans="1:15" x14ac:dyDescent="0.2">
      <c r="A440" s="130"/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</row>
    <row r="441" spans="1:15" x14ac:dyDescent="0.2">
      <c r="A441" s="130"/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</row>
    <row r="442" spans="1:15" x14ac:dyDescent="0.2">
      <c r="A442" s="130"/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</row>
    <row r="443" spans="1:15" x14ac:dyDescent="0.2">
      <c r="A443" s="130"/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</row>
    <row r="444" spans="1:15" x14ac:dyDescent="0.2">
      <c r="A444" s="130"/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</row>
    <row r="445" spans="1:15" x14ac:dyDescent="0.2">
      <c r="A445" s="130"/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</row>
    <row r="446" spans="1:15" x14ac:dyDescent="0.2">
      <c r="A446" s="130"/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</row>
    <row r="447" spans="1:15" x14ac:dyDescent="0.2">
      <c r="A447" s="130"/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</row>
    <row r="448" spans="1:15" x14ac:dyDescent="0.2">
      <c r="A448" s="130"/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</row>
    <row r="449" spans="1:15" x14ac:dyDescent="0.2">
      <c r="A449" s="130"/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</row>
    <row r="450" spans="1:15" x14ac:dyDescent="0.2">
      <c r="A450" s="130"/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</row>
    <row r="451" spans="1:15" x14ac:dyDescent="0.2">
      <c r="A451" s="130"/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  <c r="M451" s="130"/>
      <c r="N451" s="130"/>
      <c r="O451" s="130"/>
    </row>
    <row r="452" spans="1:15" x14ac:dyDescent="0.2">
      <c r="A452" s="130"/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</row>
    <row r="453" spans="1:15" x14ac:dyDescent="0.2">
      <c r="A453" s="130"/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</row>
    <row r="454" spans="1:15" x14ac:dyDescent="0.2">
      <c r="A454" s="130"/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</row>
    <row r="455" spans="1:15" x14ac:dyDescent="0.2">
      <c r="A455" s="130"/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</row>
    <row r="456" spans="1:15" x14ac:dyDescent="0.2">
      <c r="A456" s="130"/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</row>
    <row r="457" spans="1:15" x14ac:dyDescent="0.2">
      <c r="A457" s="130"/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</row>
    <row r="458" spans="1:15" x14ac:dyDescent="0.2">
      <c r="A458" s="130"/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</row>
    <row r="459" spans="1:15" x14ac:dyDescent="0.2">
      <c r="A459" s="130"/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</row>
    <row r="460" spans="1:15" x14ac:dyDescent="0.2">
      <c r="A460" s="130"/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</row>
    <row r="461" spans="1:15" x14ac:dyDescent="0.2">
      <c r="A461" s="130"/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</row>
    <row r="462" spans="1:15" x14ac:dyDescent="0.2">
      <c r="A462" s="130"/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</row>
    <row r="463" spans="1:15" x14ac:dyDescent="0.2">
      <c r="A463" s="130"/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</row>
    <row r="464" spans="1:15" x14ac:dyDescent="0.2">
      <c r="A464" s="130"/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</row>
    <row r="465" spans="1:15" x14ac:dyDescent="0.2">
      <c r="A465" s="130"/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</row>
    <row r="466" spans="1:15" x14ac:dyDescent="0.2">
      <c r="A466" s="130"/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</row>
    <row r="467" spans="1:15" x14ac:dyDescent="0.2">
      <c r="A467" s="130"/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</row>
    <row r="468" spans="1:15" x14ac:dyDescent="0.2">
      <c r="A468" s="130"/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</row>
    <row r="469" spans="1:15" x14ac:dyDescent="0.2">
      <c r="A469" s="130"/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</row>
    <row r="470" spans="1:15" x14ac:dyDescent="0.2">
      <c r="A470" s="130"/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</row>
    <row r="471" spans="1:15" x14ac:dyDescent="0.2">
      <c r="A471" s="130"/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</row>
    <row r="472" spans="1:15" x14ac:dyDescent="0.2">
      <c r="A472" s="130"/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</row>
    <row r="473" spans="1:15" x14ac:dyDescent="0.2">
      <c r="A473" s="130"/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</row>
    <row r="474" spans="1:15" x14ac:dyDescent="0.2">
      <c r="A474" s="130"/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</row>
    <row r="475" spans="1:15" x14ac:dyDescent="0.2">
      <c r="A475" s="130"/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</row>
    <row r="476" spans="1:15" x14ac:dyDescent="0.2">
      <c r="A476" s="130"/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</row>
    <row r="477" spans="1:15" x14ac:dyDescent="0.2">
      <c r="A477" s="130"/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</row>
    <row r="478" spans="1:15" x14ac:dyDescent="0.2">
      <c r="A478" s="130"/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</row>
    <row r="479" spans="1:15" x14ac:dyDescent="0.2">
      <c r="A479" s="130"/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</row>
    <row r="480" spans="1:15" x14ac:dyDescent="0.2">
      <c r="A480" s="130"/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</row>
    <row r="481" spans="1:15" x14ac:dyDescent="0.2">
      <c r="A481" s="130"/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</row>
    <row r="482" spans="1:15" x14ac:dyDescent="0.2">
      <c r="A482" s="130"/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</row>
    <row r="483" spans="1:15" x14ac:dyDescent="0.2">
      <c r="A483" s="130"/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  <c r="M483" s="130"/>
      <c r="N483" s="130"/>
      <c r="O483" s="130"/>
    </row>
    <row r="484" spans="1:15" x14ac:dyDescent="0.2">
      <c r="A484" s="130"/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</row>
    <row r="485" spans="1:15" x14ac:dyDescent="0.2">
      <c r="A485" s="130"/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</row>
    <row r="486" spans="1:15" x14ac:dyDescent="0.2">
      <c r="A486" s="130"/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</row>
    <row r="487" spans="1:15" x14ac:dyDescent="0.2">
      <c r="A487" s="130"/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</row>
    <row r="488" spans="1:15" x14ac:dyDescent="0.2">
      <c r="A488" s="130"/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</row>
    <row r="489" spans="1:15" x14ac:dyDescent="0.2">
      <c r="A489" s="130"/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</row>
    <row r="490" spans="1:15" x14ac:dyDescent="0.2">
      <c r="A490" s="130"/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</row>
    <row r="491" spans="1:15" x14ac:dyDescent="0.2">
      <c r="A491" s="130"/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</row>
    <row r="492" spans="1:15" x14ac:dyDescent="0.2">
      <c r="A492" s="130"/>
      <c r="B492" s="130"/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</row>
    <row r="493" spans="1:15" x14ac:dyDescent="0.2">
      <c r="A493" s="130"/>
      <c r="B493" s="130"/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</row>
    <row r="494" spans="1:15" x14ac:dyDescent="0.2">
      <c r="A494" s="130"/>
      <c r="B494" s="130"/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</row>
    <row r="495" spans="1:15" x14ac:dyDescent="0.2">
      <c r="A495" s="130"/>
      <c r="B495" s="130"/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</row>
    <row r="496" spans="1:15" x14ac:dyDescent="0.2">
      <c r="A496" s="130"/>
      <c r="B496" s="130"/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</row>
    <row r="497" spans="1:15" x14ac:dyDescent="0.2">
      <c r="A497" s="130"/>
      <c r="B497" s="130"/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</row>
    <row r="498" spans="1:15" x14ac:dyDescent="0.2">
      <c r="A498" s="130"/>
      <c r="B498" s="130"/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</row>
    <row r="499" spans="1:15" x14ac:dyDescent="0.2">
      <c r="A499" s="130"/>
      <c r="B499" s="130"/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  <c r="M499" s="130"/>
      <c r="N499" s="130"/>
      <c r="O499" s="130"/>
    </row>
    <row r="500" spans="1:15" x14ac:dyDescent="0.2">
      <c r="A500" s="130"/>
      <c r="B500" s="130"/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</row>
  </sheetData>
  <conditionalFormatting sqref="F40:F63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MyLists</vt:lpstr>
      <vt:lpstr>DayAheadDeals</vt:lpstr>
      <vt:lpstr>MyTemplate</vt:lpstr>
      <vt:lpstr>MarketResults</vt:lpstr>
      <vt:lpstr>Book</vt:lpstr>
      <vt:lpstr>DAM</vt:lpstr>
      <vt:lpstr>DDay</vt:lpstr>
      <vt:lpstr>FolderPathtoUse</vt:lpstr>
      <vt:lpstr>MyAPP</vt:lpstr>
      <vt:lpstr>MyBids</vt:lpstr>
      <vt:lpstr>MyDistinctBids</vt:lpstr>
      <vt:lpstr>MyEPEXBooks</vt:lpstr>
      <vt:lpstr>MyFullBids</vt:lpstr>
      <vt:lpstr>MyLBoundC</vt:lpstr>
      <vt:lpstr>MySortedBids</vt:lpstr>
      <vt:lpstr>MyUBoundC</vt:lpstr>
      <vt:lpstr>SchedulingBids</vt:lpstr>
      <vt:lpstr>TriggerHourlyTemplate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PC</cp:lastModifiedBy>
  <dcterms:created xsi:type="dcterms:W3CDTF">2017-07-25T07:42:12Z</dcterms:created>
  <dcterms:modified xsi:type="dcterms:W3CDTF">2018-07-29T16:50:57Z</dcterms:modified>
</cp:coreProperties>
</file>