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der\Desktop\NGReport_CustomGraphs_SendEmailViaGmail\"/>
    </mc:Choice>
  </mc:AlternateContent>
  <xr:revisionPtr revIDLastSave="0" documentId="13_ncr:1_{3C410613-5540-48B9-9D62-E69DD01E506E}" xr6:coauthVersionLast="41" xr6:coauthVersionMax="41" xr10:uidLastSave="{00000000-0000-0000-0000-000000000000}"/>
  <bookViews>
    <workbookView xWindow="-110" yWindow="-110" windowWidth="19420" windowHeight="10420" activeTab="1" xr2:uid="{00000000-000D-0000-FFFF-FFFF00000000}"/>
  </bookViews>
  <sheets>
    <sheet name="Buttons" sheetId="20" r:id="rId1"/>
    <sheet name="Sheet1" sheetId="1" r:id="rId2"/>
    <sheet name="Prereport" sheetId="2" r:id="rId3"/>
    <sheet name="datatransposed" sheetId="12" r:id="rId4"/>
    <sheet name="SRGBalances" sheetId="11" r:id="rId5"/>
    <sheet name="HistoricalStock" sheetId="14" r:id="rId6"/>
    <sheet name="HistGWhs" sheetId="18" r:id="rId7"/>
    <sheet name="SRGSTOCKS" sheetId="15" r:id="rId8"/>
    <sheet name="PCFCast" sheetId="17" r:id="rId9"/>
    <sheet name="Sheet2" sheetId="19" r:id="rId10"/>
  </sheets>
  <functionGroups builtInGroupCount="19"/>
  <definedNames>
    <definedName name="nPCHistory">SRGBalances!$B$2:$P$30</definedName>
    <definedName name="PCHistory">SRGBalances!$B$2:$P$30</definedName>
    <definedName name="SRGBalancesData">SRGBalances!$A$2:$AA$602</definedName>
    <definedName name="SRGBalancesDateColumn">SRGBalances!$A$1:$A$601</definedName>
    <definedName name="SRGSTOCKSDateColumn">SRGSTOCKS!$A$1:$A$580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21" i="20" l="1"/>
  <c r="F20" i="20"/>
  <c r="X175" i="1" l="1"/>
  <c r="N9" i="14" l="1"/>
  <c r="N20" i="14" s="1"/>
  <c r="M9" i="14"/>
  <c r="M20" i="14" s="1"/>
  <c r="L9" i="14"/>
  <c r="L20" i="14" s="1"/>
  <c r="K9" i="14"/>
  <c r="K20" i="14" s="1"/>
  <c r="Q2" i="15"/>
  <c r="Q3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B9" i="14" s="1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C9" i="14" s="1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D9" i="14" s="1"/>
  <c r="AC17" i="1" s="1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E9" i="14" s="1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F9" i="14" s="1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181" i="15"/>
  <c r="Q182" i="15"/>
  <c r="Q183" i="15"/>
  <c r="Q184" i="15"/>
  <c r="G9" i="14" s="1"/>
  <c r="Q185" i="15"/>
  <c r="Q186" i="15"/>
  <c r="Q187" i="15"/>
  <c r="Q188" i="15"/>
  <c r="Q189" i="15"/>
  <c r="Q190" i="15"/>
  <c r="Q191" i="15"/>
  <c r="Q192" i="15"/>
  <c r="Q193" i="15"/>
  <c r="Q194" i="15"/>
  <c r="Q195" i="15"/>
  <c r="Q196" i="15"/>
  <c r="Q197" i="15"/>
  <c r="Q198" i="15"/>
  <c r="Q199" i="15"/>
  <c r="Q200" i="15"/>
  <c r="Q201" i="15"/>
  <c r="Q202" i="15"/>
  <c r="Q203" i="15"/>
  <c r="Q204" i="15"/>
  <c r="Q205" i="15"/>
  <c r="Q206" i="15"/>
  <c r="Q207" i="15"/>
  <c r="Q208" i="15"/>
  <c r="Q209" i="15"/>
  <c r="Q210" i="15"/>
  <c r="Q211" i="15"/>
  <c r="Q212" i="15"/>
  <c r="Q213" i="15"/>
  <c r="Q214" i="15"/>
  <c r="Q215" i="15"/>
  <c r="H9" i="14" s="1"/>
  <c r="AG17" i="1" s="1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229" i="15"/>
  <c r="Q230" i="15"/>
  <c r="Q231" i="15"/>
  <c r="Q232" i="15"/>
  <c r="Q233" i="15"/>
  <c r="Q234" i="15"/>
  <c r="Q235" i="15"/>
  <c r="Q236" i="15"/>
  <c r="Q237" i="15"/>
  <c r="Q238" i="15"/>
  <c r="Q239" i="15"/>
  <c r="Q240" i="15"/>
  <c r="Q241" i="15"/>
  <c r="Q242" i="15"/>
  <c r="Q243" i="15"/>
  <c r="Q244" i="15"/>
  <c r="Q245" i="15"/>
  <c r="I9" i="14" s="1"/>
  <c r="Q246" i="15"/>
  <c r="Q247" i="15"/>
  <c r="Q248" i="15"/>
  <c r="Q249" i="15"/>
  <c r="Q250" i="15"/>
  <c r="Q251" i="15"/>
  <c r="Q252" i="15"/>
  <c r="Q253" i="15"/>
  <c r="Q254" i="15"/>
  <c r="Q255" i="15"/>
  <c r="Q256" i="15"/>
  <c r="Q257" i="15"/>
  <c r="Q258" i="15"/>
  <c r="Q259" i="15"/>
  <c r="Q260" i="15"/>
  <c r="Q261" i="15"/>
  <c r="Q262" i="15"/>
  <c r="Q263" i="15"/>
  <c r="Q264" i="15"/>
  <c r="Q265" i="15"/>
  <c r="Q266" i="15"/>
  <c r="Q267" i="15"/>
  <c r="Q268" i="15"/>
  <c r="Q269" i="15"/>
  <c r="Q270" i="15"/>
  <c r="Q271" i="15"/>
  <c r="Q272" i="15"/>
  <c r="Q273" i="15"/>
  <c r="Q274" i="15"/>
  <c r="Q275" i="15"/>
  <c r="Q276" i="15"/>
  <c r="J9" i="14" s="1"/>
  <c r="Q277" i="15"/>
  <c r="Q278" i="15"/>
  <c r="Q279" i="15"/>
  <c r="Q280" i="15"/>
  <c r="Q281" i="15"/>
  <c r="Q282" i="15"/>
  <c r="Q283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N10" i="14"/>
  <c r="N21" i="14" s="1"/>
  <c r="N11" i="14"/>
  <c r="N22" i="14" s="1"/>
  <c r="M10" i="14"/>
  <c r="M21" i="14" s="1"/>
  <c r="M11" i="14"/>
  <c r="M22" i="14" s="1"/>
  <c r="L10" i="14"/>
  <c r="L21" i="14" s="1"/>
  <c r="L11" i="14"/>
  <c r="L22" i="14" s="1"/>
  <c r="K10" i="14"/>
  <c r="K21" i="14" s="1"/>
  <c r="K11" i="14"/>
  <c r="K22" i="14" s="1"/>
  <c r="J10" i="14"/>
  <c r="J21" i="14" s="1"/>
  <c r="J11" i="14"/>
  <c r="J22" i="14" s="1"/>
  <c r="G13" i="14"/>
  <c r="I10" i="14"/>
  <c r="I21" i="14" s="1"/>
  <c r="I11" i="14"/>
  <c r="I22" i="14" s="1"/>
  <c r="E10" i="14"/>
  <c r="E21" i="14" s="1"/>
  <c r="F10" i="14"/>
  <c r="F21" i="14" s="1"/>
  <c r="G10" i="14"/>
  <c r="G21" i="14" s="1"/>
  <c r="H10" i="14"/>
  <c r="H21" i="14" s="1"/>
  <c r="E11" i="14"/>
  <c r="E22" i="14" s="1"/>
  <c r="F11" i="14"/>
  <c r="F22" i="14" s="1"/>
  <c r="G11" i="14"/>
  <c r="G22" i="14" s="1"/>
  <c r="H11" i="14"/>
  <c r="H22" i="14" s="1"/>
  <c r="D10" i="14"/>
  <c r="D21" i="14" s="1"/>
  <c r="D11" i="14"/>
  <c r="D22" i="14" s="1"/>
  <c r="C10" i="14"/>
  <c r="C21" i="14" s="1"/>
  <c r="C11" i="14"/>
  <c r="C22" i="14" s="1"/>
  <c r="B10" i="14"/>
  <c r="B21" i="14" s="1"/>
  <c r="B11" i="14"/>
  <c r="B22" i="14" s="1"/>
  <c r="N8" i="14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A27" i="17"/>
  <c r="B27" i="17"/>
  <c r="Y3" i="2" s="1"/>
  <c r="C27" i="17"/>
  <c r="D27" i="17"/>
  <c r="E27" i="17"/>
  <c r="A28" i="17"/>
  <c r="B28" i="17"/>
  <c r="Z3" i="2" s="1"/>
  <c r="C28" i="17"/>
  <c r="D28" i="17"/>
  <c r="E28" i="17"/>
  <c r="A29" i="17"/>
  <c r="B29" i="17"/>
  <c r="C29" i="17"/>
  <c r="D29" i="17"/>
  <c r="AA3" i="2" s="1"/>
  <c r="E29" i="17"/>
  <c r="A30" i="17"/>
  <c r="B30" i="17"/>
  <c r="C30" i="17"/>
  <c r="D30" i="17"/>
  <c r="AB3" i="2" s="1"/>
  <c r="E30" i="17"/>
  <c r="A31" i="17"/>
  <c r="B31" i="17"/>
  <c r="C31" i="17"/>
  <c r="D31" i="17"/>
  <c r="AC3" i="2" s="1"/>
  <c r="E31" i="17"/>
  <c r="A32" i="17"/>
  <c r="B32" i="17"/>
  <c r="C32" i="17"/>
  <c r="D32" i="17"/>
  <c r="AD3" i="2" s="1"/>
  <c r="E32" i="17"/>
  <c r="A33" i="17"/>
  <c r="B33" i="17"/>
  <c r="C33" i="17"/>
  <c r="D33" i="17"/>
  <c r="AE3" i="2" s="1"/>
  <c r="E33" i="17"/>
  <c r="A34" i="17"/>
  <c r="B34" i="17"/>
  <c r="C34" i="17"/>
  <c r="D34" i="17"/>
  <c r="AF3" i="2" s="1"/>
  <c r="E34" i="17"/>
  <c r="A35" i="17"/>
  <c r="B35" i="17"/>
  <c r="C35" i="17"/>
  <c r="D35" i="17"/>
  <c r="AG3" i="2" s="1"/>
  <c r="E35" i="17"/>
  <c r="A36" i="17"/>
  <c r="B36" i="17"/>
  <c r="C36" i="17"/>
  <c r="D36" i="17"/>
  <c r="AH3" i="2" s="1"/>
  <c r="E36" i="17"/>
  <c r="A37" i="17"/>
  <c r="B37" i="17"/>
  <c r="C37" i="17"/>
  <c r="D37" i="17"/>
  <c r="AI3" i="2" s="1"/>
  <c r="E37" i="17"/>
  <c r="A38" i="17"/>
  <c r="B38" i="17"/>
  <c r="C38" i="17"/>
  <c r="D38" i="17"/>
  <c r="AJ3" i="2" s="1"/>
  <c r="E38" i="17"/>
  <c r="A39" i="17"/>
  <c r="B39" i="17"/>
  <c r="C39" i="17"/>
  <c r="D39" i="17"/>
  <c r="AK3" i="2" s="1"/>
  <c r="E39" i="17"/>
  <c r="A40" i="17"/>
  <c r="B40" i="17"/>
  <c r="C40" i="17"/>
  <c r="D40" i="17"/>
  <c r="AL3" i="2" s="1"/>
  <c r="E40" i="17"/>
  <c r="E26" i="17"/>
  <c r="D26" i="17"/>
  <c r="C26" i="17"/>
  <c r="B26" i="17"/>
  <c r="X3" i="2" s="1"/>
  <c r="A26" i="17"/>
  <c r="E25" i="17"/>
  <c r="C25" i="17"/>
  <c r="W3" i="2" s="1"/>
  <c r="A25" i="17"/>
  <c r="X277" i="1"/>
  <c r="AM265" i="1" s="1"/>
  <c r="W277" i="1"/>
  <c r="V277" i="1"/>
  <c r="U277" i="1"/>
  <c r="T277" i="1"/>
  <c r="S277" i="1"/>
  <c r="R277" i="1"/>
  <c r="Q277" i="1"/>
  <c r="P277" i="1"/>
  <c r="O277" i="1"/>
  <c r="N277" i="1"/>
  <c r="M277" i="1"/>
  <c r="L277" i="1"/>
  <c r="K277" i="1"/>
  <c r="J277" i="1"/>
  <c r="I277" i="1"/>
  <c r="H277" i="1"/>
  <c r="G277" i="1"/>
  <c r="F277" i="1"/>
  <c r="E277" i="1"/>
  <c r="AM50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AM45" i="2"/>
  <c r="AL45" i="2"/>
  <c r="AK45" i="2"/>
  <c r="AJ45" i="2"/>
  <c r="AI45" i="2"/>
  <c r="AH45" i="2"/>
  <c r="AG45" i="2"/>
  <c r="AF45" i="2"/>
  <c r="AE45" i="2"/>
  <c r="AD45" i="2"/>
  <c r="AC45" i="2"/>
  <c r="AB45" i="2"/>
  <c r="AA45" i="2"/>
  <c r="Z45" i="2"/>
  <c r="Y45" i="2"/>
  <c r="AJ14" i="12"/>
  <c r="AM15" i="2" s="1"/>
  <c r="AI14" i="12"/>
  <c r="AL15" i="2" s="1"/>
  <c r="AL153" i="1" s="1"/>
  <c r="AH14" i="12"/>
  <c r="AK15" i="2" s="1"/>
  <c r="AK153" i="1" s="1"/>
  <c r="AK154" i="1" s="1"/>
  <c r="AG14" i="12"/>
  <c r="AJ15" i="2" s="1"/>
  <c r="AJ153" i="1" s="1"/>
  <c r="AF14" i="12"/>
  <c r="AE14" i="12"/>
  <c r="AH15" i="2" s="1"/>
  <c r="AH153" i="1" s="1"/>
  <c r="AD14" i="12"/>
  <c r="AG15" i="2" s="1"/>
  <c r="AG153" i="1" s="1"/>
  <c r="AC14" i="12"/>
  <c r="AF15" i="2" s="1"/>
  <c r="AF153" i="1" s="1"/>
  <c r="AB14" i="12"/>
  <c r="AE15" i="2" s="1"/>
  <c r="AE153" i="1" s="1"/>
  <c r="AE154" i="1" s="1"/>
  <c r="AA14" i="12"/>
  <c r="AD15" i="2" s="1"/>
  <c r="AD153" i="1" s="1"/>
  <c r="Z14" i="12"/>
  <c r="AC15" i="2" s="1"/>
  <c r="AC153" i="1" s="1"/>
  <c r="AC154" i="1" s="1"/>
  <c r="Y14" i="12"/>
  <c r="AB15" i="2" s="1"/>
  <c r="AB153" i="1" s="1"/>
  <c r="X14" i="12"/>
  <c r="W14" i="12"/>
  <c r="Z15" i="2" s="1"/>
  <c r="Z153" i="1" s="1"/>
  <c r="V14" i="12"/>
  <c r="Y15" i="2" s="1"/>
  <c r="Y153" i="1" s="1"/>
  <c r="AJ11" i="12"/>
  <c r="AM5" i="2" s="1"/>
  <c r="AI11" i="12"/>
  <c r="AL5" i="2" s="1"/>
  <c r="AL90" i="1" s="1"/>
  <c r="AH11" i="12"/>
  <c r="AK5" i="2" s="1"/>
  <c r="AK90" i="1" s="1"/>
  <c r="AG11" i="12"/>
  <c r="AJ5" i="2" s="1"/>
  <c r="AJ90" i="1" s="1"/>
  <c r="AF11" i="12"/>
  <c r="AI5" i="2" s="1"/>
  <c r="AI90" i="1" s="1"/>
  <c r="AE11" i="12"/>
  <c r="AD11" i="12"/>
  <c r="AG5" i="2" s="1"/>
  <c r="AG90" i="1" s="1"/>
  <c r="AC11" i="12"/>
  <c r="AF5" i="2" s="1"/>
  <c r="AF90" i="1" s="1"/>
  <c r="AB11" i="12"/>
  <c r="AA11" i="12"/>
  <c r="Z11" i="12"/>
  <c r="AC5" i="2" s="1"/>
  <c r="AC90" i="1" s="1"/>
  <c r="Y11" i="12"/>
  <c r="AB5" i="2" s="1"/>
  <c r="AB90" i="1" s="1"/>
  <c r="AB91" i="1" s="1"/>
  <c r="X11" i="12"/>
  <c r="AA5" i="2" s="1"/>
  <c r="AA90" i="1" s="1"/>
  <c r="W11" i="12"/>
  <c r="V11" i="12"/>
  <c r="Y5" i="2" s="1"/>
  <c r="Y90" i="1" s="1"/>
  <c r="AJ10" i="12"/>
  <c r="AM10" i="2" s="1"/>
  <c r="AI10" i="12"/>
  <c r="AH10" i="12"/>
  <c r="AG10" i="12"/>
  <c r="AJ10" i="2" s="1"/>
  <c r="AJ126" i="1" s="1"/>
  <c r="AF10" i="12"/>
  <c r="AI10" i="2" s="1"/>
  <c r="AI126" i="1" s="1"/>
  <c r="AE10" i="12"/>
  <c r="AH10" i="2" s="1"/>
  <c r="AH126" i="1" s="1"/>
  <c r="AD10" i="12"/>
  <c r="AC10" i="12"/>
  <c r="AF10" i="2" s="1"/>
  <c r="AF126" i="1" s="1"/>
  <c r="AB10" i="12"/>
  <c r="AE10" i="2" s="1"/>
  <c r="AE126" i="1" s="1"/>
  <c r="AE127" i="1" s="1"/>
  <c r="AA10" i="12"/>
  <c r="Z10" i="12"/>
  <c r="AC10" i="2" s="1"/>
  <c r="AC126" i="1" s="1"/>
  <c r="Y10" i="12"/>
  <c r="AB10" i="2" s="1"/>
  <c r="AB126" i="1" s="1"/>
  <c r="X10" i="12"/>
  <c r="AA10" i="2" s="1"/>
  <c r="AA126" i="1" s="1"/>
  <c r="W10" i="12"/>
  <c r="Z10" i="2" s="1"/>
  <c r="Z126" i="1" s="1"/>
  <c r="V10" i="12"/>
  <c r="E17" i="17"/>
  <c r="D17" i="17"/>
  <c r="AJ3" i="12" s="1"/>
  <c r="AM1" i="2" s="1"/>
  <c r="C17" i="17"/>
  <c r="E16" i="17"/>
  <c r="D16" i="17"/>
  <c r="AI3" i="12" s="1"/>
  <c r="AL1" i="2" s="1"/>
  <c r="AL50" i="1" s="1"/>
  <c r="C16" i="17"/>
  <c r="E15" i="17"/>
  <c r="D15" i="17"/>
  <c r="AH3" i="12" s="1"/>
  <c r="AK1" i="2" s="1"/>
  <c r="C15" i="17"/>
  <c r="E14" i="17"/>
  <c r="D14" i="17"/>
  <c r="AG3" i="12" s="1"/>
  <c r="AJ1" i="2" s="1"/>
  <c r="C14" i="17"/>
  <c r="E13" i="17"/>
  <c r="D13" i="17"/>
  <c r="AF3" i="12" s="1"/>
  <c r="AI1" i="2" s="1"/>
  <c r="C13" i="17"/>
  <c r="E12" i="17"/>
  <c r="D12" i="17"/>
  <c r="AE3" i="12" s="1"/>
  <c r="AH1" i="2" s="1"/>
  <c r="C12" i="17"/>
  <c r="E11" i="17"/>
  <c r="D11" i="17"/>
  <c r="AD3" i="12" s="1"/>
  <c r="AG1" i="2" s="1"/>
  <c r="C11" i="17"/>
  <c r="E10" i="17"/>
  <c r="D10" i="17"/>
  <c r="AC3" i="12" s="1"/>
  <c r="AF1" i="2" s="1"/>
  <c r="AF63" i="1" s="1"/>
  <c r="C10" i="17"/>
  <c r="E9" i="17"/>
  <c r="D9" i="17"/>
  <c r="AB3" i="12" s="1"/>
  <c r="AE1" i="2" s="1"/>
  <c r="C9" i="17"/>
  <c r="E8" i="17"/>
  <c r="D8" i="17"/>
  <c r="AA3" i="12" s="1"/>
  <c r="AD1" i="2" s="1"/>
  <c r="AD63" i="1" s="1"/>
  <c r="C8" i="17"/>
  <c r="E7" i="17"/>
  <c r="D7" i="17"/>
  <c r="Z3" i="12" s="1"/>
  <c r="AC1" i="2" s="1"/>
  <c r="C7" i="17"/>
  <c r="E6" i="17"/>
  <c r="D6" i="17"/>
  <c r="Y3" i="12" s="1"/>
  <c r="AB1" i="2" s="1"/>
  <c r="C6" i="17"/>
  <c r="E5" i="17"/>
  <c r="D5" i="17"/>
  <c r="C5" i="17"/>
  <c r="E4" i="17"/>
  <c r="D4" i="17"/>
  <c r="C4" i="17"/>
  <c r="E3" i="17"/>
  <c r="D3" i="17"/>
  <c r="C3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X3" i="12" s="1"/>
  <c r="AA1" i="2" s="1"/>
  <c r="AA50" i="1" s="1"/>
  <c r="B4" i="17"/>
  <c r="W3" i="12" s="1"/>
  <c r="Z1" i="2" s="1"/>
  <c r="B3" i="17"/>
  <c r="V3" i="12" s="1"/>
  <c r="Y1" i="2" s="1"/>
  <c r="E2" i="17"/>
  <c r="C2" i="17"/>
  <c r="A17" i="17"/>
  <c r="AJ1" i="12" s="1"/>
  <c r="A16" i="17"/>
  <c r="A15" i="17"/>
  <c r="A14" i="17"/>
  <c r="AG1" i="12" s="1"/>
  <c r="A13" i="17"/>
  <c r="A12" i="17"/>
  <c r="AE1" i="12" s="1"/>
  <c r="A11" i="17"/>
  <c r="AD1" i="12" s="1"/>
  <c r="A10" i="17"/>
  <c r="A9" i="17"/>
  <c r="AB1" i="12" s="1"/>
  <c r="A8" i="17"/>
  <c r="A7" i="17"/>
  <c r="A6" i="17"/>
  <c r="Y1" i="12" s="1"/>
  <c r="A5" i="17"/>
  <c r="A4" i="17"/>
  <c r="W1" i="12" s="1"/>
  <c r="A3" i="17"/>
  <c r="V1" i="12" s="1"/>
  <c r="U1" i="12" s="1"/>
  <c r="A2" i="17"/>
  <c r="AL22" i="1"/>
  <c r="AK22" i="1"/>
  <c r="AJ22" i="1"/>
  <c r="AI22" i="1"/>
  <c r="AH22" i="1"/>
  <c r="AG22" i="1"/>
  <c r="AF22" i="1"/>
  <c r="AE22" i="1"/>
  <c r="AD22" i="1"/>
  <c r="AC22" i="1"/>
  <c r="AB22" i="1"/>
  <c r="AL21" i="1"/>
  <c r="AK21" i="1"/>
  <c r="AJ21" i="1"/>
  <c r="AI21" i="1"/>
  <c r="AH21" i="1"/>
  <c r="AG21" i="1"/>
  <c r="AF21" i="1"/>
  <c r="AE21" i="1"/>
  <c r="AD21" i="1"/>
  <c r="AC21" i="1"/>
  <c r="AB21" i="1"/>
  <c r="AL20" i="1"/>
  <c r="AK20" i="1"/>
  <c r="AJ20" i="1"/>
  <c r="AI20" i="1"/>
  <c r="AH20" i="1"/>
  <c r="AG20" i="1"/>
  <c r="AF20" i="1"/>
  <c r="AE20" i="1"/>
  <c r="AD20" i="1"/>
  <c r="AC20" i="1"/>
  <c r="AB20" i="1"/>
  <c r="AL19" i="1"/>
  <c r="AK19" i="1"/>
  <c r="AJ19" i="1"/>
  <c r="AI19" i="1"/>
  <c r="AH19" i="1"/>
  <c r="AG19" i="1"/>
  <c r="AF19" i="1"/>
  <c r="AE19" i="1"/>
  <c r="AD19" i="1"/>
  <c r="AC19" i="1"/>
  <c r="AB19" i="1"/>
  <c r="AL18" i="1"/>
  <c r="AK18" i="1"/>
  <c r="AJ18" i="1"/>
  <c r="AI18" i="1"/>
  <c r="AH18" i="1"/>
  <c r="AG18" i="1"/>
  <c r="AF18" i="1"/>
  <c r="AE18" i="1"/>
  <c r="AD18" i="1"/>
  <c r="AC18" i="1"/>
  <c r="AB18" i="1"/>
  <c r="AA22" i="1"/>
  <c r="AA21" i="1"/>
  <c r="AA20" i="1"/>
  <c r="AA19" i="1"/>
  <c r="AA18" i="1"/>
  <c r="M19" i="14"/>
  <c r="N7" i="14"/>
  <c r="N18" i="14" s="1"/>
  <c r="N6" i="14"/>
  <c r="N17" i="14" s="1"/>
  <c r="N5" i="14"/>
  <c r="N16" i="14" s="1"/>
  <c r="N4" i="14"/>
  <c r="N15" i="14" s="1"/>
  <c r="A2" i="18"/>
  <c r="J378" i="18"/>
  <c r="H378" i="18"/>
  <c r="F378" i="18"/>
  <c r="J377" i="18"/>
  <c r="H377" i="18"/>
  <c r="F377" i="18"/>
  <c r="J376" i="18"/>
  <c r="H376" i="18"/>
  <c r="F376" i="18"/>
  <c r="J375" i="18"/>
  <c r="H375" i="18"/>
  <c r="F375" i="18"/>
  <c r="D375" i="18"/>
  <c r="J374" i="18"/>
  <c r="H374" i="18"/>
  <c r="F374" i="18"/>
  <c r="D374" i="18"/>
  <c r="B374" i="18"/>
  <c r="J373" i="18"/>
  <c r="H373" i="18"/>
  <c r="F373" i="18"/>
  <c r="D373" i="18"/>
  <c r="B373" i="18"/>
  <c r="J372" i="18"/>
  <c r="H372" i="18"/>
  <c r="F372" i="18"/>
  <c r="D372" i="18"/>
  <c r="B372" i="18"/>
  <c r="J371" i="18"/>
  <c r="H371" i="18"/>
  <c r="F371" i="18"/>
  <c r="D371" i="18"/>
  <c r="B371" i="18"/>
  <c r="J370" i="18"/>
  <c r="H370" i="18"/>
  <c r="F370" i="18"/>
  <c r="D370" i="18"/>
  <c r="B370" i="18"/>
  <c r="J369" i="18"/>
  <c r="H369" i="18"/>
  <c r="F369" i="18"/>
  <c r="D369" i="18"/>
  <c r="B369" i="18"/>
  <c r="J368" i="18"/>
  <c r="H368" i="18"/>
  <c r="F368" i="18"/>
  <c r="D368" i="18"/>
  <c r="B368" i="18"/>
  <c r="J367" i="18"/>
  <c r="H367" i="18"/>
  <c r="F367" i="18"/>
  <c r="D367" i="18"/>
  <c r="B367" i="18"/>
  <c r="J366" i="18"/>
  <c r="H366" i="18"/>
  <c r="F366" i="18"/>
  <c r="D366" i="18"/>
  <c r="B366" i="18"/>
  <c r="J365" i="18"/>
  <c r="H365" i="18"/>
  <c r="F365" i="18"/>
  <c r="D365" i="18"/>
  <c r="B365" i="18"/>
  <c r="J364" i="18"/>
  <c r="H364" i="18"/>
  <c r="F364" i="18"/>
  <c r="D364" i="18"/>
  <c r="B364" i="18"/>
  <c r="J363" i="18"/>
  <c r="H363" i="18"/>
  <c r="F363" i="18"/>
  <c r="D363" i="18"/>
  <c r="B363" i="18"/>
  <c r="J362" i="18"/>
  <c r="H362" i="18"/>
  <c r="F362" i="18"/>
  <c r="D362" i="18"/>
  <c r="B362" i="18"/>
  <c r="J361" i="18"/>
  <c r="H361" i="18"/>
  <c r="F361" i="18"/>
  <c r="D361" i="18"/>
  <c r="B361" i="18"/>
  <c r="J360" i="18"/>
  <c r="H360" i="18"/>
  <c r="F360" i="18"/>
  <c r="D360" i="18"/>
  <c r="B360" i="18"/>
  <c r="J359" i="18"/>
  <c r="H359" i="18"/>
  <c r="F359" i="18"/>
  <c r="D359" i="18"/>
  <c r="B359" i="18"/>
  <c r="J358" i="18"/>
  <c r="H358" i="18"/>
  <c r="F358" i="18"/>
  <c r="D358" i="18"/>
  <c r="B358" i="18"/>
  <c r="J357" i="18"/>
  <c r="H357" i="18"/>
  <c r="F357" i="18"/>
  <c r="D357" i="18"/>
  <c r="B357" i="18"/>
  <c r="J356" i="18"/>
  <c r="H356" i="18"/>
  <c r="F356" i="18"/>
  <c r="D356" i="18"/>
  <c r="B356" i="18"/>
  <c r="J355" i="18"/>
  <c r="H355" i="18"/>
  <c r="F355" i="18"/>
  <c r="D355" i="18"/>
  <c r="B355" i="18"/>
  <c r="J354" i="18"/>
  <c r="H354" i="18"/>
  <c r="F354" i="18"/>
  <c r="D354" i="18"/>
  <c r="B354" i="18"/>
  <c r="J353" i="18"/>
  <c r="H353" i="18"/>
  <c r="F353" i="18"/>
  <c r="D353" i="18"/>
  <c r="B353" i="18"/>
  <c r="J352" i="18"/>
  <c r="H352" i="18"/>
  <c r="F352" i="18"/>
  <c r="D352" i="18"/>
  <c r="B352" i="18"/>
  <c r="J351" i="18"/>
  <c r="H351" i="18"/>
  <c r="F351" i="18"/>
  <c r="D351" i="18"/>
  <c r="B351" i="18"/>
  <c r="J350" i="18"/>
  <c r="H350" i="18"/>
  <c r="F350" i="18"/>
  <c r="D350" i="18"/>
  <c r="B350" i="18"/>
  <c r="J349" i="18"/>
  <c r="H349" i="18"/>
  <c r="F349" i="18"/>
  <c r="D349" i="18"/>
  <c r="B349" i="18"/>
  <c r="J348" i="18"/>
  <c r="H348" i="18"/>
  <c r="F348" i="18"/>
  <c r="D348" i="18"/>
  <c r="B348" i="18"/>
  <c r="J347" i="18"/>
  <c r="H347" i="18"/>
  <c r="F347" i="18"/>
  <c r="D347" i="18"/>
  <c r="B347" i="18"/>
  <c r="J346" i="18"/>
  <c r="H346" i="18"/>
  <c r="F346" i="18"/>
  <c r="D346" i="18"/>
  <c r="B346" i="18"/>
  <c r="J345" i="18"/>
  <c r="H345" i="18"/>
  <c r="F345" i="18"/>
  <c r="D345" i="18"/>
  <c r="B345" i="18"/>
  <c r="J344" i="18"/>
  <c r="H344" i="18"/>
  <c r="F344" i="18"/>
  <c r="D344" i="18"/>
  <c r="B344" i="18"/>
  <c r="J343" i="18"/>
  <c r="H343" i="18"/>
  <c r="F343" i="18"/>
  <c r="D343" i="18"/>
  <c r="B343" i="18"/>
  <c r="J342" i="18"/>
  <c r="H342" i="18"/>
  <c r="F342" i="18"/>
  <c r="D342" i="18"/>
  <c r="B342" i="18"/>
  <c r="J341" i="18"/>
  <c r="H341" i="18"/>
  <c r="F341" i="18"/>
  <c r="D341" i="18"/>
  <c r="B341" i="18"/>
  <c r="J340" i="18"/>
  <c r="H340" i="18"/>
  <c r="F340" i="18"/>
  <c r="D340" i="18"/>
  <c r="B340" i="18"/>
  <c r="J339" i="18"/>
  <c r="H339" i="18"/>
  <c r="F339" i="18"/>
  <c r="D339" i="18"/>
  <c r="B339" i="18"/>
  <c r="J338" i="18"/>
  <c r="H338" i="18"/>
  <c r="F338" i="18"/>
  <c r="D338" i="18"/>
  <c r="B338" i="18"/>
  <c r="J337" i="18"/>
  <c r="H337" i="18"/>
  <c r="F337" i="18"/>
  <c r="D337" i="18"/>
  <c r="B337" i="18"/>
  <c r="J336" i="18"/>
  <c r="H336" i="18"/>
  <c r="F336" i="18"/>
  <c r="D336" i="18"/>
  <c r="B336" i="18"/>
  <c r="J335" i="18"/>
  <c r="H335" i="18"/>
  <c r="F335" i="18"/>
  <c r="D335" i="18"/>
  <c r="B335" i="18"/>
  <c r="J334" i="18"/>
  <c r="H334" i="18"/>
  <c r="F334" i="18"/>
  <c r="D334" i="18"/>
  <c r="B334" i="18"/>
  <c r="J333" i="18"/>
  <c r="H333" i="18"/>
  <c r="F333" i="18"/>
  <c r="D333" i="18"/>
  <c r="B333" i="18"/>
  <c r="J332" i="18"/>
  <c r="H332" i="18"/>
  <c r="F332" i="18"/>
  <c r="D332" i="18"/>
  <c r="B332" i="18"/>
  <c r="J331" i="18"/>
  <c r="H331" i="18"/>
  <c r="F331" i="18"/>
  <c r="D331" i="18"/>
  <c r="B331" i="18"/>
  <c r="J330" i="18"/>
  <c r="H330" i="18"/>
  <c r="F330" i="18"/>
  <c r="D330" i="18"/>
  <c r="B330" i="18"/>
  <c r="J329" i="18"/>
  <c r="H329" i="18"/>
  <c r="F329" i="18"/>
  <c r="D329" i="18"/>
  <c r="B329" i="18"/>
  <c r="J328" i="18"/>
  <c r="H328" i="18"/>
  <c r="F328" i="18"/>
  <c r="D328" i="18"/>
  <c r="B328" i="18"/>
  <c r="J327" i="18"/>
  <c r="H327" i="18"/>
  <c r="F327" i="18"/>
  <c r="D327" i="18"/>
  <c r="B327" i="18"/>
  <c r="J326" i="18"/>
  <c r="H326" i="18"/>
  <c r="F326" i="18"/>
  <c r="D326" i="18"/>
  <c r="B326" i="18"/>
  <c r="J325" i="18"/>
  <c r="H325" i="18"/>
  <c r="F325" i="18"/>
  <c r="D325" i="18"/>
  <c r="B325" i="18"/>
  <c r="J324" i="18"/>
  <c r="H324" i="18"/>
  <c r="F324" i="18"/>
  <c r="D324" i="18"/>
  <c r="B324" i="18"/>
  <c r="J323" i="18"/>
  <c r="H323" i="18"/>
  <c r="F323" i="18"/>
  <c r="D323" i="18"/>
  <c r="B323" i="18"/>
  <c r="J322" i="18"/>
  <c r="H322" i="18"/>
  <c r="F322" i="18"/>
  <c r="D322" i="18"/>
  <c r="B322" i="18"/>
  <c r="J321" i="18"/>
  <c r="H321" i="18"/>
  <c r="F321" i="18"/>
  <c r="D321" i="18"/>
  <c r="B321" i="18"/>
  <c r="J320" i="18"/>
  <c r="H320" i="18"/>
  <c r="F320" i="18"/>
  <c r="D320" i="18"/>
  <c r="B320" i="18"/>
  <c r="J319" i="18"/>
  <c r="H319" i="18"/>
  <c r="F319" i="18"/>
  <c r="D319" i="18"/>
  <c r="B319" i="18"/>
  <c r="J318" i="18"/>
  <c r="H318" i="18"/>
  <c r="F318" i="18"/>
  <c r="D318" i="18"/>
  <c r="B318" i="18"/>
  <c r="J317" i="18"/>
  <c r="H317" i="18"/>
  <c r="F317" i="18"/>
  <c r="D317" i="18"/>
  <c r="B317" i="18"/>
  <c r="J316" i="18"/>
  <c r="H316" i="18"/>
  <c r="F316" i="18"/>
  <c r="D316" i="18"/>
  <c r="B316" i="18"/>
  <c r="J315" i="18"/>
  <c r="H315" i="18"/>
  <c r="F315" i="18"/>
  <c r="D315" i="18"/>
  <c r="B315" i="18"/>
  <c r="J314" i="18"/>
  <c r="H314" i="18"/>
  <c r="F314" i="18"/>
  <c r="D314" i="18"/>
  <c r="B314" i="18"/>
  <c r="J313" i="18"/>
  <c r="H313" i="18"/>
  <c r="F313" i="18"/>
  <c r="D313" i="18"/>
  <c r="B313" i="18"/>
  <c r="J312" i="18"/>
  <c r="H312" i="18"/>
  <c r="F312" i="18"/>
  <c r="D312" i="18"/>
  <c r="B312" i="18"/>
  <c r="J311" i="18"/>
  <c r="H311" i="18"/>
  <c r="F311" i="18"/>
  <c r="D311" i="18"/>
  <c r="B311" i="18"/>
  <c r="J310" i="18"/>
  <c r="H310" i="18"/>
  <c r="F310" i="18"/>
  <c r="D310" i="18"/>
  <c r="B310" i="18"/>
  <c r="J309" i="18"/>
  <c r="H309" i="18"/>
  <c r="F309" i="18"/>
  <c r="D309" i="18"/>
  <c r="B309" i="18"/>
  <c r="J308" i="18"/>
  <c r="H308" i="18"/>
  <c r="F308" i="18"/>
  <c r="D308" i="18"/>
  <c r="B308" i="18"/>
  <c r="J307" i="18"/>
  <c r="H307" i="18"/>
  <c r="F307" i="18"/>
  <c r="D307" i="18"/>
  <c r="B307" i="18"/>
  <c r="J306" i="18"/>
  <c r="H306" i="18"/>
  <c r="F306" i="18"/>
  <c r="D306" i="18"/>
  <c r="B306" i="18"/>
  <c r="J305" i="18"/>
  <c r="H305" i="18"/>
  <c r="F305" i="18"/>
  <c r="D305" i="18"/>
  <c r="B305" i="18"/>
  <c r="J304" i="18"/>
  <c r="H304" i="18"/>
  <c r="F304" i="18"/>
  <c r="D304" i="18"/>
  <c r="B304" i="18"/>
  <c r="J303" i="18"/>
  <c r="H303" i="18"/>
  <c r="F303" i="18"/>
  <c r="D303" i="18"/>
  <c r="B303" i="18"/>
  <c r="J302" i="18"/>
  <c r="H302" i="18"/>
  <c r="F302" i="18"/>
  <c r="D302" i="18"/>
  <c r="B302" i="18"/>
  <c r="J301" i="18"/>
  <c r="H301" i="18"/>
  <c r="F301" i="18"/>
  <c r="D301" i="18"/>
  <c r="B301" i="18"/>
  <c r="J300" i="18"/>
  <c r="H300" i="18"/>
  <c r="F300" i="18"/>
  <c r="D300" i="18"/>
  <c r="B300" i="18"/>
  <c r="J299" i="18"/>
  <c r="H299" i="18"/>
  <c r="F299" i="18"/>
  <c r="D299" i="18"/>
  <c r="B299" i="18"/>
  <c r="J298" i="18"/>
  <c r="H298" i="18"/>
  <c r="F298" i="18"/>
  <c r="D298" i="18"/>
  <c r="B298" i="18"/>
  <c r="J297" i="18"/>
  <c r="H297" i="18"/>
  <c r="F297" i="18"/>
  <c r="D297" i="18"/>
  <c r="B297" i="18"/>
  <c r="J296" i="18"/>
  <c r="H296" i="18"/>
  <c r="F296" i="18"/>
  <c r="D296" i="18"/>
  <c r="B296" i="18"/>
  <c r="J295" i="18"/>
  <c r="H295" i="18"/>
  <c r="F295" i="18"/>
  <c r="D295" i="18"/>
  <c r="B295" i="18"/>
  <c r="J294" i="18"/>
  <c r="H294" i="18"/>
  <c r="F294" i="18"/>
  <c r="D294" i="18"/>
  <c r="B294" i="18"/>
  <c r="J293" i="18"/>
  <c r="H293" i="18"/>
  <c r="F293" i="18"/>
  <c r="D293" i="18"/>
  <c r="B293" i="18"/>
  <c r="J292" i="18"/>
  <c r="H292" i="18"/>
  <c r="F292" i="18"/>
  <c r="D292" i="18"/>
  <c r="B292" i="18"/>
  <c r="J291" i="18"/>
  <c r="H291" i="18"/>
  <c r="F291" i="18"/>
  <c r="D291" i="18"/>
  <c r="B291" i="18"/>
  <c r="J290" i="18"/>
  <c r="H290" i="18"/>
  <c r="F290" i="18"/>
  <c r="D290" i="18"/>
  <c r="B290" i="18"/>
  <c r="J289" i="18"/>
  <c r="H289" i="18"/>
  <c r="F289" i="18"/>
  <c r="D289" i="18"/>
  <c r="B289" i="18"/>
  <c r="J288" i="18"/>
  <c r="H288" i="18"/>
  <c r="F288" i="18"/>
  <c r="D288" i="18"/>
  <c r="B288" i="18"/>
  <c r="J287" i="18"/>
  <c r="H287" i="18"/>
  <c r="F287" i="18"/>
  <c r="D287" i="18"/>
  <c r="B287" i="18"/>
  <c r="J286" i="18"/>
  <c r="H286" i="18"/>
  <c r="F286" i="18"/>
  <c r="D286" i="18"/>
  <c r="B286" i="18"/>
  <c r="J285" i="18"/>
  <c r="H285" i="18"/>
  <c r="F285" i="18"/>
  <c r="D285" i="18"/>
  <c r="B285" i="18"/>
  <c r="J284" i="18"/>
  <c r="H284" i="18"/>
  <c r="F284" i="18"/>
  <c r="D284" i="18"/>
  <c r="B284" i="18"/>
  <c r="J283" i="18"/>
  <c r="H283" i="18"/>
  <c r="F283" i="18"/>
  <c r="D283" i="18"/>
  <c r="B283" i="18"/>
  <c r="J282" i="18"/>
  <c r="H282" i="18"/>
  <c r="F282" i="18"/>
  <c r="D282" i="18"/>
  <c r="B282" i="18"/>
  <c r="J281" i="18"/>
  <c r="H281" i="18"/>
  <c r="F281" i="18"/>
  <c r="D281" i="18"/>
  <c r="B281" i="18"/>
  <c r="J280" i="18"/>
  <c r="H280" i="18"/>
  <c r="F280" i="18"/>
  <c r="D280" i="18"/>
  <c r="B280" i="18"/>
  <c r="J279" i="18"/>
  <c r="H279" i="18"/>
  <c r="F279" i="18"/>
  <c r="D279" i="18"/>
  <c r="B279" i="18"/>
  <c r="J278" i="18"/>
  <c r="H278" i="18"/>
  <c r="F278" i="18"/>
  <c r="D278" i="18"/>
  <c r="B278" i="18"/>
  <c r="J277" i="18"/>
  <c r="H277" i="18"/>
  <c r="F277" i="18"/>
  <c r="D277" i="18"/>
  <c r="B277" i="18"/>
  <c r="J276" i="18"/>
  <c r="H276" i="18"/>
  <c r="F276" i="18"/>
  <c r="D276" i="18"/>
  <c r="B276" i="18"/>
  <c r="J275" i="18"/>
  <c r="H275" i="18"/>
  <c r="F275" i="18"/>
  <c r="D275" i="18"/>
  <c r="B275" i="18"/>
  <c r="J274" i="18"/>
  <c r="H274" i="18"/>
  <c r="F274" i="18"/>
  <c r="D274" i="18"/>
  <c r="B274" i="18"/>
  <c r="J273" i="18"/>
  <c r="H273" i="18"/>
  <c r="F273" i="18"/>
  <c r="D273" i="18"/>
  <c r="B273" i="18"/>
  <c r="J272" i="18"/>
  <c r="H272" i="18"/>
  <c r="F272" i="18"/>
  <c r="D272" i="18"/>
  <c r="B272" i="18"/>
  <c r="J271" i="18"/>
  <c r="H271" i="18"/>
  <c r="F271" i="18"/>
  <c r="D271" i="18"/>
  <c r="B271" i="18"/>
  <c r="J270" i="18"/>
  <c r="H270" i="18"/>
  <c r="F270" i="18"/>
  <c r="D270" i="18"/>
  <c r="B270" i="18"/>
  <c r="J269" i="18"/>
  <c r="H269" i="18"/>
  <c r="F269" i="18"/>
  <c r="D269" i="18"/>
  <c r="B269" i="18"/>
  <c r="J268" i="18"/>
  <c r="H268" i="18"/>
  <c r="F268" i="18"/>
  <c r="D268" i="18"/>
  <c r="B268" i="18"/>
  <c r="J267" i="18"/>
  <c r="H267" i="18"/>
  <c r="F267" i="18"/>
  <c r="D267" i="18"/>
  <c r="B267" i="18"/>
  <c r="J266" i="18"/>
  <c r="H266" i="18"/>
  <c r="F266" i="18"/>
  <c r="D266" i="18"/>
  <c r="B266" i="18"/>
  <c r="J265" i="18"/>
  <c r="H265" i="18"/>
  <c r="F265" i="18"/>
  <c r="D265" i="18"/>
  <c r="B265" i="18"/>
  <c r="J264" i="18"/>
  <c r="H264" i="18"/>
  <c r="F264" i="18"/>
  <c r="D264" i="18"/>
  <c r="B264" i="18"/>
  <c r="J263" i="18"/>
  <c r="H263" i="18"/>
  <c r="F263" i="18"/>
  <c r="D263" i="18"/>
  <c r="B263" i="18"/>
  <c r="J262" i="18"/>
  <c r="H262" i="18"/>
  <c r="F262" i="18"/>
  <c r="D262" i="18"/>
  <c r="B262" i="18"/>
  <c r="J261" i="18"/>
  <c r="H261" i="18"/>
  <c r="F261" i="18"/>
  <c r="D261" i="18"/>
  <c r="B261" i="18"/>
  <c r="J260" i="18"/>
  <c r="H260" i="18"/>
  <c r="F260" i="18"/>
  <c r="D260" i="18"/>
  <c r="B260" i="18"/>
  <c r="J259" i="18"/>
  <c r="H259" i="18"/>
  <c r="F259" i="18"/>
  <c r="D259" i="18"/>
  <c r="B259" i="18"/>
  <c r="J258" i="18"/>
  <c r="H258" i="18"/>
  <c r="F258" i="18"/>
  <c r="D258" i="18"/>
  <c r="B258" i="18"/>
  <c r="J257" i="18"/>
  <c r="H257" i="18"/>
  <c r="F257" i="18"/>
  <c r="D257" i="18"/>
  <c r="B257" i="18"/>
  <c r="J256" i="18"/>
  <c r="H256" i="18"/>
  <c r="F256" i="18"/>
  <c r="D256" i="18"/>
  <c r="B256" i="18"/>
  <c r="J255" i="18"/>
  <c r="H255" i="18"/>
  <c r="F255" i="18"/>
  <c r="D255" i="18"/>
  <c r="B255" i="18"/>
  <c r="J254" i="18"/>
  <c r="H254" i="18"/>
  <c r="F254" i="18"/>
  <c r="D254" i="18"/>
  <c r="B254" i="18"/>
  <c r="J253" i="18"/>
  <c r="H253" i="18"/>
  <c r="F253" i="18"/>
  <c r="D253" i="18"/>
  <c r="B253" i="18"/>
  <c r="J252" i="18"/>
  <c r="H252" i="18"/>
  <c r="F252" i="18"/>
  <c r="D252" i="18"/>
  <c r="B252" i="18"/>
  <c r="J251" i="18"/>
  <c r="H251" i="18"/>
  <c r="F251" i="18"/>
  <c r="D251" i="18"/>
  <c r="B251" i="18"/>
  <c r="J250" i="18"/>
  <c r="H250" i="18"/>
  <c r="F250" i="18"/>
  <c r="D250" i="18"/>
  <c r="B250" i="18"/>
  <c r="J249" i="18"/>
  <c r="H249" i="18"/>
  <c r="F249" i="18"/>
  <c r="D249" i="18"/>
  <c r="B249" i="18"/>
  <c r="J248" i="18"/>
  <c r="H248" i="18"/>
  <c r="F248" i="18"/>
  <c r="D248" i="18"/>
  <c r="B248" i="18"/>
  <c r="J247" i="18"/>
  <c r="H247" i="18"/>
  <c r="F247" i="18"/>
  <c r="D247" i="18"/>
  <c r="B247" i="18"/>
  <c r="J246" i="18"/>
  <c r="H246" i="18"/>
  <c r="F246" i="18"/>
  <c r="D246" i="18"/>
  <c r="B246" i="18"/>
  <c r="J245" i="18"/>
  <c r="H245" i="18"/>
  <c r="F245" i="18"/>
  <c r="D245" i="18"/>
  <c r="B245" i="18"/>
  <c r="J244" i="18"/>
  <c r="H244" i="18"/>
  <c r="F244" i="18"/>
  <c r="D244" i="18"/>
  <c r="B244" i="18"/>
  <c r="J243" i="18"/>
  <c r="H243" i="18"/>
  <c r="F243" i="18"/>
  <c r="D243" i="18"/>
  <c r="B243" i="18"/>
  <c r="J242" i="18"/>
  <c r="H242" i="18"/>
  <c r="F242" i="18"/>
  <c r="D242" i="18"/>
  <c r="B242" i="18"/>
  <c r="J241" i="18"/>
  <c r="H241" i="18"/>
  <c r="F241" i="18"/>
  <c r="D241" i="18"/>
  <c r="B241" i="18"/>
  <c r="J240" i="18"/>
  <c r="H240" i="18"/>
  <c r="F240" i="18"/>
  <c r="D240" i="18"/>
  <c r="B240" i="18"/>
  <c r="J239" i="18"/>
  <c r="H239" i="18"/>
  <c r="F239" i="18"/>
  <c r="D239" i="18"/>
  <c r="B239" i="18"/>
  <c r="J238" i="18"/>
  <c r="H238" i="18"/>
  <c r="F238" i="18"/>
  <c r="D238" i="18"/>
  <c r="B238" i="18"/>
  <c r="J237" i="18"/>
  <c r="H237" i="18"/>
  <c r="F237" i="18"/>
  <c r="D237" i="18"/>
  <c r="B237" i="18"/>
  <c r="J236" i="18"/>
  <c r="H236" i="18"/>
  <c r="F236" i="18"/>
  <c r="D236" i="18"/>
  <c r="B236" i="18"/>
  <c r="J235" i="18"/>
  <c r="H235" i="18"/>
  <c r="F235" i="18"/>
  <c r="D235" i="18"/>
  <c r="B235" i="18"/>
  <c r="J234" i="18"/>
  <c r="H234" i="18"/>
  <c r="F234" i="18"/>
  <c r="D234" i="18"/>
  <c r="B234" i="18"/>
  <c r="J233" i="18"/>
  <c r="H233" i="18"/>
  <c r="F233" i="18"/>
  <c r="D233" i="18"/>
  <c r="B233" i="18"/>
  <c r="J232" i="18"/>
  <c r="H232" i="18"/>
  <c r="F232" i="18"/>
  <c r="D232" i="18"/>
  <c r="B232" i="18"/>
  <c r="J231" i="18"/>
  <c r="H231" i="18"/>
  <c r="F231" i="18"/>
  <c r="D231" i="18"/>
  <c r="B231" i="18"/>
  <c r="J230" i="18"/>
  <c r="H230" i="18"/>
  <c r="F230" i="18"/>
  <c r="D230" i="18"/>
  <c r="B230" i="18"/>
  <c r="J229" i="18"/>
  <c r="H229" i="18"/>
  <c r="F229" i="18"/>
  <c r="D229" i="18"/>
  <c r="B229" i="18"/>
  <c r="J228" i="18"/>
  <c r="H228" i="18"/>
  <c r="F228" i="18"/>
  <c r="D228" i="18"/>
  <c r="B228" i="18"/>
  <c r="J227" i="18"/>
  <c r="H227" i="18"/>
  <c r="F227" i="18"/>
  <c r="D227" i="18"/>
  <c r="B227" i="18"/>
  <c r="J226" i="18"/>
  <c r="H226" i="18"/>
  <c r="F226" i="18"/>
  <c r="D226" i="18"/>
  <c r="B226" i="18"/>
  <c r="J225" i="18"/>
  <c r="H225" i="18"/>
  <c r="F225" i="18"/>
  <c r="D225" i="18"/>
  <c r="B225" i="18"/>
  <c r="J224" i="18"/>
  <c r="H224" i="18"/>
  <c r="F224" i="18"/>
  <c r="D224" i="18"/>
  <c r="B224" i="18"/>
  <c r="J223" i="18"/>
  <c r="H223" i="18"/>
  <c r="F223" i="18"/>
  <c r="D223" i="18"/>
  <c r="B223" i="18"/>
  <c r="J222" i="18"/>
  <c r="H222" i="18"/>
  <c r="F222" i="18"/>
  <c r="D222" i="18"/>
  <c r="B222" i="18"/>
  <c r="J221" i="18"/>
  <c r="H221" i="18"/>
  <c r="F221" i="18"/>
  <c r="D221" i="18"/>
  <c r="B221" i="18"/>
  <c r="J220" i="18"/>
  <c r="H220" i="18"/>
  <c r="F220" i="18"/>
  <c r="D220" i="18"/>
  <c r="B220" i="18"/>
  <c r="J219" i="18"/>
  <c r="H219" i="18"/>
  <c r="F219" i="18"/>
  <c r="D219" i="18"/>
  <c r="B219" i="18"/>
  <c r="J218" i="18"/>
  <c r="H218" i="18"/>
  <c r="F218" i="18"/>
  <c r="D218" i="18"/>
  <c r="B218" i="18"/>
  <c r="J217" i="18"/>
  <c r="H217" i="18"/>
  <c r="F217" i="18"/>
  <c r="D217" i="18"/>
  <c r="B217" i="18"/>
  <c r="J216" i="18"/>
  <c r="H216" i="18"/>
  <c r="F216" i="18"/>
  <c r="D216" i="18"/>
  <c r="B216" i="18"/>
  <c r="J215" i="18"/>
  <c r="H215" i="18"/>
  <c r="F215" i="18"/>
  <c r="D215" i="18"/>
  <c r="B215" i="18"/>
  <c r="J214" i="18"/>
  <c r="H214" i="18"/>
  <c r="F214" i="18"/>
  <c r="D214" i="18"/>
  <c r="B214" i="18"/>
  <c r="J213" i="18"/>
  <c r="H213" i="18"/>
  <c r="F213" i="18"/>
  <c r="D213" i="18"/>
  <c r="B213" i="18"/>
  <c r="J212" i="18"/>
  <c r="H212" i="18"/>
  <c r="F212" i="18"/>
  <c r="D212" i="18"/>
  <c r="B212" i="18"/>
  <c r="J211" i="18"/>
  <c r="H211" i="18"/>
  <c r="F211" i="18"/>
  <c r="D211" i="18"/>
  <c r="B211" i="18"/>
  <c r="J210" i="18"/>
  <c r="H210" i="18"/>
  <c r="F210" i="18"/>
  <c r="D210" i="18"/>
  <c r="B210" i="18"/>
  <c r="J209" i="18"/>
  <c r="H209" i="18"/>
  <c r="F209" i="18"/>
  <c r="D209" i="18"/>
  <c r="B209" i="18"/>
  <c r="J208" i="18"/>
  <c r="H208" i="18"/>
  <c r="F208" i="18"/>
  <c r="D208" i="18"/>
  <c r="B208" i="18"/>
  <c r="J207" i="18"/>
  <c r="H207" i="18"/>
  <c r="F207" i="18"/>
  <c r="D207" i="18"/>
  <c r="B207" i="18"/>
  <c r="J206" i="18"/>
  <c r="H206" i="18"/>
  <c r="F206" i="18"/>
  <c r="D206" i="18"/>
  <c r="B206" i="18"/>
  <c r="J205" i="18"/>
  <c r="H205" i="18"/>
  <c r="F205" i="18"/>
  <c r="D205" i="18"/>
  <c r="B205" i="18"/>
  <c r="J204" i="18"/>
  <c r="H204" i="18"/>
  <c r="F204" i="18"/>
  <c r="D204" i="18"/>
  <c r="B204" i="18"/>
  <c r="J203" i="18"/>
  <c r="H203" i="18"/>
  <c r="F203" i="18"/>
  <c r="D203" i="18"/>
  <c r="B203" i="18"/>
  <c r="J202" i="18"/>
  <c r="H202" i="18"/>
  <c r="F202" i="18"/>
  <c r="D202" i="18"/>
  <c r="B202" i="18"/>
  <c r="J201" i="18"/>
  <c r="H201" i="18"/>
  <c r="F201" i="18"/>
  <c r="D201" i="18"/>
  <c r="B201" i="18"/>
  <c r="J200" i="18"/>
  <c r="H200" i="18"/>
  <c r="F200" i="18"/>
  <c r="D200" i="18"/>
  <c r="B200" i="18"/>
  <c r="J199" i="18"/>
  <c r="H199" i="18"/>
  <c r="F199" i="18"/>
  <c r="D199" i="18"/>
  <c r="B199" i="18"/>
  <c r="J198" i="18"/>
  <c r="H198" i="18"/>
  <c r="F198" i="18"/>
  <c r="D198" i="18"/>
  <c r="B198" i="18"/>
  <c r="J197" i="18"/>
  <c r="H197" i="18"/>
  <c r="F197" i="18"/>
  <c r="D197" i="18"/>
  <c r="B197" i="18"/>
  <c r="J196" i="18"/>
  <c r="H196" i="18"/>
  <c r="F196" i="18"/>
  <c r="D196" i="18"/>
  <c r="B196" i="18"/>
  <c r="J195" i="18"/>
  <c r="H195" i="18"/>
  <c r="F195" i="18"/>
  <c r="D195" i="18"/>
  <c r="B195" i="18"/>
  <c r="J194" i="18"/>
  <c r="H194" i="18"/>
  <c r="F194" i="18"/>
  <c r="D194" i="18"/>
  <c r="B194" i="18"/>
  <c r="J193" i="18"/>
  <c r="H193" i="18"/>
  <c r="F193" i="18"/>
  <c r="D193" i="18"/>
  <c r="B193" i="18"/>
  <c r="J192" i="18"/>
  <c r="H192" i="18"/>
  <c r="F192" i="18"/>
  <c r="D192" i="18"/>
  <c r="B192" i="18"/>
  <c r="J191" i="18"/>
  <c r="H191" i="18"/>
  <c r="F191" i="18"/>
  <c r="D191" i="18"/>
  <c r="B191" i="18"/>
  <c r="J190" i="18"/>
  <c r="H190" i="18"/>
  <c r="F190" i="18"/>
  <c r="D190" i="18"/>
  <c r="B190" i="18"/>
  <c r="J189" i="18"/>
  <c r="H189" i="18"/>
  <c r="F189" i="18"/>
  <c r="D189" i="18"/>
  <c r="B189" i="18"/>
  <c r="J188" i="18"/>
  <c r="H188" i="18"/>
  <c r="F188" i="18"/>
  <c r="D188" i="18"/>
  <c r="B188" i="18"/>
  <c r="J187" i="18"/>
  <c r="H187" i="18"/>
  <c r="F187" i="18"/>
  <c r="D187" i="18"/>
  <c r="B187" i="18"/>
  <c r="J186" i="18"/>
  <c r="H186" i="18"/>
  <c r="F186" i="18"/>
  <c r="D186" i="18"/>
  <c r="B186" i="18"/>
  <c r="J185" i="18"/>
  <c r="H185" i="18"/>
  <c r="F185" i="18"/>
  <c r="D185" i="18"/>
  <c r="B185" i="18"/>
  <c r="J184" i="18"/>
  <c r="H184" i="18"/>
  <c r="F184" i="18"/>
  <c r="D184" i="18"/>
  <c r="B184" i="18"/>
  <c r="J183" i="18"/>
  <c r="H183" i="18"/>
  <c r="F183" i="18"/>
  <c r="D183" i="18"/>
  <c r="B183" i="18"/>
  <c r="J182" i="18"/>
  <c r="H182" i="18"/>
  <c r="F182" i="18"/>
  <c r="D182" i="18"/>
  <c r="B182" i="18"/>
  <c r="J181" i="18"/>
  <c r="H181" i="18"/>
  <c r="F181" i="18"/>
  <c r="D181" i="18"/>
  <c r="B181" i="18"/>
  <c r="J180" i="18"/>
  <c r="H180" i="18"/>
  <c r="F180" i="18"/>
  <c r="D180" i="18"/>
  <c r="B180" i="18"/>
  <c r="J179" i="18"/>
  <c r="H179" i="18"/>
  <c r="F179" i="18"/>
  <c r="D179" i="18"/>
  <c r="B179" i="18"/>
  <c r="J178" i="18"/>
  <c r="H178" i="18"/>
  <c r="F178" i="18"/>
  <c r="D178" i="18"/>
  <c r="B178" i="18"/>
  <c r="J177" i="18"/>
  <c r="H177" i="18"/>
  <c r="F177" i="18"/>
  <c r="D177" i="18"/>
  <c r="B177" i="18"/>
  <c r="J176" i="18"/>
  <c r="H176" i="18"/>
  <c r="F176" i="18"/>
  <c r="D176" i="18"/>
  <c r="B176" i="18"/>
  <c r="J175" i="18"/>
  <c r="H175" i="18"/>
  <c r="F175" i="18"/>
  <c r="D175" i="18"/>
  <c r="B175" i="18"/>
  <c r="J174" i="18"/>
  <c r="H174" i="18"/>
  <c r="F174" i="18"/>
  <c r="D174" i="18"/>
  <c r="B174" i="18"/>
  <c r="J173" i="18"/>
  <c r="H173" i="18"/>
  <c r="F173" i="18"/>
  <c r="D173" i="18"/>
  <c r="B173" i="18"/>
  <c r="J172" i="18"/>
  <c r="H172" i="18"/>
  <c r="F172" i="18"/>
  <c r="D172" i="18"/>
  <c r="B172" i="18"/>
  <c r="J171" i="18"/>
  <c r="H171" i="18"/>
  <c r="F171" i="18"/>
  <c r="D171" i="18"/>
  <c r="B171" i="18"/>
  <c r="J170" i="18"/>
  <c r="H170" i="18"/>
  <c r="F170" i="18"/>
  <c r="D170" i="18"/>
  <c r="B170" i="18"/>
  <c r="J169" i="18"/>
  <c r="H169" i="18"/>
  <c r="F169" i="18"/>
  <c r="D169" i="18"/>
  <c r="B169" i="18"/>
  <c r="J168" i="18"/>
  <c r="H168" i="18"/>
  <c r="F168" i="18"/>
  <c r="D168" i="18"/>
  <c r="B168" i="18"/>
  <c r="J167" i="18"/>
  <c r="H167" i="18"/>
  <c r="F167" i="18"/>
  <c r="D167" i="18"/>
  <c r="B167" i="18"/>
  <c r="J166" i="18"/>
  <c r="H166" i="18"/>
  <c r="F166" i="18"/>
  <c r="D166" i="18"/>
  <c r="B166" i="18"/>
  <c r="J165" i="18"/>
  <c r="H165" i="18"/>
  <c r="F165" i="18"/>
  <c r="D165" i="18"/>
  <c r="B165" i="18"/>
  <c r="J164" i="18"/>
  <c r="H164" i="18"/>
  <c r="F164" i="18"/>
  <c r="D164" i="18"/>
  <c r="B164" i="18"/>
  <c r="J163" i="18"/>
  <c r="H163" i="18"/>
  <c r="F163" i="18"/>
  <c r="D163" i="18"/>
  <c r="B163" i="18"/>
  <c r="J162" i="18"/>
  <c r="H162" i="18"/>
  <c r="F162" i="18"/>
  <c r="D162" i="18"/>
  <c r="B162" i="18"/>
  <c r="J161" i="18"/>
  <c r="H161" i="18"/>
  <c r="F161" i="18"/>
  <c r="D161" i="18"/>
  <c r="B161" i="18"/>
  <c r="J160" i="18"/>
  <c r="H160" i="18"/>
  <c r="F160" i="18"/>
  <c r="D160" i="18"/>
  <c r="B160" i="18"/>
  <c r="J159" i="18"/>
  <c r="H159" i="18"/>
  <c r="F159" i="18"/>
  <c r="D159" i="18"/>
  <c r="B159" i="18"/>
  <c r="J158" i="18"/>
  <c r="H158" i="18"/>
  <c r="F158" i="18"/>
  <c r="D158" i="18"/>
  <c r="B158" i="18"/>
  <c r="J157" i="18"/>
  <c r="H157" i="18"/>
  <c r="F157" i="18"/>
  <c r="D157" i="18"/>
  <c r="B157" i="18"/>
  <c r="J156" i="18"/>
  <c r="H156" i="18"/>
  <c r="F156" i="18"/>
  <c r="D156" i="18"/>
  <c r="B156" i="18"/>
  <c r="J155" i="18"/>
  <c r="H155" i="18"/>
  <c r="F155" i="18"/>
  <c r="D155" i="18"/>
  <c r="B155" i="18"/>
  <c r="J154" i="18"/>
  <c r="H154" i="18"/>
  <c r="F154" i="18"/>
  <c r="D154" i="18"/>
  <c r="B154" i="18"/>
  <c r="J153" i="18"/>
  <c r="H153" i="18"/>
  <c r="F153" i="18"/>
  <c r="D153" i="18"/>
  <c r="B153" i="18"/>
  <c r="J152" i="18"/>
  <c r="H152" i="18"/>
  <c r="F152" i="18"/>
  <c r="D152" i="18"/>
  <c r="B152" i="18"/>
  <c r="J151" i="18"/>
  <c r="H151" i="18"/>
  <c r="F151" i="18"/>
  <c r="D151" i="18"/>
  <c r="B151" i="18"/>
  <c r="J150" i="18"/>
  <c r="H150" i="18"/>
  <c r="F150" i="18"/>
  <c r="D150" i="18"/>
  <c r="B150" i="18"/>
  <c r="J149" i="18"/>
  <c r="H149" i="18"/>
  <c r="F149" i="18"/>
  <c r="D149" i="18"/>
  <c r="B149" i="18"/>
  <c r="J148" i="18"/>
  <c r="H148" i="18"/>
  <c r="F148" i="18"/>
  <c r="D148" i="18"/>
  <c r="B148" i="18"/>
  <c r="J147" i="18"/>
  <c r="H147" i="18"/>
  <c r="F147" i="18"/>
  <c r="D147" i="18"/>
  <c r="B147" i="18"/>
  <c r="J146" i="18"/>
  <c r="H146" i="18"/>
  <c r="F146" i="18"/>
  <c r="D146" i="18"/>
  <c r="B146" i="18"/>
  <c r="J145" i="18"/>
  <c r="H145" i="18"/>
  <c r="F145" i="18"/>
  <c r="D145" i="18"/>
  <c r="B145" i="18"/>
  <c r="J144" i="18"/>
  <c r="H144" i="18"/>
  <c r="F144" i="18"/>
  <c r="D144" i="18"/>
  <c r="B144" i="18"/>
  <c r="J143" i="18"/>
  <c r="H143" i="18"/>
  <c r="F143" i="18"/>
  <c r="D143" i="18"/>
  <c r="B143" i="18"/>
  <c r="J142" i="18"/>
  <c r="H142" i="18"/>
  <c r="F142" i="18"/>
  <c r="D142" i="18"/>
  <c r="B142" i="18"/>
  <c r="J141" i="18"/>
  <c r="H141" i="18"/>
  <c r="F141" i="18"/>
  <c r="D141" i="18"/>
  <c r="B141" i="18"/>
  <c r="J140" i="18"/>
  <c r="H140" i="18"/>
  <c r="F140" i="18"/>
  <c r="D140" i="18"/>
  <c r="B140" i="18"/>
  <c r="J139" i="18"/>
  <c r="H139" i="18"/>
  <c r="F139" i="18"/>
  <c r="D139" i="18"/>
  <c r="B139" i="18"/>
  <c r="J138" i="18"/>
  <c r="H138" i="18"/>
  <c r="F138" i="18"/>
  <c r="D138" i="18"/>
  <c r="B138" i="18"/>
  <c r="J137" i="18"/>
  <c r="H137" i="18"/>
  <c r="F137" i="18"/>
  <c r="D137" i="18"/>
  <c r="B137" i="18"/>
  <c r="J136" i="18"/>
  <c r="H136" i="18"/>
  <c r="F136" i="18"/>
  <c r="D136" i="18"/>
  <c r="B136" i="18"/>
  <c r="J135" i="18"/>
  <c r="H135" i="18"/>
  <c r="F135" i="18"/>
  <c r="D135" i="18"/>
  <c r="B135" i="18"/>
  <c r="J134" i="18"/>
  <c r="H134" i="18"/>
  <c r="F134" i="18"/>
  <c r="D134" i="18"/>
  <c r="B134" i="18"/>
  <c r="J133" i="18"/>
  <c r="H133" i="18"/>
  <c r="F133" i="18"/>
  <c r="D133" i="18"/>
  <c r="B133" i="18"/>
  <c r="J132" i="18"/>
  <c r="H132" i="18"/>
  <c r="F132" i="18"/>
  <c r="D132" i="18"/>
  <c r="B132" i="18"/>
  <c r="J131" i="18"/>
  <c r="H131" i="18"/>
  <c r="F131" i="18"/>
  <c r="D131" i="18"/>
  <c r="B131" i="18"/>
  <c r="J130" i="18"/>
  <c r="H130" i="18"/>
  <c r="F130" i="18"/>
  <c r="D130" i="18"/>
  <c r="B130" i="18"/>
  <c r="J129" i="18"/>
  <c r="H129" i="18"/>
  <c r="F129" i="18"/>
  <c r="D129" i="18"/>
  <c r="B129" i="18"/>
  <c r="J128" i="18"/>
  <c r="H128" i="18"/>
  <c r="F128" i="18"/>
  <c r="D128" i="18"/>
  <c r="B128" i="18"/>
  <c r="J127" i="18"/>
  <c r="H127" i="18"/>
  <c r="F127" i="18"/>
  <c r="D127" i="18"/>
  <c r="B127" i="18"/>
  <c r="J126" i="18"/>
  <c r="H126" i="18"/>
  <c r="F126" i="18"/>
  <c r="D126" i="18"/>
  <c r="B126" i="18"/>
  <c r="J125" i="18"/>
  <c r="H125" i="18"/>
  <c r="F125" i="18"/>
  <c r="D125" i="18"/>
  <c r="B125" i="18"/>
  <c r="J124" i="18"/>
  <c r="H124" i="18"/>
  <c r="F124" i="18"/>
  <c r="D124" i="18"/>
  <c r="B124" i="18"/>
  <c r="J123" i="18"/>
  <c r="H123" i="18"/>
  <c r="F123" i="18"/>
  <c r="D123" i="18"/>
  <c r="B123" i="18"/>
  <c r="J122" i="18"/>
  <c r="H122" i="18"/>
  <c r="F122" i="18"/>
  <c r="D122" i="18"/>
  <c r="B122" i="18"/>
  <c r="J121" i="18"/>
  <c r="H121" i="18"/>
  <c r="F121" i="18"/>
  <c r="D121" i="18"/>
  <c r="B121" i="18"/>
  <c r="J120" i="18"/>
  <c r="H120" i="18"/>
  <c r="F120" i="18"/>
  <c r="D120" i="18"/>
  <c r="B120" i="18"/>
  <c r="J119" i="18"/>
  <c r="H119" i="18"/>
  <c r="F119" i="18"/>
  <c r="D119" i="18"/>
  <c r="B119" i="18"/>
  <c r="J118" i="18"/>
  <c r="H118" i="18"/>
  <c r="F118" i="18"/>
  <c r="D118" i="18"/>
  <c r="B118" i="18"/>
  <c r="J117" i="18"/>
  <c r="H117" i="18"/>
  <c r="F117" i="18"/>
  <c r="D117" i="18"/>
  <c r="B117" i="18"/>
  <c r="J116" i="18"/>
  <c r="H116" i="18"/>
  <c r="F116" i="18"/>
  <c r="D116" i="18"/>
  <c r="B116" i="18"/>
  <c r="J115" i="18"/>
  <c r="H115" i="18"/>
  <c r="F115" i="18"/>
  <c r="D115" i="18"/>
  <c r="B115" i="18"/>
  <c r="J114" i="18"/>
  <c r="H114" i="18"/>
  <c r="F114" i="18"/>
  <c r="D114" i="18"/>
  <c r="B114" i="18"/>
  <c r="J113" i="18"/>
  <c r="H113" i="18"/>
  <c r="F113" i="18"/>
  <c r="D113" i="18"/>
  <c r="B113" i="18"/>
  <c r="J112" i="18"/>
  <c r="H112" i="18"/>
  <c r="F112" i="18"/>
  <c r="D112" i="18"/>
  <c r="B112" i="18"/>
  <c r="J111" i="18"/>
  <c r="H111" i="18"/>
  <c r="F111" i="18"/>
  <c r="D111" i="18"/>
  <c r="B111" i="18"/>
  <c r="J110" i="18"/>
  <c r="H110" i="18"/>
  <c r="F110" i="18"/>
  <c r="D110" i="18"/>
  <c r="B110" i="18"/>
  <c r="J109" i="18"/>
  <c r="H109" i="18"/>
  <c r="F109" i="18"/>
  <c r="D109" i="18"/>
  <c r="B109" i="18"/>
  <c r="J108" i="18"/>
  <c r="H108" i="18"/>
  <c r="F108" i="18"/>
  <c r="D108" i="18"/>
  <c r="B108" i="18"/>
  <c r="J107" i="18"/>
  <c r="H107" i="18"/>
  <c r="F107" i="18"/>
  <c r="D107" i="18"/>
  <c r="B107" i="18"/>
  <c r="J106" i="18"/>
  <c r="H106" i="18"/>
  <c r="F106" i="18"/>
  <c r="D106" i="18"/>
  <c r="B106" i="18"/>
  <c r="K105" i="18"/>
  <c r="L105" i="18" s="1"/>
  <c r="J105" i="18"/>
  <c r="H105" i="18"/>
  <c r="F105" i="18"/>
  <c r="D105" i="18"/>
  <c r="B105" i="18"/>
  <c r="L104" i="18"/>
  <c r="J104" i="18"/>
  <c r="H104" i="18"/>
  <c r="F104" i="18"/>
  <c r="D104" i="18"/>
  <c r="B104" i="18"/>
  <c r="L103" i="18"/>
  <c r="J103" i="18"/>
  <c r="H103" i="18"/>
  <c r="F103" i="18"/>
  <c r="D103" i="18"/>
  <c r="B103" i="18"/>
  <c r="L102" i="18"/>
  <c r="J102" i="18"/>
  <c r="H102" i="18"/>
  <c r="F102" i="18"/>
  <c r="D102" i="18"/>
  <c r="B102" i="18"/>
  <c r="L101" i="18"/>
  <c r="J101" i="18"/>
  <c r="H101" i="18"/>
  <c r="F101" i="18"/>
  <c r="D101" i="18"/>
  <c r="B101" i="18"/>
  <c r="L100" i="18"/>
  <c r="J100" i="18"/>
  <c r="H100" i="18"/>
  <c r="F100" i="18"/>
  <c r="D100" i="18"/>
  <c r="B100" i="18"/>
  <c r="L99" i="18"/>
  <c r="J99" i="18"/>
  <c r="H99" i="18"/>
  <c r="F99" i="18"/>
  <c r="D99" i="18"/>
  <c r="B99" i="18"/>
  <c r="L98" i="18"/>
  <c r="J98" i="18"/>
  <c r="H98" i="18"/>
  <c r="F98" i="18"/>
  <c r="D98" i="18"/>
  <c r="B98" i="18"/>
  <c r="L97" i="18"/>
  <c r="J97" i="18"/>
  <c r="H97" i="18"/>
  <c r="F97" i="18"/>
  <c r="D97" i="18"/>
  <c r="B97" i="18"/>
  <c r="L96" i="18"/>
  <c r="J96" i="18"/>
  <c r="H96" i="18"/>
  <c r="F96" i="18"/>
  <c r="D96" i="18"/>
  <c r="B96" i="18"/>
  <c r="L95" i="18"/>
  <c r="J95" i="18"/>
  <c r="H95" i="18"/>
  <c r="F95" i="18"/>
  <c r="D95" i="18"/>
  <c r="B95" i="18"/>
  <c r="L94" i="18"/>
  <c r="J94" i="18"/>
  <c r="H94" i="18"/>
  <c r="F94" i="18"/>
  <c r="D94" i="18"/>
  <c r="B94" i="18"/>
  <c r="L93" i="18"/>
  <c r="J93" i="18"/>
  <c r="H93" i="18"/>
  <c r="F93" i="18"/>
  <c r="D93" i="18"/>
  <c r="B93" i="18"/>
  <c r="L92" i="18"/>
  <c r="J92" i="18"/>
  <c r="H92" i="18"/>
  <c r="F92" i="18"/>
  <c r="D92" i="18"/>
  <c r="B92" i="18"/>
  <c r="L91" i="18"/>
  <c r="J91" i="18"/>
  <c r="H91" i="18"/>
  <c r="F91" i="18"/>
  <c r="D91" i="18"/>
  <c r="B91" i="18"/>
  <c r="L90" i="18"/>
  <c r="J90" i="18"/>
  <c r="H90" i="18"/>
  <c r="F90" i="18"/>
  <c r="D90" i="18"/>
  <c r="B90" i="18"/>
  <c r="L89" i="18"/>
  <c r="J89" i="18"/>
  <c r="H89" i="18"/>
  <c r="F89" i="18"/>
  <c r="D89" i="18"/>
  <c r="B89" i="18"/>
  <c r="L88" i="18"/>
  <c r="J88" i="18"/>
  <c r="H88" i="18"/>
  <c r="F88" i="18"/>
  <c r="D88" i="18"/>
  <c r="B88" i="18"/>
  <c r="L87" i="18"/>
  <c r="J87" i="18"/>
  <c r="H87" i="18"/>
  <c r="F87" i="18"/>
  <c r="D87" i="18"/>
  <c r="B87" i="18"/>
  <c r="L86" i="18"/>
  <c r="J86" i="18"/>
  <c r="H86" i="18"/>
  <c r="F86" i="18"/>
  <c r="D86" i="18"/>
  <c r="B86" i="18"/>
  <c r="L85" i="18"/>
  <c r="J85" i="18"/>
  <c r="H85" i="18"/>
  <c r="F85" i="18"/>
  <c r="D85" i="18"/>
  <c r="B85" i="18"/>
  <c r="L84" i="18"/>
  <c r="J84" i="18"/>
  <c r="H84" i="18"/>
  <c r="F84" i="18"/>
  <c r="D84" i="18"/>
  <c r="B84" i="18"/>
  <c r="L83" i="18"/>
  <c r="J83" i="18"/>
  <c r="H83" i="18"/>
  <c r="F83" i="18"/>
  <c r="D83" i="18"/>
  <c r="B83" i="18"/>
  <c r="L82" i="18"/>
  <c r="J82" i="18"/>
  <c r="H82" i="18"/>
  <c r="F82" i="18"/>
  <c r="D82" i="18"/>
  <c r="B82" i="18"/>
  <c r="L81" i="18"/>
  <c r="J81" i="18"/>
  <c r="H81" i="18"/>
  <c r="F81" i="18"/>
  <c r="D81" i="18"/>
  <c r="B81" i="18"/>
  <c r="L80" i="18"/>
  <c r="J80" i="18"/>
  <c r="H80" i="18"/>
  <c r="F80" i="18"/>
  <c r="D80" i="18"/>
  <c r="B80" i="18"/>
  <c r="L79" i="18"/>
  <c r="J79" i="18"/>
  <c r="H79" i="18"/>
  <c r="F79" i="18"/>
  <c r="D79" i="18"/>
  <c r="B79" i="18"/>
  <c r="L78" i="18"/>
  <c r="J78" i="18"/>
  <c r="H78" i="18"/>
  <c r="F78" i="18"/>
  <c r="D78" i="18"/>
  <c r="B78" i="18"/>
  <c r="L77" i="18"/>
  <c r="J77" i="18"/>
  <c r="H77" i="18"/>
  <c r="F77" i="18"/>
  <c r="D77" i="18"/>
  <c r="B77" i="18"/>
  <c r="L76" i="18"/>
  <c r="J76" i="18"/>
  <c r="H76" i="18"/>
  <c r="F76" i="18"/>
  <c r="D76" i="18"/>
  <c r="B76" i="18"/>
  <c r="L75" i="18"/>
  <c r="J75" i="18"/>
  <c r="H75" i="18"/>
  <c r="F75" i="18"/>
  <c r="D75" i="18"/>
  <c r="B75" i="18"/>
  <c r="L74" i="18"/>
  <c r="J74" i="18"/>
  <c r="H74" i="18"/>
  <c r="F74" i="18"/>
  <c r="D74" i="18"/>
  <c r="B74" i="18"/>
  <c r="L73" i="18"/>
  <c r="J73" i="18"/>
  <c r="H73" i="18"/>
  <c r="F73" i="18"/>
  <c r="D73" i="18"/>
  <c r="B73" i="18"/>
  <c r="L72" i="18"/>
  <c r="J72" i="18"/>
  <c r="H72" i="18"/>
  <c r="F72" i="18"/>
  <c r="D72" i="18"/>
  <c r="B72" i="18"/>
  <c r="L71" i="18"/>
  <c r="J71" i="18"/>
  <c r="H71" i="18"/>
  <c r="F71" i="18"/>
  <c r="D71" i="18"/>
  <c r="B71" i="18"/>
  <c r="L70" i="18"/>
  <c r="J70" i="18"/>
  <c r="H70" i="18"/>
  <c r="F70" i="18"/>
  <c r="D70" i="18"/>
  <c r="B70" i="18"/>
  <c r="L69" i="18"/>
  <c r="J69" i="18"/>
  <c r="H69" i="18"/>
  <c r="F69" i="18"/>
  <c r="D69" i="18"/>
  <c r="B69" i="18"/>
  <c r="L68" i="18"/>
  <c r="J68" i="18"/>
  <c r="H68" i="18"/>
  <c r="F68" i="18"/>
  <c r="D68" i="18"/>
  <c r="B68" i="18"/>
  <c r="L67" i="18"/>
  <c r="J67" i="18"/>
  <c r="H67" i="18"/>
  <c r="F67" i="18"/>
  <c r="D67" i="18"/>
  <c r="B67" i="18"/>
  <c r="L66" i="18"/>
  <c r="J66" i="18"/>
  <c r="H66" i="18"/>
  <c r="F66" i="18"/>
  <c r="D66" i="18"/>
  <c r="B66" i="18"/>
  <c r="L65" i="18"/>
  <c r="J65" i="18"/>
  <c r="H65" i="18"/>
  <c r="F65" i="18"/>
  <c r="D65" i="18"/>
  <c r="B65" i="18"/>
  <c r="L64" i="18"/>
  <c r="J64" i="18"/>
  <c r="H64" i="18"/>
  <c r="F64" i="18"/>
  <c r="D64" i="18"/>
  <c r="B64" i="18"/>
  <c r="L63" i="18"/>
  <c r="J63" i="18"/>
  <c r="H63" i="18"/>
  <c r="F63" i="18"/>
  <c r="D63" i="18"/>
  <c r="B63" i="18"/>
  <c r="L62" i="18"/>
  <c r="J62" i="18"/>
  <c r="H62" i="18"/>
  <c r="F62" i="18"/>
  <c r="D62" i="18"/>
  <c r="B62" i="18"/>
  <c r="L61" i="18"/>
  <c r="J61" i="18"/>
  <c r="H61" i="18"/>
  <c r="F61" i="18"/>
  <c r="D61" i="18"/>
  <c r="B61" i="18"/>
  <c r="L60" i="18"/>
  <c r="J60" i="18"/>
  <c r="H60" i="18"/>
  <c r="F60" i="18"/>
  <c r="D60" i="18"/>
  <c r="B60" i="18"/>
  <c r="L59" i="18"/>
  <c r="J59" i="18"/>
  <c r="H59" i="18"/>
  <c r="F59" i="18"/>
  <c r="D59" i="18"/>
  <c r="B59" i="18"/>
  <c r="L58" i="18"/>
  <c r="J58" i="18"/>
  <c r="H58" i="18"/>
  <c r="F58" i="18"/>
  <c r="D58" i="18"/>
  <c r="B58" i="18"/>
  <c r="L57" i="18"/>
  <c r="J57" i="18"/>
  <c r="H57" i="18"/>
  <c r="F57" i="18"/>
  <c r="D57" i="18"/>
  <c r="B57" i="18"/>
  <c r="L56" i="18"/>
  <c r="J56" i="18"/>
  <c r="H56" i="18"/>
  <c r="F56" i="18"/>
  <c r="D56" i="18"/>
  <c r="B56" i="18"/>
  <c r="L55" i="18"/>
  <c r="J55" i="18"/>
  <c r="H55" i="18"/>
  <c r="F55" i="18"/>
  <c r="D55" i="18"/>
  <c r="B55" i="18"/>
  <c r="L54" i="18"/>
  <c r="J54" i="18"/>
  <c r="H54" i="18"/>
  <c r="F54" i="18"/>
  <c r="D54" i="18"/>
  <c r="B54" i="18"/>
  <c r="L53" i="18"/>
  <c r="J53" i="18"/>
  <c r="H53" i="18"/>
  <c r="F53" i="18"/>
  <c r="D53" i="18"/>
  <c r="B53" i="18"/>
  <c r="L52" i="18"/>
  <c r="J52" i="18"/>
  <c r="H52" i="18"/>
  <c r="F52" i="18"/>
  <c r="D52" i="18"/>
  <c r="B52" i="18"/>
  <c r="L51" i="18"/>
  <c r="J51" i="18"/>
  <c r="H51" i="18"/>
  <c r="F51" i="18"/>
  <c r="D51" i="18"/>
  <c r="B51" i="18"/>
  <c r="L50" i="18"/>
  <c r="J50" i="18"/>
  <c r="H50" i="18"/>
  <c r="F50" i="18"/>
  <c r="D50" i="18"/>
  <c r="B50" i="18"/>
  <c r="L49" i="18"/>
  <c r="J49" i="18"/>
  <c r="H49" i="18"/>
  <c r="F49" i="18"/>
  <c r="D49" i="18"/>
  <c r="B49" i="18"/>
  <c r="L48" i="18"/>
  <c r="J48" i="18"/>
  <c r="H48" i="18"/>
  <c r="F48" i="18"/>
  <c r="D48" i="18"/>
  <c r="B48" i="18"/>
  <c r="L47" i="18"/>
  <c r="J47" i="18"/>
  <c r="H47" i="18"/>
  <c r="F47" i="18"/>
  <c r="D47" i="18"/>
  <c r="B47" i="18"/>
  <c r="L46" i="18"/>
  <c r="J46" i="18"/>
  <c r="H46" i="18"/>
  <c r="F46" i="18"/>
  <c r="D46" i="18"/>
  <c r="B46" i="18"/>
  <c r="L45" i="18"/>
  <c r="J45" i="18"/>
  <c r="H45" i="18"/>
  <c r="F45" i="18"/>
  <c r="D45" i="18"/>
  <c r="B45" i="18"/>
  <c r="L44" i="18"/>
  <c r="J44" i="18"/>
  <c r="H44" i="18"/>
  <c r="F44" i="18"/>
  <c r="D44" i="18"/>
  <c r="B44" i="18"/>
  <c r="L43" i="18"/>
  <c r="J43" i="18"/>
  <c r="H43" i="18"/>
  <c r="F43" i="18"/>
  <c r="D43" i="18"/>
  <c r="B43" i="18"/>
  <c r="L42" i="18"/>
  <c r="J42" i="18"/>
  <c r="H42" i="18"/>
  <c r="F42" i="18"/>
  <c r="D42" i="18"/>
  <c r="B42" i="18"/>
  <c r="L41" i="18"/>
  <c r="J41" i="18"/>
  <c r="H41" i="18"/>
  <c r="F41" i="18"/>
  <c r="D41" i="18"/>
  <c r="B41" i="18"/>
  <c r="L40" i="18"/>
  <c r="J40" i="18"/>
  <c r="H40" i="18"/>
  <c r="F40" i="18"/>
  <c r="D40" i="18"/>
  <c r="B40" i="18"/>
  <c r="L39" i="18"/>
  <c r="J39" i="18"/>
  <c r="H39" i="18"/>
  <c r="F39" i="18"/>
  <c r="D39" i="18"/>
  <c r="B39" i="18"/>
  <c r="L38" i="18"/>
  <c r="J38" i="18"/>
  <c r="H38" i="18"/>
  <c r="F38" i="18"/>
  <c r="D38" i="18"/>
  <c r="B38" i="18"/>
  <c r="L37" i="18"/>
  <c r="J37" i="18"/>
  <c r="H37" i="18"/>
  <c r="F37" i="18"/>
  <c r="D37" i="18"/>
  <c r="B37" i="18"/>
  <c r="L36" i="18"/>
  <c r="J36" i="18"/>
  <c r="H36" i="18"/>
  <c r="F36" i="18"/>
  <c r="D36" i="18"/>
  <c r="B36" i="18"/>
  <c r="L35" i="18"/>
  <c r="J35" i="18"/>
  <c r="H35" i="18"/>
  <c r="F35" i="18"/>
  <c r="D35" i="18"/>
  <c r="B35" i="18"/>
  <c r="L34" i="18"/>
  <c r="J34" i="18"/>
  <c r="H34" i="18"/>
  <c r="F34" i="18"/>
  <c r="D34" i="18"/>
  <c r="B34" i="18"/>
  <c r="L33" i="18"/>
  <c r="J33" i="18"/>
  <c r="H33" i="18"/>
  <c r="F33" i="18"/>
  <c r="D33" i="18"/>
  <c r="B33" i="18"/>
  <c r="L32" i="18"/>
  <c r="J32" i="18"/>
  <c r="H32" i="18"/>
  <c r="F32" i="18"/>
  <c r="D32" i="18"/>
  <c r="B32" i="18"/>
  <c r="L31" i="18"/>
  <c r="J31" i="18"/>
  <c r="H31" i="18"/>
  <c r="F31" i="18"/>
  <c r="D31" i="18"/>
  <c r="B31" i="18"/>
  <c r="L30" i="18"/>
  <c r="J30" i="18"/>
  <c r="H30" i="18"/>
  <c r="F30" i="18"/>
  <c r="D30" i="18"/>
  <c r="B30" i="18"/>
  <c r="L29" i="18"/>
  <c r="J29" i="18"/>
  <c r="H29" i="18"/>
  <c r="F29" i="18"/>
  <c r="D29" i="18"/>
  <c r="B29" i="18"/>
  <c r="L28" i="18"/>
  <c r="J28" i="18"/>
  <c r="H28" i="18"/>
  <c r="F28" i="18"/>
  <c r="D28" i="18"/>
  <c r="B28" i="18"/>
  <c r="L27" i="18"/>
  <c r="J27" i="18"/>
  <c r="H27" i="18"/>
  <c r="F27" i="18"/>
  <c r="D27" i="18"/>
  <c r="B27" i="18"/>
  <c r="L26" i="18"/>
  <c r="J26" i="18"/>
  <c r="H26" i="18"/>
  <c r="F26" i="18"/>
  <c r="D26" i="18"/>
  <c r="B26" i="18"/>
  <c r="L25" i="18"/>
  <c r="J25" i="18"/>
  <c r="H25" i="18"/>
  <c r="F25" i="18"/>
  <c r="D25" i="18"/>
  <c r="B25" i="18"/>
  <c r="L24" i="18"/>
  <c r="J24" i="18"/>
  <c r="H24" i="18"/>
  <c r="F24" i="18"/>
  <c r="D24" i="18"/>
  <c r="B24" i="18"/>
  <c r="L23" i="18"/>
  <c r="J23" i="18"/>
  <c r="H23" i="18"/>
  <c r="F23" i="18"/>
  <c r="D23" i="18"/>
  <c r="B23" i="18"/>
  <c r="L22" i="18"/>
  <c r="J22" i="18"/>
  <c r="H22" i="18"/>
  <c r="F22" i="18"/>
  <c r="D22" i="18"/>
  <c r="B22" i="18"/>
  <c r="L21" i="18"/>
  <c r="J21" i="18"/>
  <c r="H21" i="18"/>
  <c r="F21" i="18"/>
  <c r="D21" i="18"/>
  <c r="B21" i="18"/>
  <c r="L20" i="18"/>
  <c r="J20" i="18"/>
  <c r="H20" i="18"/>
  <c r="F20" i="18"/>
  <c r="D20" i="18"/>
  <c r="B20" i="18"/>
  <c r="L19" i="18"/>
  <c r="J19" i="18"/>
  <c r="H19" i="18"/>
  <c r="F19" i="18"/>
  <c r="D19" i="18"/>
  <c r="B19" i="18"/>
  <c r="L18" i="18"/>
  <c r="J18" i="18"/>
  <c r="H18" i="18"/>
  <c r="F18" i="18"/>
  <c r="D18" i="18"/>
  <c r="B18" i="18"/>
  <c r="L17" i="18"/>
  <c r="J17" i="18"/>
  <c r="H17" i="18"/>
  <c r="F17" i="18"/>
  <c r="D17" i="18"/>
  <c r="B17" i="18"/>
  <c r="L16" i="18"/>
  <c r="J16" i="18"/>
  <c r="H16" i="18"/>
  <c r="F16" i="18"/>
  <c r="D16" i="18"/>
  <c r="B16" i="18"/>
  <c r="L15" i="18"/>
  <c r="J15" i="18"/>
  <c r="H15" i="18"/>
  <c r="F15" i="18"/>
  <c r="D15" i="18"/>
  <c r="B15" i="18"/>
  <c r="J14" i="18"/>
  <c r="H14" i="18"/>
  <c r="F14" i="18"/>
  <c r="D14" i="18"/>
  <c r="B14" i="18"/>
  <c r="H13" i="18"/>
  <c r="F13" i="18"/>
  <c r="D13" i="18"/>
  <c r="B13" i="18"/>
  <c r="H12" i="18"/>
  <c r="F12" i="18"/>
  <c r="D12" i="18"/>
  <c r="B12" i="18"/>
  <c r="F11" i="18"/>
  <c r="D11" i="18"/>
  <c r="B11" i="18"/>
  <c r="D10" i="18"/>
  <c r="B10" i="18"/>
  <c r="B9" i="18"/>
  <c r="C16" i="14"/>
  <c r="F17" i="14"/>
  <c r="D19" i="14"/>
  <c r="B15" i="14"/>
  <c r="E16" i="14"/>
  <c r="C18" i="14"/>
  <c r="F19" i="14"/>
  <c r="D15" i="14"/>
  <c r="L15" i="14"/>
  <c r="G16" i="14"/>
  <c r="B17" i="14"/>
  <c r="J17" i="14"/>
  <c r="E18" i="14"/>
  <c r="M18" i="14"/>
  <c r="H19" i="14"/>
  <c r="H15" i="14"/>
  <c r="K16" i="14"/>
  <c r="I18" i="14"/>
  <c r="L19" i="14"/>
  <c r="J15" i="14"/>
  <c r="M16" i="14"/>
  <c r="H17" i="14"/>
  <c r="K18" i="14"/>
  <c r="N19" i="14"/>
  <c r="F15" i="14"/>
  <c r="I16" i="14"/>
  <c r="D17" i="14"/>
  <c r="L17" i="14"/>
  <c r="G18" i="14"/>
  <c r="B19" i="14"/>
  <c r="J19" i="14"/>
  <c r="C15" i="14"/>
  <c r="G15" i="14"/>
  <c r="K15" i="14"/>
  <c r="B16" i="14"/>
  <c r="F16" i="14"/>
  <c r="J16" i="14"/>
  <c r="E17" i="14"/>
  <c r="I17" i="14"/>
  <c r="M17" i="14"/>
  <c r="D18" i="14"/>
  <c r="H18" i="14"/>
  <c r="L18" i="14"/>
  <c r="C19" i="14"/>
  <c r="G19" i="14"/>
  <c r="K19" i="14"/>
  <c r="E15" i="14"/>
  <c r="I15" i="14"/>
  <c r="M15" i="14"/>
  <c r="D16" i="14"/>
  <c r="H16" i="14"/>
  <c r="L16" i="14"/>
  <c r="C17" i="14"/>
  <c r="G17" i="14"/>
  <c r="K17" i="14"/>
  <c r="B18" i="14"/>
  <c r="F18" i="14"/>
  <c r="J18" i="14"/>
  <c r="E19" i="14"/>
  <c r="I19" i="14"/>
  <c r="AM40" i="2"/>
  <c r="AL40" i="2"/>
  <c r="AK40" i="2"/>
  <c r="AJ40" i="2"/>
  <c r="AI40" i="2"/>
  <c r="AH40" i="2"/>
  <c r="AG40" i="2"/>
  <c r="AF40" i="2"/>
  <c r="AE40" i="2"/>
  <c r="AD40" i="2"/>
  <c r="AC40" i="2"/>
  <c r="AK35" i="2"/>
  <c r="AJ35" i="2"/>
  <c r="AG35" i="2"/>
  <c r="AF35" i="2"/>
  <c r="AC35" i="2"/>
  <c r="AM35" i="2"/>
  <c r="AL35" i="2"/>
  <c r="AI35" i="2"/>
  <c r="AH35" i="2"/>
  <c r="AE35" i="2"/>
  <c r="AD35" i="2"/>
  <c r="AM30" i="2"/>
  <c r="AL30" i="2"/>
  <c r="AK30" i="2"/>
  <c r="AJ30" i="2"/>
  <c r="AI30" i="2"/>
  <c r="AH30" i="2"/>
  <c r="AG30" i="2"/>
  <c r="AF30" i="2"/>
  <c r="AE30" i="2"/>
  <c r="AD30" i="2"/>
  <c r="AC30" i="2"/>
  <c r="AM25" i="2"/>
  <c r="AL25" i="2"/>
  <c r="AK25" i="2"/>
  <c r="AJ25" i="2"/>
  <c r="AI25" i="2"/>
  <c r="AH25" i="2"/>
  <c r="AG25" i="2"/>
  <c r="AF25" i="2"/>
  <c r="AE25" i="2"/>
  <c r="AD25" i="2"/>
  <c r="AC25" i="2"/>
  <c r="AM20" i="2"/>
  <c r="AL20" i="2"/>
  <c r="AK20" i="2"/>
  <c r="AJ20" i="2"/>
  <c r="AI20" i="2"/>
  <c r="AH20" i="2"/>
  <c r="AG20" i="2"/>
  <c r="AF20" i="2"/>
  <c r="AE20" i="2"/>
  <c r="AD20" i="2"/>
  <c r="AC20" i="2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O119" i="1"/>
  <c r="N119" i="1"/>
  <c r="M119" i="1"/>
  <c r="L119" i="1"/>
  <c r="K119" i="1"/>
  <c r="J119" i="1"/>
  <c r="I119" i="1"/>
  <c r="H119" i="1"/>
  <c r="G119" i="1"/>
  <c r="F119" i="1"/>
  <c r="E119" i="1"/>
  <c r="AI15" i="2"/>
  <c r="AI153" i="1" s="1"/>
  <c r="AL10" i="2"/>
  <c r="AL126" i="1" s="1"/>
  <c r="AK10" i="2"/>
  <c r="AK126" i="1" s="1"/>
  <c r="AK127" i="1" s="1"/>
  <c r="AG10" i="2"/>
  <c r="AG126" i="1"/>
  <c r="AG127" i="1" s="1"/>
  <c r="AD10" i="2"/>
  <c r="AD126" i="1" s="1"/>
  <c r="AH5" i="2"/>
  <c r="AH90" i="1" s="1"/>
  <c r="AE5" i="2"/>
  <c r="AE90" i="1" s="1"/>
  <c r="AD5" i="2"/>
  <c r="AD90" i="1"/>
  <c r="Z5" i="2"/>
  <c r="Z90" i="1" s="1"/>
  <c r="Z91" i="1" s="1"/>
  <c r="AL63" i="1"/>
  <c r="AI1" i="12"/>
  <c r="AH1" i="12"/>
  <c r="AF1" i="12"/>
  <c r="AC1" i="12"/>
  <c r="AA1" i="12"/>
  <c r="Z1" i="12"/>
  <c r="X1" i="12"/>
  <c r="U2" i="12"/>
  <c r="U8" i="12" s="1"/>
  <c r="X30" i="2" s="1"/>
  <c r="X208" i="1" s="1"/>
  <c r="AJ63" i="1"/>
  <c r="AJ50" i="1"/>
  <c r="AB40" i="2"/>
  <c r="AB20" i="2"/>
  <c r="AB30" i="2"/>
  <c r="AB25" i="2"/>
  <c r="AB35" i="2"/>
  <c r="AA15" i="2"/>
  <c r="AA153" i="1" s="1"/>
  <c r="AA40" i="2"/>
  <c r="AA20" i="2"/>
  <c r="AA30" i="2"/>
  <c r="AA25" i="2"/>
  <c r="AA35" i="2"/>
  <c r="Z40" i="2"/>
  <c r="Z20" i="2"/>
  <c r="Z30" i="2"/>
  <c r="Z25" i="2"/>
  <c r="Z35" i="2"/>
  <c r="Y40" i="2"/>
  <c r="Y10" i="2"/>
  <c r="Y126" i="1" s="1"/>
  <c r="Y127" i="1" s="1"/>
  <c r="Y20" i="2"/>
  <c r="Y30" i="2"/>
  <c r="Y25" i="2"/>
  <c r="Y35" i="2"/>
  <c r="AM163" i="1"/>
  <c r="T175" i="1"/>
  <c r="J192" i="1"/>
  <c r="I175" i="1"/>
  <c r="R175" i="1"/>
  <c r="P192" i="1"/>
  <c r="L175" i="1"/>
  <c r="M192" i="1"/>
  <c r="O192" i="1"/>
  <c r="E175" i="1"/>
  <c r="Q175" i="1"/>
  <c r="G175" i="1"/>
  <c r="Q192" i="1"/>
  <c r="I192" i="1"/>
  <c r="J175" i="1"/>
  <c r="W175" i="1"/>
  <c r="L192" i="1"/>
  <c r="F192" i="1"/>
  <c r="K175" i="1"/>
  <c r="R192" i="1"/>
  <c r="P209" i="1"/>
  <c r="G209" i="1"/>
  <c r="S209" i="1"/>
  <c r="E209" i="1"/>
  <c r="U209" i="1"/>
  <c r="N175" i="1"/>
  <c r="P175" i="1"/>
  <c r="V175" i="1"/>
  <c r="H175" i="1"/>
  <c r="O175" i="1"/>
  <c r="K192" i="1"/>
  <c r="V192" i="1"/>
  <c r="W192" i="1"/>
  <c r="N192" i="1"/>
  <c r="U192" i="1"/>
  <c r="T192" i="1"/>
  <c r="U175" i="1"/>
  <c r="F175" i="1"/>
  <c r="M175" i="1"/>
  <c r="S175" i="1"/>
  <c r="G192" i="1"/>
  <c r="S192" i="1"/>
  <c r="E192" i="1"/>
  <c r="H192" i="1"/>
  <c r="X209" i="1"/>
  <c r="AM197" i="1" s="1"/>
  <c r="J209" i="1"/>
  <c r="V209" i="1"/>
  <c r="L209" i="1"/>
  <c r="I209" i="1"/>
  <c r="N209" i="1"/>
  <c r="H209" i="1"/>
  <c r="O209" i="1"/>
  <c r="F209" i="1"/>
  <c r="R209" i="1"/>
  <c r="M209" i="1"/>
  <c r="T209" i="1"/>
  <c r="K209" i="1"/>
  <c r="W209" i="1"/>
  <c r="Q209" i="1"/>
  <c r="BA134" i="1"/>
  <c r="H226" i="1"/>
  <c r="S226" i="1"/>
  <c r="N226" i="1"/>
  <c r="T226" i="1"/>
  <c r="I226" i="1"/>
  <c r="O226" i="1"/>
  <c r="U226" i="1"/>
  <c r="J226" i="1"/>
  <c r="V226" i="1"/>
  <c r="E226" i="1"/>
  <c r="K226" i="1"/>
  <c r="Q226" i="1"/>
  <c r="W226" i="1"/>
  <c r="F226" i="1"/>
  <c r="L226" i="1"/>
  <c r="R226" i="1"/>
  <c r="X226" i="1"/>
  <c r="AM214" i="1" s="1"/>
  <c r="G226" i="1"/>
  <c r="P226" i="1"/>
  <c r="BA135" i="1"/>
  <c r="X192" i="1"/>
  <c r="AM180" i="1" s="1"/>
  <c r="M226" i="1"/>
  <c r="H260" i="1"/>
  <c r="Q260" i="1"/>
  <c r="K260" i="1"/>
  <c r="F260" i="1"/>
  <c r="X260" i="1"/>
  <c r="AM248" i="1" s="1"/>
  <c r="L260" i="1"/>
  <c r="E260" i="1"/>
  <c r="T260" i="1"/>
  <c r="J260" i="1"/>
  <c r="V260" i="1"/>
  <c r="S260" i="1"/>
  <c r="U260" i="1"/>
  <c r="R260" i="1"/>
  <c r="W260" i="1"/>
  <c r="P260" i="1"/>
  <c r="I260" i="1"/>
  <c r="N260" i="1"/>
  <c r="G260" i="1"/>
  <c r="O260" i="1"/>
  <c r="M260" i="1"/>
  <c r="I243" i="1"/>
  <c r="L243" i="1"/>
  <c r="O243" i="1"/>
  <c r="N243" i="1"/>
  <c r="U243" i="1"/>
  <c r="E243" i="1"/>
  <c r="X243" i="1"/>
  <c r="AM231" i="1" s="1"/>
  <c r="H243" i="1"/>
  <c r="K243" i="1"/>
  <c r="J243" i="1"/>
  <c r="Q243" i="1"/>
  <c r="T243" i="1"/>
  <c r="W243" i="1"/>
  <c r="G243" i="1"/>
  <c r="V243" i="1"/>
  <c r="F243" i="1"/>
  <c r="M243" i="1"/>
  <c r="P243" i="1"/>
  <c r="S243" i="1"/>
  <c r="R243" i="1"/>
  <c r="Z34" i="1"/>
  <c r="N3" i="1"/>
  <c r="H3" i="1"/>
  <c r="E3" i="1"/>
  <c r="AC33" i="1"/>
  <c r="X210" i="1"/>
  <c r="AA34" i="1"/>
  <c r="G3" i="1"/>
  <c r="J4" i="1"/>
  <c r="E33" i="1"/>
  <c r="Y34" i="1"/>
  <c r="W33" i="1"/>
  <c r="W34" i="1"/>
  <c r="Y33" i="1"/>
  <c r="AF50" i="1" l="1"/>
  <c r="AF51" i="1" s="1"/>
  <c r="AB127" i="1"/>
  <c r="AJ127" i="1"/>
  <c r="AI154" i="1"/>
  <c r="AD50" i="1"/>
  <c r="AD51" i="1" s="1"/>
  <c r="AA51" i="1"/>
  <c r="AF91" i="1"/>
  <c r="Y154" i="1"/>
  <c r="AG154" i="1"/>
  <c r="AJ154" i="1"/>
  <c r="AH50" i="1"/>
  <c r="AH53" i="1" s="1"/>
  <c r="AH63" i="1"/>
  <c r="AA63" i="1"/>
  <c r="U15" i="12"/>
  <c r="X50" i="2" s="1"/>
  <c r="X276" i="1" s="1"/>
  <c r="AD91" i="1"/>
  <c r="K106" i="18"/>
  <c r="K107" i="18" s="1"/>
  <c r="B20" i="14"/>
  <c r="AA154" i="1"/>
  <c r="AL129" i="1"/>
  <c r="C20" i="14"/>
  <c r="AD127" i="1"/>
  <c r="BA136" i="1"/>
  <c r="AK17" i="1"/>
  <c r="AG50" i="1"/>
  <c r="AG63" i="1"/>
  <c r="AC63" i="1"/>
  <c r="AC50" i="1"/>
  <c r="AJ53" i="1" s="1"/>
  <c r="Y63" i="1"/>
  <c r="Y50" i="1"/>
  <c r="Y51" i="1" s="1"/>
  <c r="AG129" i="1"/>
  <c r="Z127" i="1"/>
  <c r="AH129" i="1"/>
  <c r="AH127" i="1"/>
  <c r="AI156" i="1"/>
  <c r="Z50" i="1"/>
  <c r="Z51" i="1" s="1"/>
  <c r="Z63" i="1"/>
  <c r="AI127" i="1"/>
  <c r="AI129" i="1"/>
  <c r="AE91" i="1"/>
  <c r="U14" i="12"/>
  <c r="X15" i="2" s="1"/>
  <c r="X153" i="1" s="1"/>
  <c r="Z155" i="1" s="1"/>
  <c r="AL156" i="1"/>
  <c r="AF154" i="1"/>
  <c r="AJ51" i="1"/>
  <c r="AF156" i="1"/>
  <c r="AD154" i="1"/>
  <c r="U6" i="12"/>
  <c r="X35" i="2" s="1"/>
  <c r="X225" i="1" s="1"/>
  <c r="AJ17" i="1"/>
  <c r="AL17" i="1"/>
  <c r="AB17" i="1"/>
  <c r="AA17" i="1"/>
  <c r="AA214" i="1"/>
  <c r="Z180" i="1"/>
  <c r="Z231" i="1"/>
  <c r="W196" i="1"/>
  <c r="W247" i="1"/>
  <c r="W163" i="1"/>
  <c r="E196" i="1"/>
  <c r="Y109" i="1"/>
  <c r="Y141" i="1"/>
  <c r="Y230" i="1"/>
  <c r="Y179" i="1"/>
  <c r="Y162" i="1"/>
  <c r="AC196" i="1"/>
  <c r="AC247" i="1"/>
  <c r="H20" i="14"/>
  <c r="Z110" i="1"/>
  <c r="Z248" i="1"/>
  <c r="Z142" i="1"/>
  <c r="Z214" i="1"/>
  <c r="Z74" i="1"/>
  <c r="Z163" i="1"/>
  <c r="AF17" i="1"/>
  <c r="G20" i="14"/>
  <c r="W109" i="1"/>
  <c r="W264" i="1"/>
  <c r="W73" i="1"/>
  <c r="W213" i="1"/>
  <c r="W179" i="1"/>
  <c r="W162" i="1"/>
  <c r="W230" i="1"/>
  <c r="W214" i="1"/>
  <c r="W231" i="1"/>
  <c r="W248" i="1"/>
  <c r="W110" i="1"/>
  <c r="W142" i="1"/>
  <c r="W265" i="1"/>
  <c r="W74" i="1"/>
  <c r="AA197" i="1"/>
  <c r="AA265" i="1"/>
  <c r="AA110" i="1"/>
  <c r="AA142" i="1"/>
  <c r="AA180" i="1"/>
  <c r="AA74" i="1"/>
  <c r="AA248" i="1"/>
  <c r="AA55" i="2"/>
  <c r="AA56" i="2" s="1"/>
  <c r="S56" i="2" s="1"/>
  <c r="S59" i="2" s="1"/>
  <c r="S17" i="1" s="1"/>
  <c r="S20" i="1" s="1"/>
  <c r="I20" i="14"/>
  <c r="AH17" i="1"/>
  <c r="AC213" i="1"/>
  <c r="AC141" i="1"/>
  <c r="AC73" i="1"/>
  <c r="AC179" i="1"/>
  <c r="AC109" i="1"/>
  <c r="E213" i="1"/>
  <c r="E162" i="1"/>
  <c r="E73" i="1"/>
  <c r="E141" i="1"/>
  <c r="E179" i="1"/>
  <c r="Y73" i="1"/>
  <c r="AF127" i="1"/>
  <c r="AF129" i="1"/>
  <c r="AG156" i="1"/>
  <c r="Z154" i="1"/>
  <c r="Y91" i="1"/>
  <c r="AF93" i="1"/>
  <c r="AI63" i="1"/>
  <c r="AI50" i="1"/>
  <c r="AH154" i="1"/>
  <c r="AH156" i="1"/>
  <c r="AG91" i="1"/>
  <c r="AG93" i="1"/>
  <c r="AB50" i="1"/>
  <c r="AB63" i="1"/>
  <c r="Y180" i="1"/>
  <c r="Y142" i="1"/>
  <c r="Y163" i="1"/>
  <c r="Y110" i="1"/>
  <c r="Y231" i="1"/>
  <c r="Y214" i="1"/>
  <c r="Y74" i="1"/>
  <c r="Y265" i="1"/>
  <c r="Y248" i="1"/>
  <c r="Y197" i="1"/>
  <c r="AC91" i="1"/>
  <c r="AA127" i="1"/>
  <c r="AA91" i="1"/>
  <c r="AC127" i="1"/>
  <c r="AE63" i="1"/>
  <c r="AE50" i="1"/>
  <c r="AL53" i="1" s="1"/>
  <c r="AH93" i="1"/>
  <c r="AH91" i="1"/>
  <c r="E230" i="1"/>
  <c r="E264" i="1"/>
  <c r="E109" i="1"/>
  <c r="E247" i="1"/>
  <c r="AK129" i="1"/>
  <c r="W141" i="1"/>
  <c r="AA163" i="1"/>
  <c r="W180" i="1"/>
  <c r="W197" i="1"/>
  <c r="Z197" i="1"/>
  <c r="AA231" i="1"/>
  <c r="Z265" i="1"/>
  <c r="AK93" i="1"/>
  <c r="AK91" i="1"/>
  <c r="AB154" i="1"/>
  <c r="J20" i="14"/>
  <c r="AI17" i="1"/>
  <c r="F20" i="14"/>
  <c r="AE17" i="1"/>
  <c r="AC264" i="1"/>
  <c r="AC230" i="1"/>
  <c r="Y196" i="1"/>
  <c r="AI93" i="1"/>
  <c r="AI91" i="1"/>
  <c r="AC162" i="1"/>
  <c r="AJ91" i="1"/>
  <c r="AJ93" i="1"/>
  <c r="Y264" i="1"/>
  <c r="Y247" i="1"/>
  <c r="Y213" i="1"/>
  <c r="AJ129" i="1"/>
  <c r="AK156" i="1"/>
  <c r="AL93" i="1"/>
  <c r="U13" i="12"/>
  <c r="X45" i="2" s="1"/>
  <c r="X259" i="1" s="1"/>
  <c r="U10" i="12"/>
  <c r="U12" i="12"/>
  <c r="X40" i="2" s="1"/>
  <c r="X242" i="1" s="1"/>
  <c r="U11" i="12"/>
  <c r="X5" i="2" s="1"/>
  <c r="X90" i="1" s="1"/>
  <c r="AC92" i="1" s="1"/>
  <c r="U9" i="12"/>
  <c r="X20" i="2" s="1"/>
  <c r="X174" i="1" s="1"/>
  <c r="T2" i="12"/>
  <c r="AJ156" i="1"/>
  <c r="D20" i="14"/>
  <c r="U7" i="12"/>
  <c r="X25" i="2" s="1"/>
  <c r="X191" i="1" s="1"/>
  <c r="AK63" i="1"/>
  <c r="AK50" i="1"/>
  <c r="E20" i="14"/>
  <c r="AD17" i="1"/>
  <c r="E4" i="1"/>
  <c r="O34" i="1"/>
  <c r="Q34" i="1"/>
  <c r="X193" i="1"/>
  <c r="AJ33" i="1"/>
  <c r="O33" i="1"/>
  <c r="K33" i="1"/>
  <c r="F34" i="1"/>
  <c r="AG33" i="1"/>
  <c r="Q3" i="1"/>
  <c r="G34" i="1"/>
  <c r="AF34" i="1"/>
  <c r="AK25" i="1"/>
  <c r="AK29" i="1"/>
  <c r="AI25" i="1"/>
  <c r="AD29" i="1"/>
  <c r="AG27" i="1"/>
  <c r="AG28" i="1"/>
  <c r="AL24" i="1"/>
  <c r="AD28" i="1"/>
  <c r="AC29" i="1"/>
  <c r="R3" i="1"/>
  <c r="AE33" i="1"/>
  <c r="S4" i="1"/>
  <c r="AA25" i="1"/>
  <c r="AI29" i="1"/>
  <c r="L34" i="1"/>
  <c r="X227" i="1"/>
  <c r="P3" i="1"/>
  <c r="M33" i="1"/>
  <c r="AJ27" i="1"/>
  <c r="AA24" i="1"/>
  <c r="K4" i="1"/>
  <c r="M4" i="1"/>
  <c r="AK28" i="1"/>
  <c r="X261" i="1"/>
  <c r="AD34" i="1"/>
  <c r="K3" i="1"/>
  <c r="V34" i="1"/>
  <c r="H34" i="1"/>
  <c r="E34" i="1"/>
  <c r="W3" i="1"/>
  <c r="M34" i="1"/>
  <c r="AA33" i="1"/>
  <c r="T34" i="1"/>
  <c r="T33" i="1"/>
  <c r="S3" i="1"/>
  <c r="AI28" i="1"/>
  <c r="AE25" i="1"/>
  <c r="AL27" i="1"/>
  <c r="AE28" i="1"/>
  <c r="AG25" i="1"/>
  <c r="AI27" i="1"/>
  <c r="AB24" i="1"/>
  <c r="AA28" i="1"/>
  <c r="AH24" i="1"/>
  <c r="AL25" i="1"/>
  <c r="AJ26" i="1"/>
  <c r="AH28" i="1"/>
  <c r="O3" i="1"/>
  <c r="R34" i="1"/>
  <c r="AG26" i="1"/>
  <c r="AF24" i="1"/>
  <c r="F33" i="1"/>
  <c r="AD33" i="1"/>
  <c r="H33" i="1"/>
  <c r="AB28" i="1"/>
  <c r="AE27" i="1"/>
  <c r="X34" i="1"/>
  <c r="AB34" i="1"/>
  <c r="AJ34" i="1"/>
  <c r="AE26" i="1"/>
  <c r="AA26" i="1"/>
  <c r="F3" i="1"/>
  <c r="X244" i="1"/>
  <c r="AI33" i="1"/>
  <c r="AL33" i="1"/>
  <c r="AE34" i="1"/>
  <c r="G4" i="1"/>
  <c r="K34" i="1"/>
  <c r="L33" i="1"/>
  <c r="AL34" i="1"/>
  <c r="S34" i="1"/>
  <c r="AK33" i="1"/>
  <c r="L3" i="1"/>
  <c r="P34" i="1"/>
  <c r="AF26" i="1"/>
  <c r="AB29" i="1"/>
  <c r="AD27" i="1"/>
  <c r="AH27" i="1"/>
  <c r="AH29" i="1"/>
  <c r="AB27" i="1"/>
  <c r="AK26" i="1"/>
  <c r="U3" i="1"/>
  <c r="AI34" i="1"/>
  <c r="N34" i="1"/>
  <c r="R4" i="1"/>
  <c r="W4" i="1"/>
  <c r="Q4" i="1"/>
  <c r="F4" i="1"/>
  <c r="V4" i="1"/>
  <c r="AG34" i="1"/>
  <c r="H4" i="1"/>
  <c r="I3" i="1"/>
  <c r="R33" i="1"/>
  <c r="V33" i="1"/>
  <c r="AC26" i="1"/>
  <c r="AK27" i="1"/>
  <c r="AB25" i="1"/>
  <c r="AC28" i="1"/>
  <c r="AG29" i="1"/>
  <c r="AI24" i="1"/>
  <c r="AE24" i="1"/>
  <c r="AJ25" i="1"/>
  <c r="AB33" i="1"/>
  <c r="P4" i="1"/>
  <c r="T4" i="1"/>
  <c r="AH33" i="1"/>
  <c r="AF25" i="1"/>
  <c r="AC24" i="1"/>
  <c r="AD24" i="1"/>
  <c r="X278" i="1"/>
  <c r="P33" i="1"/>
  <c r="AC25" i="1"/>
  <c r="AL29" i="1"/>
  <c r="U4" i="1"/>
  <c r="X33" i="1"/>
  <c r="AF33" i="1"/>
  <c r="AF28" i="1"/>
  <c r="AG24" i="1"/>
  <c r="X3" i="1"/>
  <c r="M3" i="1"/>
  <c r="N33" i="1"/>
  <c r="AK34" i="1"/>
  <c r="T3" i="1"/>
  <c r="J34" i="1"/>
  <c r="J33" i="1"/>
  <c r="N4" i="1"/>
  <c r="I34" i="1"/>
  <c r="O4" i="1"/>
  <c r="AH34" i="1"/>
  <c r="U33" i="1"/>
  <c r="G33" i="1"/>
  <c r="AE29" i="1"/>
  <c r="AA27" i="1"/>
  <c r="AI26" i="1"/>
  <c r="AL28" i="1"/>
  <c r="AF27" i="1"/>
  <c r="AH25" i="1"/>
  <c r="AF29" i="1"/>
  <c r="AH26" i="1"/>
  <c r="AC27" i="1"/>
  <c r="Z33" i="1"/>
  <c r="L4" i="1"/>
  <c r="I33" i="1"/>
  <c r="V3" i="1"/>
  <c r="AD26" i="1"/>
  <c r="AB26" i="1"/>
  <c r="I4" i="1"/>
  <c r="X4" i="1"/>
  <c r="AC34" i="1"/>
  <c r="AL26" i="1"/>
  <c r="AJ24" i="1"/>
  <c r="X176" i="1"/>
  <c r="Q33" i="1"/>
  <c r="AK24" i="1"/>
  <c r="AD25" i="1"/>
  <c r="AJ29" i="1"/>
  <c r="J3" i="1"/>
  <c r="AJ28" i="1"/>
  <c r="U34" i="1"/>
  <c r="S33" i="1"/>
  <c r="AA29" i="1"/>
  <c r="L106" i="18" l="1"/>
  <c r="AF155" i="1"/>
  <c r="AH155" i="1"/>
  <c r="AC51" i="1"/>
  <c r="AH51" i="1"/>
  <c r="AB155" i="1"/>
  <c r="AG155" i="1"/>
  <c r="AL157" i="1"/>
  <c r="AD155" i="1"/>
  <c r="AC155" i="1"/>
  <c r="AK155" i="1"/>
  <c r="AE156" i="1"/>
  <c r="AJ155" i="1"/>
  <c r="AE155" i="1"/>
  <c r="X154" i="1"/>
  <c r="AI155" i="1"/>
  <c r="AL155" i="1"/>
  <c r="AA155" i="1"/>
  <c r="AF53" i="1"/>
  <c r="AG51" i="1"/>
  <c r="AG53" i="1"/>
  <c r="Y155" i="1"/>
  <c r="S230" i="1"/>
  <c r="S247" i="1"/>
  <c r="S213" i="1"/>
  <c r="S264" i="1"/>
  <c r="AF230" i="1"/>
  <c r="AF264" i="1"/>
  <c r="AF162" i="1"/>
  <c r="AF247" i="1"/>
  <c r="AF213" i="1"/>
  <c r="AF179" i="1"/>
  <c r="AF109" i="1"/>
  <c r="AA230" i="1"/>
  <c r="AA264" i="1"/>
  <c r="AA213" i="1"/>
  <c r="AA247" i="1"/>
  <c r="AA141" i="1"/>
  <c r="AA196" i="1"/>
  <c r="AA162" i="1"/>
  <c r="AA109" i="1"/>
  <c r="AA73" i="1"/>
  <c r="AA179" i="1"/>
  <c r="T264" i="1"/>
  <c r="T230" i="1"/>
  <c r="T213" i="1"/>
  <c r="P196" i="1"/>
  <c r="P141" i="1"/>
  <c r="P162" i="1"/>
  <c r="P73" i="1"/>
  <c r="K110" i="1"/>
  <c r="K142" i="1"/>
  <c r="K74" i="1"/>
  <c r="K163" i="1"/>
  <c r="K197" i="1"/>
  <c r="K214" i="1"/>
  <c r="K180" i="1"/>
  <c r="K265" i="1"/>
  <c r="K231" i="1"/>
  <c r="K248" i="1"/>
  <c r="Q265" i="1"/>
  <c r="Q197" i="1"/>
  <c r="Q74" i="1"/>
  <c r="Q180" i="1"/>
  <c r="Q179" i="1"/>
  <c r="Q264" i="1"/>
  <c r="Q213" i="1"/>
  <c r="Q230" i="1"/>
  <c r="Q73" i="1"/>
  <c r="Q162" i="1"/>
  <c r="R231" i="1"/>
  <c r="R265" i="1"/>
  <c r="R110" i="1"/>
  <c r="M230" i="1"/>
  <c r="M162" i="1"/>
  <c r="M141" i="1"/>
  <c r="M109" i="1"/>
  <c r="M247" i="1"/>
  <c r="M213" i="1"/>
  <c r="M73" i="1"/>
  <c r="M179" i="1"/>
  <c r="M264" i="1"/>
  <c r="M196" i="1"/>
  <c r="L74" i="1"/>
  <c r="L214" i="1"/>
  <c r="AD214" i="1"/>
  <c r="AD231" i="1"/>
  <c r="AD110" i="1"/>
  <c r="AD163" i="1"/>
  <c r="AD142" i="1"/>
  <c r="AD180" i="1"/>
  <c r="AD74" i="1"/>
  <c r="AD197" i="1"/>
  <c r="AD265" i="1"/>
  <c r="AD248" i="1"/>
  <c r="V142" i="1"/>
  <c r="M265" i="1"/>
  <c r="M248" i="1"/>
  <c r="M142" i="1"/>
  <c r="M231" i="1"/>
  <c r="O231" i="1"/>
  <c r="O163" i="1"/>
  <c r="O265" i="1"/>
  <c r="O197" i="1"/>
  <c r="O110" i="1"/>
  <c r="O214" i="1"/>
  <c r="O248" i="1"/>
  <c r="AD196" i="1"/>
  <c r="AD179" i="1"/>
  <c r="AD73" i="1"/>
  <c r="AD247" i="1"/>
  <c r="AD264" i="1"/>
  <c r="X179" i="1"/>
  <c r="X247" i="1"/>
  <c r="X213" i="1"/>
  <c r="X264" i="1"/>
  <c r="AC231" i="1"/>
  <c r="AC163" i="1"/>
  <c r="AC265" i="1"/>
  <c r="AC110" i="1"/>
  <c r="AC142" i="1"/>
  <c r="AC197" i="1"/>
  <c r="AC214" i="1"/>
  <c r="AC180" i="1"/>
  <c r="L264" i="1"/>
  <c r="L162" i="1"/>
  <c r="L141" i="1"/>
  <c r="L196" i="1"/>
  <c r="T231" i="1"/>
  <c r="T163" i="1"/>
  <c r="T197" i="1"/>
  <c r="T214" i="1"/>
  <c r="T180" i="1"/>
  <c r="T265" i="1"/>
  <c r="K73" i="1"/>
  <c r="K247" i="1"/>
  <c r="K213" i="1"/>
  <c r="K264" i="1"/>
  <c r="Z109" i="1"/>
  <c r="Z264" i="1"/>
  <c r="Z179" i="1"/>
  <c r="Z230" i="1"/>
  <c r="Z213" i="1"/>
  <c r="AB141" i="1"/>
  <c r="AB230" i="1"/>
  <c r="AB264" i="1"/>
  <c r="AB162" i="1"/>
  <c r="AB247" i="1"/>
  <c r="U74" i="1"/>
  <c r="G74" i="1"/>
  <c r="G265" i="1"/>
  <c r="N110" i="1"/>
  <c r="N142" i="1"/>
  <c r="N74" i="1"/>
  <c r="F230" i="1"/>
  <c r="AF197" i="1"/>
  <c r="AF231" i="1"/>
  <c r="AF142" i="1"/>
  <c r="J163" i="1"/>
  <c r="H73" i="1"/>
  <c r="H109" i="1"/>
  <c r="H247" i="1"/>
  <c r="H162" i="1"/>
  <c r="H179" i="1"/>
  <c r="H213" i="1"/>
  <c r="H264" i="1"/>
  <c r="H141" i="1"/>
  <c r="H230" i="1"/>
  <c r="H196" i="1"/>
  <c r="AE109" i="1"/>
  <c r="AE162" i="1"/>
  <c r="AE247" i="1"/>
  <c r="AE196" i="1"/>
  <c r="AJ110" i="1"/>
  <c r="AJ180" i="1"/>
  <c r="N162" i="1"/>
  <c r="N196" i="1"/>
  <c r="N109" i="1"/>
  <c r="N264" i="1"/>
  <c r="N247" i="1"/>
  <c r="R196" i="1"/>
  <c r="R264" i="1"/>
  <c r="R213" i="1"/>
  <c r="R162" i="1"/>
  <c r="AI231" i="1"/>
  <c r="AI214" i="1"/>
  <c r="H265" i="1"/>
  <c r="H163" i="1"/>
  <c r="S231" i="1"/>
  <c r="S142" i="1"/>
  <c r="E163" i="1"/>
  <c r="E231" i="1"/>
  <c r="AG213" i="1"/>
  <c r="AG141" i="1"/>
  <c r="AG73" i="1"/>
  <c r="AG109" i="1"/>
  <c r="AG230" i="1"/>
  <c r="AG179" i="1"/>
  <c r="AG264" i="1"/>
  <c r="AG196" i="1"/>
  <c r="AG162" i="1"/>
  <c r="AG247" i="1"/>
  <c r="AH196" i="1"/>
  <c r="AH213" i="1"/>
  <c r="AI247" i="1"/>
  <c r="AI264" i="1"/>
  <c r="AI213" i="1"/>
  <c r="AI109" i="1"/>
  <c r="AI179" i="1"/>
  <c r="AI141" i="1"/>
  <c r="AG163" i="1"/>
  <c r="AG110" i="1"/>
  <c r="X214" i="1"/>
  <c r="J264" i="1"/>
  <c r="J213" i="1"/>
  <c r="J73" i="1"/>
  <c r="AJ264" i="1"/>
  <c r="AJ162" i="1"/>
  <c r="AJ196" i="1"/>
  <c r="AJ213" i="1"/>
  <c r="AJ247" i="1"/>
  <c r="AJ230" i="1"/>
  <c r="AJ141" i="1"/>
  <c r="AJ179" i="1"/>
  <c r="AJ73" i="1"/>
  <c r="AJ109" i="1"/>
  <c r="L57" i="2"/>
  <c r="L60" i="2" s="1"/>
  <c r="L63" i="2" s="1"/>
  <c r="J57" i="2"/>
  <c r="J60" i="2" s="1"/>
  <c r="J18" i="1" s="1"/>
  <c r="W57" i="2"/>
  <c r="W60" i="2" s="1"/>
  <c r="W18" i="1" s="1"/>
  <c r="R56" i="2"/>
  <c r="R59" i="2" s="1"/>
  <c r="R17" i="1" s="1"/>
  <c r="R20" i="1" s="1"/>
  <c r="E56" i="2"/>
  <c r="E59" i="2" s="1"/>
  <c r="E17" i="1" s="1"/>
  <c r="E20" i="1" s="1"/>
  <c r="E57" i="2"/>
  <c r="E60" i="2" s="1"/>
  <c r="O56" i="2"/>
  <c r="O59" i="2" s="1"/>
  <c r="H57" i="2"/>
  <c r="H60" i="2" s="1"/>
  <c r="H18" i="1" s="1"/>
  <c r="V56" i="2"/>
  <c r="V59" i="2" s="1"/>
  <c r="V17" i="1" s="1"/>
  <c r="V20" i="1" s="1"/>
  <c r="M57" i="2"/>
  <c r="M60" i="2" s="1"/>
  <c r="M63" i="2" s="1"/>
  <c r="T57" i="2"/>
  <c r="T60" i="2" s="1"/>
  <c r="T63" i="2" s="1"/>
  <c r="G57" i="2"/>
  <c r="G60" i="2" s="1"/>
  <c r="G18" i="1" s="1"/>
  <c r="N56" i="2"/>
  <c r="N59" i="2" s="1"/>
  <c r="N17" i="1" s="1"/>
  <c r="N20" i="1" s="1"/>
  <c r="Q56" i="2"/>
  <c r="Q59" i="2" s="1"/>
  <c r="T56" i="2"/>
  <c r="T59" i="2" s="1"/>
  <c r="P56" i="2"/>
  <c r="P59" i="2" s="1"/>
  <c r="F57" i="2"/>
  <c r="F60" i="2" s="1"/>
  <c r="F18" i="1" s="1"/>
  <c r="P57" i="2"/>
  <c r="P60" i="2" s="1"/>
  <c r="P18" i="1" s="1"/>
  <c r="W56" i="2"/>
  <c r="W59" i="2" s="1"/>
  <c r="W17" i="1" s="1"/>
  <c r="W20" i="1" s="1"/>
  <c r="J56" i="2"/>
  <c r="J59" i="2" s="1"/>
  <c r="M56" i="2"/>
  <c r="M59" i="2" s="1"/>
  <c r="M17" i="1" s="1"/>
  <c r="M20" i="1" s="1"/>
  <c r="O57" i="2"/>
  <c r="O60" i="2" s="1"/>
  <c r="S57" i="2"/>
  <c r="S60" i="2" s="1"/>
  <c r="F56" i="2"/>
  <c r="F59" i="2" s="1"/>
  <c r="F17" i="1" s="1"/>
  <c r="F20" i="1" s="1"/>
  <c r="I56" i="2"/>
  <c r="I59" i="2" s="1"/>
  <c r="I17" i="1" s="1"/>
  <c r="I20" i="1" s="1"/>
  <c r="L56" i="2"/>
  <c r="L59" i="2" s="1"/>
  <c r="L17" i="1" s="1"/>
  <c r="L20" i="1" s="1"/>
  <c r="V57" i="2"/>
  <c r="V60" i="2" s="1"/>
  <c r="V18" i="1" s="1"/>
  <c r="K57" i="2"/>
  <c r="K60" i="2" s="1"/>
  <c r="K63" i="2" s="1"/>
  <c r="K56" i="2"/>
  <c r="K59" i="2" s="1"/>
  <c r="K17" i="1" s="1"/>
  <c r="K20" i="1" s="1"/>
  <c r="R57" i="2"/>
  <c r="R60" i="2" s="1"/>
  <c r="U57" i="2"/>
  <c r="U60" i="2" s="1"/>
  <c r="X56" i="2"/>
  <c r="X59" i="2" s="1"/>
  <c r="X17" i="1" s="1"/>
  <c r="X20" i="1" s="1"/>
  <c r="H56" i="2"/>
  <c r="H59" i="2" s="1"/>
  <c r="H17" i="1" s="1"/>
  <c r="H20" i="1" s="1"/>
  <c r="X57" i="2"/>
  <c r="X60" i="2" s="1"/>
  <c r="X63" i="2" s="1"/>
  <c r="G56" i="2"/>
  <c r="G59" i="2" s="1"/>
  <c r="N57" i="2"/>
  <c r="N60" i="2" s="1"/>
  <c r="N63" i="2" s="1"/>
  <c r="Q57" i="2"/>
  <c r="Q60" i="2" s="1"/>
  <c r="Q18" i="1" s="1"/>
  <c r="E197" i="1"/>
  <c r="S214" i="1"/>
  <c r="AI197" i="1"/>
  <c r="U197" i="1"/>
  <c r="U248" i="1"/>
  <c r="U142" i="1"/>
  <c r="U110" i="1"/>
  <c r="U265" i="1"/>
  <c r="U231" i="1"/>
  <c r="G197" i="1"/>
  <c r="G248" i="1"/>
  <c r="G110" i="1"/>
  <c r="G142" i="1"/>
  <c r="G163" i="1"/>
  <c r="F73" i="1"/>
  <c r="F196" i="1"/>
  <c r="F179" i="1"/>
  <c r="F264" i="1"/>
  <c r="F247" i="1"/>
  <c r="F141" i="1"/>
  <c r="F162" i="1"/>
  <c r="AF265" i="1"/>
  <c r="AF74" i="1"/>
  <c r="AF110" i="1"/>
  <c r="AF214" i="1"/>
  <c r="J265" i="1"/>
  <c r="J180" i="1"/>
  <c r="J142" i="1"/>
  <c r="J214" i="1"/>
  <c r="J74" i="1"/>
  <c r="G180" i="1"/>
  <c r="U163" i="1"/>
  <c r="AH179" i="1"/>
  <c r="J247" i="1"/>
  <c r="J231" i="1"/>
  <c r="AF163" i="1"/>
  <c r="S197" i="1"/>
  <c r="AI196" i="1"/>
  <c r="N180" i="1"/>
  <c r="P248" i="1"/>
  <c r="P214" i="1"/>
  <c r="P163" i="1"/>
  <c r="P231" i="1"/>
  <c r="P265" i="1"/>
  <c r="P142" i="1"/>
  <c r="P197" i="1"/>
  <c r="P180" i="1"/>
  <c r="P74" i="1"/>
  <c r="P110" i="1"/>
  <c r="R141" i="1"/>
  <c r="R73" i="1"/>
  <c r="R247" i="1"/>
  <c r="R109" i="1"/>
  <c r="R230" i="1"/>
  <c r="R179" i="1"/>
  <c r="AE73" i="1"/>
  <c r="AE179" i="1"/>
  <c r="AE213" i="1"/>
  <c r="AE264" i="1"/>
  <c r="AE141" i="1"/>
  <c r="AE230" i="1"/>
  <c r="G109" i="1"/>
  <c r="G264" i="1"/>
  <c r="G196" i="1"/>
  <c r="G179" i="1"/>
  <c r="G230" i="1"/>
  <c r="G247" i="1"/>
  <c r="G213" i="1"/>
  <c r="G162" i="1"/>
  <c r="G141" i="1"/>
  <c r="G73" i="1"/>
  <c r="AJ163" i="1"/>
  <c r="AJ231" i="1"/>
  <c r="AJ248" i="1"/>
  <c r="AJ197" i="1"/>
  <c r="AJ74" i="1"/>
  <c r="AJ265" i="1"/>
  <c r="AJ214" i="1"/>
  <c r="AJ142" i="1"/>
  <c r="N230" i="1"/>
  <c r="N213" i="1"/>
  <c r="N179" i="1"/>
  <c r="N141" i="1"/>
  <c r="N73" i="1"/>
  <c r="AI265" i="1"/>
  <c r="AI163" i="1"/>
  <c r="V196" i="1"/>
  <c r="V213" i="1"/>
  <c r="V162" i="1"/>
  <c r="V230" i="1"/>
  <c r="V264" i="1"/>
  <c r="V179" i="1"/>
  <c r="V141" i="1"/>
  <c r="V247" i="1"/>
  <c r="V73" i="1"/>
  <c r="V109" i="1"/>
  <c r="E214" i="1"/>
  <c r="E110" i="1"/>
  <c r="E180" i="1"/>
  <c r="E265" i="1"/>
  <c r="AI248" i="1"/>
  <c r="AB248" i="1"/>
  <c r="AB74" i="1"/>
  <c r="AB110" i="1"/>
  <c r="AB265" i="1"/>
  <c r="AB214" i="1"/>
  <c r="AB180" i="1"/>
  <c r="AB231" i="1"/>
  <c r="AB163" i="1"/>
  <c r="AB142" i="1"/>
  <c r="AB197" i="1"/>
  <c r="AG231" i="1"/>
  <c r="AG180" i="1"/>
  <c r="AG248" i="1"/>
  <c r="AG197" i="1"/>
  <c r="AG214" i="1"/>
  <c r="AG74" i="1"/>
  <c r="AG142" i="1"/>
  <c r="X74" i="1"/>
  <c r="X110" i="1"/>
  <c r="X180" i="1"/>
  <c r="X197" i="1"/>
  <c r="X248" i="1"/>
  <c r="X231" i="1"/>
  <c r="AI73" i="1"/>
  <c r="AI180" i="1"/>
  <c r="N163" i="1"/>
  <c r="N231" i="1"/>
  <c r="AE231" i="1"/>
  <c r="AE74" i="1"/>
  <c r="AE197" i="1"/>
  <c r="AE265" i="1"/>
  <c r="AE248" i="1"/>
  <c r="AE214" i="1"/>
  <c r="AE163" i="1"/>
  <c r="AE110" i="1"/>
  <c r="AE142" i="1"/>
  <c r="AE180" i="1"/>
  <c r="U213" i="1"/>
  <c r="U162" i="1"/>
  <c r="U264" i="1"/>
  <c r="U230" i="1"/>
  <c r="U179" i="1"/>
  <c r="U247" i="1"/>
  <c r="U196" i="1"/>
  <c r="U109" i="1"/>
  <c r="U141" i="1"/>
  <c r="U73" i="1"/>
  <c r="Q163" i="1"/>
  <c r="Q142" i="1"/>
  <c r="Q110" i="1"/>
  <c r="Q231" i="1"/>
  <c r="Q248" i="1"/>
  <c r="Q196" i="1"/>
  <c r="Q247" i="1"/>
  <c r="Q109" i="1"/>
  <c r="Q141" i="1"/>
  <c r="R214" i="1"/>
  <c r="R197" i="1"/>
  <c r="R142" i="1"/>
  <c r="R74" i="1"/>
  <c r="R163" i="1"/>
  <c r="U214" i="1"/>
  <c r="J248" i="1"/>
  <c r="E74" i="1"/>
  <c r="X142" i="1"/>
  <c r="R180" i="1"/>
  <c r="AI162" i="1"/>
  <c r="AI74" i="1"/>
  <c r="N248" i="1"/>
  <c r="AL248" i="1"/>
  <c r="AL74" i="1"/>
  <c r="AL214" i="1"/>
  <c r="AL163" i="1"/>
  <c r="AL231" i="1"/>
  <c r="AL265" i="1"/>
  <c r="AL110" i="1"/>
  <c r="AL197" i="1"/>
  <c r="AL142" i="1"/>
  <c r="AL180" i="1"/>
  <c r="S196" i="1"/>
  <c r="S109" i="1"/>
  <c r="S162" i="1"/>
  <c r="S73" i="1"/>
  <c r="S179" i="1"/>
  <c r="S141" i="1"/>
  <c r="AF73" i="1"/>
  <c r="AF196" i="1"/>
  <c r="T109" i="1"/>
  <c r="T179" i="1"/>
  <c r="T73" i="1"/>
  <c r="T247" i="1"/>
  <c r="T196" i="1"/>
  <c r="T162" i="1"/>
  <c r="T141" i="1"/>
  <c r="AK74" i="1"/>
  <c r="AK265" i="1"/>
  <c r="AK163" i="1"/>
  <c r="AK231" i="1"/>
  <c r="AK180" i="1"/>
  <c r="AK248" i="1"/>
  <c r="AK197" i="1"/>
  <c r="AK214" i="1"/>
  <c r="AK142" i="1"/>
  <c r="AK110" i="1"/>
  <c r="AH248" i="1"/>
  <c r="AH110" i="1"/>
  <c r="AH214" i="1"/>
  <c r="AH142" i="1"/>
  <c r="AH265" i="1"/>
  <c r="AH74" i="1"/>
  <c r="AH231" i="1"/>
  <c r="AH163" i="1"/>
  <c r="AH197" i="1"/>
  <c r="AH180" i="1"/>
  <c r="P179" i="1"/>
  <c r="P230" i="1"/>
  <c r="P109" i="1"/>
  <c r="P264" i="1"/>
  <c r="P247" i="1"/>
  <c r="P213" i="1"/>
  <c r="AL264" i="1"/>
  <c r="AL162" i="1"/>
  <c r="AL230" i="1"/>
  <c r="AL179" i="1"/>
  <c r="AL109" i="1"/>
  <c r="AL247" i="1"/>
  <c r="AL196" i="1"/>
  <c r="AL141" i="1"/>
  <c r="AL73" i="1"/>
  <c r="AL213" i="1"/>
  <c r="F197" i="1"/>
  <c r="F265" i="1"/>
  <c r="F231" i="1"/>
  <c r="F180" i="1"/>
  <c r="F248" i="1"/>
  <c r="F110" i="1"/>
  <c r="F142" i="1"/>
  <c r="F214" i="1"/>
  <c r="F163" i="1"/>
  <c r="F74" i="1"/>
  <c r="H214" i="1"/>
  <c r="H180" i="1"/>
  <c r="H74" i="1"/>
  <c r="H231" i="1"/>
  <c r="H110" i="1"/>
  <c r="H197" i="1"/>
  <c r="S265" i="1"/>
  <c r="S110" i="1"/>
  <c r="S74" i="1"/>
  <c r="S180" i="1"/>
  <c r="S248" i="1"/>
  <c r="N197" i="1"/>
  <c r="AH73" i="1"/>
  <c r="AH162" i="1"/>
  <c r="AH230" i="1"/>
  <c r="AH247" i="1"/>
  <c r="AH109" i="1"/>
  <c r="AH141" i="1"/>
  <c r="AH264" i="1"/>
  <c r="J230" i="1"/>
  <c r="J179" i="1"/>
  <c r="J196" i="1"/>
  <c r="J141" i="1"/>
  <c r="J109" i="1"/>
  <c r="J162" i="1"/>
  <c r="G231" i="1"/>
  <c r="H142" i="1"/>
  <c r="F109" i="1"/>
  <c r="Q214" i="1"/>
  <c r="U180" i="1"/>
  <c r="U56" i="2"/>
  <c r="U59" i="2" s="1"/>
  <c r="U17" i="1" s="1"/>
  <c r="U20" i="1" s="1"/>
  <c r="I57" i="2"/>
  <c r="I60" i="2" s="1"/>
  <c r="J110" i="1"/>
  <c r="R248" i="1"/>
  <c r="E248" i="1"/>
  <c r="AF180" i="1"/>
  <c r="X163" i="1"/>
  <c r="AI230" i="1"/>
  <c r="AI142" i="1"/>
  <c r="N265" i="1"/>
  <c r="AF141" i="1"/>
  <c r="I248" i="1"/>
  <c r="I214" i="1"/>
  <c r="I142" i="1"/>
  <c r="I163" i="1"/>
  <c r="I110" i="1"/>
  <c r="I265" i="1"/>
  <c r="I74" i="1"/>
  <c r="I197" i="1"/>
  <c r="I180" i="1"/>
  <c r="I231" i="1"/>
  <c r="L197" i="1"/>
  <c r="L163" i="1"/>
  <c r="L142" i="1"/>
  <c r="L180" i="1"/>
  <c r="L110" i="1"/>
  <c r="L231" i="1"/>
  <c r="L265" i="1"/>
  <c r="L248" i="1"/>
  <c r="V248" i="1"/>
  <c r="V214" i="1"/>
  <c r="V110" i="1"/>
  <c r="V74" i="1"/>
  <c r="V265" i="1"/>
  <c r="V163" i="1"/>
  <c r="V231" i="1"/>
  <c r="V180" i="1"/>
  <c r="V197" i="1"/>
  <c r="M214" i="1"/>
  <c r="M163" i="1"/>
  <c r="M110" i="1"/>
  <c r="M180" i="1"/>
  <c r="M74" i="1"/>
  <c r="M197" i="1"/>
  <c r="O162" i="1"/>
  <c r="O109" i="1"/>
  <c r="O230" i="1"/>
  <c r="O196" i="1"/>
  <c r="O179" i="1"/>
  <c r="O247" i="1"/>
  <c r="O213" i="1"/>
  <c r="O264" i="1"/>
  <c r="O73" i="1"/>
  <c r="O141" i="1"/>
  <c r="O142" i="1"/>
  <c r="O180" i="1"/>
  <c r="O74" i="1"/>
  <c r="AD213" i="1"/>
  <c r="AD162" i="1"/>
  <c r="AD230" i="1"/>
  <c r="AD141" i="1"/>
  <c r="AD109" i="1"/>
  <c r="X230" i="1"/>
  <c r="X73" i="1"/>
  <c r="X162" i="1"/>
  <c r="X141" i="1"/>
  <c r="X109" i="1"/>
  <c r="X196" i="1"/>
  <c r="AK179" i="1"/>
  <c r="AK162" i="1"/>
  <c r="AK230" i="1"/>
  <c r="AK196" i="1"/>
  <c r="AK264" i="1"/>
  <c r="AK247" i="1"/>
  <c r="AK141" i="1"/>
  <c r="AK73" i="1"/>
  <c r="AK213" i="1"/>
  <c r="AK109" i="1"/>
  <c r="I230" i="1"/>
  <c r="I179" i="1"/>
  <c r="I109" i="1"/>
  <c r="I196" i="1"/>
  <c r="I141" i="1"/>
  <c r="I247" i="1"/>
  <c r="I73" i="1"/>
  <c r="I213" i="1"/>
  <c r="I264" i="1"/>
  <c r="I162" i="1"/>
  <c r="S163" i="1"/>
  <c r="AG265" i="1"/>
  <c r="G214" i="1"/>
  <c r="H248" i="1"/>
  <c r="F213" i="1"/>
  <c r="J197" i="1"/>
  <c r="E142" i="1"/>
  <c r="AF248" i="1"/>
  <c r="X265" i="1"/>
  <c r="AI110" i="1"/>
  <c r="N214" i="1"/>
  <c r="AC74" i="1"/>
  <c r="AC248" i="1"/>
  <c r="L179" i="1"/>
  <c r="L213" i="1"/>
  <c r="L247" i="1"/>
  <c r="L230" i="1"/>
  <c r="L73" i="1"/>
  <c r="L109" i="1"/>
  <c r="T248" i="1"/>
  <c r="T142" i="1"/>
  <c r="T74" i="1"/>
  <c r="T110" i="1"/>
  <c r="K141" i="1"/>
  <c r="K162" i="1"/>
  <c r="K109" i="1"/>
  <c r="K179" i="1"/>
  <c r="K230" i="1"/>
  <c r="K196" i="1"/>
  <c r="Z196" i="1"/>
  <c r="Z141" i="1"/>
  <c r="Z247" i="1"/>
  <c r="Z73" i="1"/>
  <c r="Z162" i="1"/>
  <c r="AB196" i="1"/>
  <c r="AB73" i="1"/>
  <c r="AB213" i="1"/>
  <c r="AB109" i="1"/>
  <c r="AB179" i="1"/>
  <c r="AK51" i="1"/>
  <c r="AK53" i="1"/>
  <c r="R63" i="2"/>
  <c r="R18" i="1"/>
  <c r="U3" i="12"/>
  <c r="X1" i="2" s="1"/>
  <c r="X10" i="2"/>
  <c r="X126" i="1" s="1"/>
  <c r="AI53" i="1"/>
  <c r="AI51" i="1"/>
  <c r="X91" i="1"/>
  <c r="AK92" i="1"/>
  <c r="AE93" i="1"/>
  <c r="AL94" i="1"/>
  <c r="AI92" i="1"/>
  <c r="AE92" i="1"/>
  <c r="AJ92" i="1"/>
  <c r="Z92" i="1"/>
  <c r="AL92" i="1"/>
  <c r="AD92" i="1"/>
  <c r="AF92" i="1"/>
  <c r="AB92" i="1"/>
  <c r="AH92" i="1"/>
  <c r="AA92" i="1"/>
  <c r="AG92" i="1"/>
  <c r="Q17" i="1"/>
  <c r="Q20" i="1" s="1"/>
  <c r="AE51" i="1"/>
  <c r="T13" i="12"/>
  <c r="W45" i="2" s="1"/>
  <c r="W259" i="1" s="1"/>
  <c r="T12" i="12"/>
  <c r="W40" i="2" s="1"/>
  <c r="W242" i="1" s="1"/>
  <c r="T9" i="12"/>
  <c r="W20" i="2" s="1"/>
  <c r="W174" i="1" s="1"/>
  <c r="T11" i="12"/>
  <c r="W5" i="2" s="1"/>
  <c r="W90" i="1" s="1"/>
  <c r="T7" i="12"/>
  <c r="W25" i="2" s="1"/>
  <c r="W191" i="1" s="1"/>
  <c r="T6" i="12"/>
  <c r="W35" i="2" s="1"/>
  <c r="W225" i="1" s="1"/>
  <c r="S2" i="12"/>
  <c r="T14" i="12"/>
  <c r="W15" i="2" s="1"/>
  <c r="W153" i="1" s="1"/>
  <c r="T10" i="12"/>
  <c r="T15" i="12"/>
  <c r="W50" i="2" s="1"/>
  <c r="W276" i="1" s="1"/>
  <c r="T8" i="12"/>
  <c r="W30" i="2" s="1"/>
  <c r="W208" i="1" s="1"/>
  <c r="K108" i="18"/>
  <c r="L107" i="18"/>
  <c r="O63" i="2"/>
  <c r="O18" i="1"/>
  <c r="S63" i="2"/>
  <c r="S18" i="1"/>
  <c r="T17" i="1"/>
  <c r="T20" i="1" s="1"/>
  <c r="Y92" i="1"/>
  <c r="I18" i="1"/>
  <c r="I63" i="2"/>
  <c r="E63" i="2"/>
  <c r="E18" i="1"/>
  <c r="O17" i="1"/>
  <c r="O20" i="1" s="1"/>
  <c r="P17" i="1"/>
  <c r="P20" i="1" s="1"/>
  <c r="G17" i="1"/>
  <c r="G20" i="1" s="1"/>
  <c r="U63" i="2"/>
  <c r="U18" i="1"/>
  <c r="AB51" i="1"/>
  <c r="W176" i="1"/>
  <c r="W193" i="1"/>
  <c r="W210" i="1"/>
  <c r="W278" i="1"/>
  <c r="W261" i="1"/>
  <c r="W244" i="1"/>
  <c r="W227" i="1"/>
  <c r="Q63" i="2" l="1"/>
  <c r="L18" i="1"/>
  <c r="F63" i="2"/>
  <c r="H63" i="2"/>
  <c r="W63" i="2"/>
  <c r="T18" i="1"/>
  <c r="V63" i="2"/>
  <c r="AQ59" i="2"/>
  <c r="AP59" i="2"/>
  <c r="AR59" i="2" s="1"/>
  <c r="AQ60" i="2" s="1"/>
  <c r="J17" i="1"/>
  <c r="J20" i="1" s="1"/>
  <c r="N18" i="1"/>
  <c r="G63" i="2"/>
  <c r="AO59" i="2"/>
  <c r="P63" i="2"/>
  <c r="J63" i="2"/>
  <c r="X18" i="1"/>
  <c r="M18" i="1"/>
  <c r="K18" i="1"/>
  <c r="T3" i="12"/>
  <c r="W1" i="2" s="1"/>
  <c r="W10" i="2"/>
  <c r="W126" i="1" s="1"/>
  <c r="W154" i="1"/>
  <c r="AK157" i="1"/>
  <c r="AD156" i="1"/>
  <c r="S13" i="12"/>
  <c r="V45" i="2" s="1"/>
  <c r="V259" i="1" s="1"/>
  <c r="S9" i="12"/>
  <c r="V20" i="2" s="1"/>
  <c r="V174" i="1" s="1"/>
  <c r="S6" i="12"/>
  <c r="V35" i="2" s="1"/>
  <c r="V225" i="1" s="1"/>
  <c r="R2" i="12"/>
  <c r="S11" i="12"/>
  <c r="V5" i="2" s="1"/>
  <c r="V90" i="1" s="1"/>
  <c r="S7" i="12"/>
  <c r="V25" i="2" s="1"/>
  <c r="V191" i="1" s="1"/>
  <c r="S12" i="12"/>
  <c r="V40" i="2" s="1"/>
  <c r="V242" i="1" s="1"/>
  <c r="S14" i="12"/>
  <c r="V15" i="2" s="1"/>
  <c r="V153" i="1" s="1"/>
  <c r="S8" i="12"/>
  <c r="V30" i="2" s="1"/>
  <c r="V208" i="1" s="1"/>
  <c r="S10" i="12"/>
  <c r="S15" i="12"/>
  <c r="V50" i="2" s="1"/>
  <c r="V276" i="1" s="1"/>
  <c r="L108" i="18"/>
  <c r="K109" i="18"/>
  <c r="AK94" i="1"/>
  <c r="W91" i="1"/>
  <c r="AD93" i="1"/>
  <c r="X127" i="1"/>
  <c r="AJ128" i="1"/>
  <c r="AL130" i="1"/>
  <c r="AE128" i="1"/>
  <c r="AG128" i="1"/>
  <c r="AI128" i="1"/>
  <c r="Z128" i="1"/>
  <c r="AB128" i="1"/>
  <c r="AH128" i="1"/>
  <c r="AL128" i="1"/>
  <c r="AD128" i="1"/>
  <c r="AE129" i="1"/>
  <c r="AC128" i="1"/>
  <c r="Y128" i="1"/>
  <c r="AK128" i="1"/>
  <c r="AF128" i="1"/>
  <c r="AA128" i="1"/>
  <c r="X63" i="1"/>
  <c r="X50" i="1"/>
  <c r="V244" i="1"/>
  <c r="V176" i="1"/>
  <c r="V261" i="1"/>
  <c r="V193" i="1"/>
  <c r="V278" i="1"/>
  <c r="V227" i="1"/>
  <c r="V210" i="1"/>
  <c r="AP60" i="2" l="1"/>
  <c r="AP62" i="2" s="1"/>
  <c r="AS15" i="1" s="1"/>
  <c r="AJ94" i="1"/>
  <c r="AC93" i="1"/>
  <c r="L109" i="18"/>
  <c r="K110" i="18"/>
  <c r="R15" i="12"/>
  <c r="U50" i="2" s="1"/>
  <c r="U276" i="1" s="1"/>
  <c r="R7" i="12"/>
  <c r="U25" i="2" s="1"/>
  <c r="U191" i="1" s="1"/>
  <c r="R8" i="12"/>
  <c r="U30" i="2" s="1"/>
  <c r="U208" i="1" s="1"/>
  <c r="Q2" i="12"/>
  <c r="R6" i="12"/>
  <c r="U35" i="2" s="1"/>
  <c r="U225" i="1" s="1"/>
  <c r="R12" i="12"/>
  <c r="U40" i="2" s="1"/>
  <c r="U242" i="1" s="1"/>
  <c r="R10" i="12"/>
  <c r="R9" i="12"/>
  <c r="U20" i="2" s="1"/>
  <c r="U174" i="1" s="1"/>
  <c r="R11" i="12"/>
  <c r="U5" i="2" s="1"/>
  <c r="U90" i="1" s="1"/>
  <c r="R13" i="12"/>
  <c r="U45" i="2" s="1"/>
  <c r="U259" i="1" s="1"/>
  <c r="R14" i="12"/>
  <c r="U15" i="2" s="1"/>
  <c r="U153" i="1" s="1"/>
  <c r="AQ62" i="2"/>
  <c r="AT15" i="1" s="1"/>
  <c r="S62" i="2"/>
  <c r="S15" i="1" s="1"/>
  <c r="Q62" i="2"/>
  <c r="Q15" i="1" s="1"/>
  <c r="F62" i="2"/>
  <c r="F15" i="1" s="1"/>
  <c r="K62" i="2"/>
  <c r="K15" i="1" s="1"/>
  <c r="E62" i="2"/>
  <c r="E15" i="1" s="1"/>
  <c r="P62" i="2"/>
  <c r="P15" i="1" s="1"/>
  <c r="M62" i="2"/>
  <c r="M15" i="1" s="1"/>
  <c r="O62" i="2"/>
  <c r="O15" i="1" s="1"/>
  <c r="V62" i="2"/>
  <c r="V15" i="1" s="1"/>
  <c r="X62" i="2"/>
  <c r="X15" i="1" s="1"/>
  <c r="L62" i="2"/>
  <c r="L15" i="1" s="1"/>
  <c r="U62" i="2"/>
  <c r="U15" i="1" s="1"/>
  <c r="T62" i="2"/>
  <c r="T15" i="1" s="1"/>
  <c r="J62" i="2"/>
  <c r="J15" i="1" s="1"/>
  <c r="H62" i="2"/>
  <c r="H15" i="1" s="1"/>
  <c r="I62" i="2"/>
  <c r="I15" i="1" s="1"/>
  <c r="R62" i="2"/>
  <c r="R15" i="1" s="1"/>
  <c r="W62" i="2"/>
  <c r="W15" i="1" s="1"/>
  <c r="N62" i="2"/>
  <c r="N15" i="1" s="1"/>
  <c r="G62" i="2"/>
  <c r="G15" i="1" s="1"/>
  <c r="S3" i="12"/>
  <c r="V1" i="2" s="1"/>
  <c r="V10" i="2"/>
  <c r="V126" i="1" s="1"/>
  <c r="W127" i="1"/>
  <c r="AK130" i="1"/>
  <c r="AD129" i="1"/>
  <c r="AF52" i="1"/>
  <c r="AA52" i="1"/>
  <c r="AD52" i="1"/>
  <c r="Y52" i="1"/>
  <c r="AG52" i="1"/>
  <c r="AH52" i="1"/>
  <c r="AJ52" i="1"/>
  <c r="X51" i="1"/>
  <c r="AL54" i="1"/>
  <c r="AL52" i="1"/>
  <c r="AC52" i="1"/>
  <c r="Z52" i="1"/>
  <c r="AK52" i="1"/>
  <c r="AE52" i="1"/>
  <c r="AE53" i="1"/>
  <c r="AI52" i="1"/>
  <c r="AB52" i="1"/>
  <c r="AC156" i="1"/>
  <c r="AJ157" i="1"/>
  <c r="W63" i="1"/>
  <c r="W50" i="1"/>
  <c r="J16" i="1"/>
  <c r="Q16" i="1"/>
  <c r="U227" i="1"/>
  <c r="X16" i="1"/>
  <c r="P16" i="1"/>
  <c r="M16" i="1"/>
  <c r="S16" i="1"/>
  <c r="U193" i="1"/>
  <c r="U210" i="1"/>
  <c r="H16" i="1"/>
  <c r="V16" i="1"/>
  <c r="U278" i="1"/>
  <c r="R16" i="1"/>
  <c r="W16" i="1"/>
  <c r="N16" i="1"/>
  <c r="U244" i="1"/>
  <c r="O16" i="1"/>
  <c r="G16" i="1"/>
  <c r="I16" i="1"/>
  <c r="F16" i="1"/>
  <c r="U176" i="1"/>
  <c r="K16" i="1"/>
  <c r="L16" i="1"/>
  <c r="U16" i="1"/>
  <c r="U261" i="1"/>
  <c r="E16" i="1"/>
  <c r="T16" i="1"/>
  <c r="AR60" i="2" l="1"/>
  <c r="AR62" i="2" s="1"/>
  <c r="AT16" i="1" s="1"/>
  <c r="AJ130" i="1"/>
  <c r="AC129" i="1"/>
  <c r="V50" i="1"/>
  <c r="V63" i="1"/>
  <c r="AI94" i="1"/>
  <c r="AB93" i="1"/>
  <c r="AD53" i="1"/>
  <c r="W51" i="1"/>
  <c r="AT63" i="1" s="1"/>
  <c r="AK54" i="1"/>
  <c r="L110" i="18"/>
  <c r="K111" i="18"/>
  <c r="U10" i="2"/>
  <c r="U126" i="1" s="1"/>
  <c r="R3" i="12"/>
  <c r="U1" i="2" s="1"/>
  <c r="Q7" i="12"/>
  <c r="T25" i="2" s="1"/>
  <c r="T191" i="1" s="1"/>
  <c r="Q15" i="12"/>
  <c r="T50" i="2" s="1"/>
  <c r="T276" i="1" s="1"/>
  <c r="Q9" i="12"/>
  <c r="T20" i="2" s="1"/>
  <c r="T174" i="1" s="1"/>
  <c r="Q6" i="12"/>
  <c r="T35" i="2" s="1"/>
  <c r="T225" i="1" s="1"/>
  <c r="Q10" i="12"/>
  <c r="Q8" i="12"/>
  <c r="T30" i="2" s="1"/>
  <c r="T208" i="1" s="1"/>
  <c r="P2" i="12"/>
  <c r="Q13" i="12"/>
  <c r="T45" i="2" s="1"/>
  <c r="T259" i="1" s="1"/>
  <c r="Q14" i="12"/>
  <c r="T15" i="2" s="1"/>
  <c r="T153" i="1" s="1"/>
  <c r="Q11" i="12"/>
  <c r="T5" i="2" s="1"/>
  <c r="T90" i="1" s="1"/>
  <c r="Q12" i="12"/>
  <c r="T40" i="2" s="1"/>
  <c r="T242" i="1" s="1"/>
  <c r="AB156" i="1"/>
  <c r="AI157" i="1"/>
  <c r="T278" i="1"/>
  <c r="T244" i="1"/>
  <c r="T210" i="1"/>
  <c r="T176" i="1"/>
  <c r="T193" i="1"/>
  <c r="T227" i="1"/>
  <c r="T261" i="1"/>
  <c r="P8" i="12" l="1"/>
  <c r="S30" i="2" s="1"/>
  <c r="S208" i="1" s="1"/>
  <c r="O2" i="12"/>
  <c r="P10" i="12"/>
  <c r="P13" i="12"/>
  <c r="S45" i="2" s="1"/>
  <c r="S259" i="1" s="1"/>
  <c r="P11" i="12"/>
  <c r="S5" i="2" s="1"/>
  <c r="S90" i="1" s="1"/>
  <c r="P12" i="12"/>
  <c r="S40" i="2" s="1"/>
  <c r="S242" i="1" s="1"/>
  <c r="P7" i="12"/>
  <c r="S25" i="2" s="1"/>
  <c r="S191" i="1" s="1"/>
  <c r="P15" i="12"/>
  <c r="S50" i="2" s="1"/>
  <c r="S276" i="1" s="1"/>
  <c r="P6" i="12"/>
  <c r="S35" i="2" s="1"/>
  <c r="S225" i="1" s="1"/>
  <c r="P9" i="12"/>
  <c r="S20" i="2" s="1"/>
  <c r="S174" i="1" s="1"/>
  <c r="P14" i="12"/>
  <c r="S15" i="2" s="1"/>
  <c r="S153" i="1" s="1"/>
  <c r="T10" i="2"/>
  <c r="T126" i="1" s="1"/>
  <c r="Q3" i="12"/>
  <c r="T1" i="2" s="1"/>
  <c r="AB129" i="1"/>
  <c r="AI130" i="1"/>
  <c r="K112" i="18"/>
  <c r="L111" i="18"/>
  <c r="AH94" i="1"/>
  <c r="AA93" i="1"/>
  <c r="AA156" i="1"/>
  <c r="AH157" i="1"/>
  <c r="AJ54" i="1"/>
  <c r="AC53" i="1"/>
  <c r="U63" i="1"/>
  <c r="U50" i="1"/>
  <c r="S244" i="1"/>
  <c r="S278" i="1"/>
  <c r="S210" i="1"/>
  <c r="S193" i="1"/>
  <c r="S261" i="1"/>
  <c r="S227" i="1"/>
  <c r="S176" i="1"/>
  <c r="O8" i="12" l="1"/>
  <c r="R30" i="2" s="1"/>
  <c r="R208" i="1" s="1"/>
  <c r="N2" i="12"/>
  <c r="O11" i="12"/>
  <c r="R5" i="2" s="1"/>
  <c r="R90" i="1" s="1"/>
  <c r="O12" i="12"/>
  <c r="R40" i="2" s="1"/>
  <c r="R242" i="1" s="1"/>
  <c r="O6" i="12"/>
  <c r="R35" i="2" s="1"/>
  <c r="R225" i="1" s="1"/>
  <c r="O9" i="12"/>
  <c r="R20" i="2" s="1"/>
  <c r="R174" i="1" s="1"/>
  <c r="O15" i="12"/>
  <c r="R50" i="2" s="1"/>
  <c r="R276" i="1" s="1"/>
  <c r="O14" i="12"/>
  <c r="R15" i="2" s="1"/>
  <c r="R153" i="1" s="1"/>
  <c r="O13" i="12"/>
  <c r="R45" i="2" s="1"/>
  <c r="R259" i="1" s="1"/>
  <c r="O7" i="12"/>
  <c r="R25" i="2" s="1"/>
  <c r="R191" i="1" s="1"/>
  <c r="O10" i="12"/>
  <c r="AB53" i="1"/>
  <c r="AI54" i="1"/>
  <c r="T63" i="1"/>
  <c r="T50" i="1"/>
  <c r="AH130" i="1"/>
  <c r="AA129" i="1"/>
  <c r="K113" i="18"/>
  <c r="L112" i="18"/>
  <c r="Z93" i="1"/>
  <c r="AG94" i="1"/>
  <c r="AG157" i="1"/>
  <c r="Z156" i="1"/>
  <c r="P3" i="12"/>
  <c r="S1" i="2" s="1"/>
  <c r="S10" i="2"/>
  <c r="S126" i="1" s="1"/>
  <c r="R278" i="1"/>
  <c r="R193" i="1"/>
  <c r="R210" i="1"/>
  <c r="R227" i="1"/>
  <c r="R244" i="1"/>
  <c r="R261" i="1"/>
  <c r="R176" i="1"/>
  <c r="Y156" i="1" l="1"/>
  <c r="AF157" i="1"/>
  <c r="S63" i="1"/>
  <c r="S50" i="1"/>
  <c r="K114" i="18"/>
  <c r="L113" i="18"/>
  <c r="O3" i="12"/>
  <c r="R1" i="2" s="1"/>
  <c r="R10" i="2"/>
  <c r="R126" i="1" s="1"/>
  <c r="AF94" i="1"/>
  <c r="Y93" i="1"/>
  <c r="N6" i="12"/>
  <c r="Q35" i="2" s="1"/>
  <c r="Q225" i="1" s="1"/>
  <c r="N14" i="12"/>
  <c r="Q15" i="2" s="1"/>
  <c r="Q153" i="1" s="1"/>
  <c r="N11" i="12"/>
  <c r="Q5" i="2" s="1"/>
  <c r="Q90" i="1" s="1"/>
  <c r="N15" i="12"/>
  <c r="Q50" i="2" s="1"/>
  <c r="Q276" i="1" s="1"/>
  <c r="N7" i="12"/>
  <c r="Q25" i="2" s="1"/>
  <c r="Q191" i="1" s="1"/>
  <c r="M2" i="12"/>
  <c r="N9" i="12"/>
  <c r="Q20" i="2" s="1"/>
  <c r="Q174" i="1" s="1"/>
  <c r="N12" i="12"/>
  <c r="Q40" i="2" s="1"/>
  <c r="Q242" i="1" s="1"/>
  <c r="N8" i="12"/>
  <c r="Q30" i="2" s="1"/>
  <c r="Q208" i="1" s="1"/>
  <c r="N10" i="12"/>
  <c r="N13" i="12"/>
  <c r="Q45" i="2" s="1"/>
  <c r="Q259" i="1" s="1"/>
  <c r="AG130" i="1"/>
  <c r="Z129" i="1"/>
  <c r="AH54" i="1"/>
  <c r="AA53" i="1"/>
  <c r="Q244" i="1"/>
  <c r="Q227" i="1"/>
  <c r="Q278" i="1"/>
  <c r="Q261" i="1"/>
  <c r="Q193" i="1"/>
  <c r="Q210" i="1"/>
  <c r="Q176" i="1"/>
  <c r="R50" i="1" l="1"/>
  <c r="R63" i="1"/>
  <c r="AE94" i="1"/>
  <c r="X93" i="1"/>
  <c r="X156" i="1"/>
  <c r="AE157" i="1"/>
  <c r="Z53" i="1"/>
  <c r="AG54" i="1"/>
  <c r="L114" i="18"/>
  <c r="K115" i="18"/>
  <c r="N3" i="12"/>
  <c r="Q1" i="2" s="1"/>
  <c r="Q10" i="2"/>
  <c r="Q126" i="1" s="1"/>
  <c r="M12" i="12"/>
  <c r="P40" i="2" s="1"/>
  <c r="P242" i="1" s="1"/>
  <c r="M14" i="12"/>
  <c r="P15" i="2" s="1"/>
  <c r="P153" i="1" s="1"/>
  <c r="M6" i="12"/>
  <c r="P35" i="2" s="1"/>
  <c r="P225" i="1" s="1"/>
  <c r="L2" i="12"/>
  <c r="M9" i="12"/>
  <c r="P20" i="2" s="1"/>
  <c r="P174" i="1" s="1"/>
  <c r="M15" i="12"/>
  <c r="P50" i="2" s="1"/>
  <c r="P276" i="1" s="1"/>
  <c r="M8" i="12"/>
  <c r="P30" i="2" s="1"/>
  <c r="P208" i="1" s="1"/>
  <c r="M11" i="12"/>
  <c r="P5" i="2" s="1"/>
  <c r="P90" i="1" s="1"/>
  <c r="M13" i="12"/>
  <c r="P45" i="2" s="1"/>
  <c r="P259" i="1" s="1"/>
  <c r="M10" i="12"/>
  <c r="M7" i="12"/>
  <c r="P25" i="2" s="1"/>
  <c r="P191" i="1" s="1"/>
  <c r="Y129" i="1"/>
  <c r="AF130" i="1"/>
  <c r="P227" i="1"/>
  <c r="P278" i="1"/>
  <c r="P261" i="1"/>
  <c r="P193" i="1"/>
  <c r="P244" i="1"/>
  <c r="P176" i="1"/>
  <c r="P210" i="1"/>
  <c r="AD94" i="1" l="1"/>
  <c r="W93" i="1"/>
  <c r="AE130" i="1"/>
  <c r="X129" i="1"/>
  <c r="Q63" i="1"/>
  <c r="Q50" i="1"/>
  <c r="K116" i="18"/>
  <c r="L115" i="18"/>
  <c r="K2" i="12"/>
  <c r="L9" i="12"/>
  <c r="O20" i="2" s="1"/>
  <c r="O174" i="1" s="1"/>
  <c r="L6" i="12"/>
  <c r="O35" i="2" s="1"/>
  <c r="O225" i="1" s="1"/>
  <c r="L14" i="12"/>
  <c r="O15" i="2" s="1"/>
  <c r="O153" i="1" s="1"/>
  <c r="L15" i="12"/>
  <c r="O50" i="2" s="1"/>
  <c r="O276" i="1" s="1"/>
  <c r="L10" i="12"/>
  <c r="L8" i="12"/>
  <c r="O30" i="2" s="1"/>
  <c r="O208" i="1" s="1"/>
  <c r="L11" i="12"/>
  <c r="O5" i="2" s="1"/>
  <c r="O90" i="1" s="1"/>
  <c r="L12" i="12"/>
  <c r="O40" i="2" s="1"/>
  <c r="O242" i="1" s="1"/>
  <c r="L7" i="12"/>
  <c r="O25" i="2" s="1"/>
  <c r="O191" i="1" s="1"/>
  <c r="L13" i="12"/>
  <c r="O45" i="2" s="1"/>
  <c r="O259" i="1" s="1"/>
  <c r="M3" i="12"/>
  <c r="P1" i="2" s="1"/>
  <c r="P10" i="2"/>
  <c r="P126" i="1" s="1"/>
  <c r="AD157" i="1"/>
  <c r="W156" i="1"/>
  <c r="AF54" i="1"/>
  <c r="Y53" i="1"/>
  <c r="O176" i="1"/>
  <c r="O210" i="1"/>
  <c r="O193" i="1"/>
  <c r="O227" i="1"/>
  <c r="O244" i="1"/>
  <c r="O278" i="1"/>
  <c r="O261" i="1"/>
  <c r="O10" i="2" l="1"/>
  <c r="O126" i="1" s="1"/>
  <c r="L3" i="12"/>
  <c r="O1" i="2" s="1"/>
  <c r="AE54" i="1"/>
  <c r="X53" i="1"/>
  <c r="AD130" i="1"/>
  <c r="W129" i="1"/>
  <c r="P50" i="1"/>
  <c r="P63" i="1"/>
  <c r="K6" i="12"/>
  <c r="N35" i="2" s="1"/>
  <c r="N225" i="1" s="1"/>
  <c r="K12" i="12"/>
  <c r="N40" i="2" s="1"/>
  <c r="N242" i="1" s="1"/>
  <c r="K10" i="12"/>
  <c r="K8" i="12"/>
  <c r="N30" i="2" s="1"/>
  <c r="N208" i="1" s="1"/>
  <c r="K15" i="12"/>
  <c r="N50" i="2" s="1"/>
  <c r="N276" i="1" s="1"/>
  <c r="J2" i="12"/>
  <c r="K11" i="12"/>
  <c r="N5" i="2" s="1"/>
  <c r="N90" i="1" s="1"/>
  <c r="K9" i="12"/>
  <c r="N20" i="2" s="1"/>
  <c r="N174" i="1" s="1"/>
  <c r="K7" i="12"/>
  <c r="N25" i="2" s="1"/>
  <c r="N191" i="1" s="1"/>
  <c r="K13" i="12"/>
  <c r="N45" i="2" s="1"/>
  <c r="N259" i="1" s="1"/>
  <c r="K14" i="12"/>
  <c r="N15" i="2" s="1"/>
  <c r="N153" i="1" s="1"/>
  <c r="AC157" i="1"/>
  <c r="V156" i="1"/>
  <c r="AC94" i="1"/>
  <c r="V93" i="1"/>
  <c r="K117" i="18"/>
  <c r="L116" i="18"/>
  <c r="N227" i="1"/>
  <c r="N210" i="1"/>
  <c r="N193" i="1"/>
  <c r="N244" i="1"/>
  <c r="N176" i="1"/>
  <c r="N278" i="1"/>
  <c r="N261" i="1"/>
  <c r="J13" i="12" l="1"/>
  <c r="M45" i="2" s="1"/>
  <c r="M259" i="1" s="1"/>
  <c r="J15" i="12"/>
  <c r="M50" i="2" s="1"/>
  <c r="M276" i="1" s="1"/>
  <c r="J7" i="12"/>
  <c r="M25" i="2" s="1"/>
  <c r="M191" i="1" s="1"/>
  <c r="J8" i="12"/>
  <c r="M30" i="2" s="1"/>
  <c r="M208" i="1" s="1"/>
  <c r="J10" i="12"/>
  <c r="J11" i="12"/>
  <c r="M5" i="2" s="1"/>
  <c r="M90" i="1" s="1"/>
  <c r="J6" i="12"/>
  <c r="M35" i="2" s="1"/>
  <c r="M225" i="1" s="1"/>
  <c r="J14" i="12"/>
  <c r="M15" i="2" s="1"/>
  <c r="M153" i="1" s="1"/>
  <c r="J9" i="12"/>
  <c r="M20" i="2" s="1"/>
  <c r="M174" i="1" s="1"/>
  <c r="J12" i="12"/>
  <c r="M40" i="2" s="1"/>
  <c r="M242" i="1" s="1"/>
  <c r="I2" i="12"/>
  <c r="AB157" i="1"/>
  <c r="U156" i="1"/>
  <c r="K3" i="12"/>
  <c r="N1" i="2" s="1"/>
  <c r="N10" i="2"/>
  <c r="N126" i="1" s="1"/>
  <c r="L117" i="18"/>
  <c r="K118" i="18"/>
  <c r="O63" i="1"/>
  <c r="O50" i="1"/>
  <c r="AB94" i="1"/>
  <c r="U93" i="1"/>
  <c r="AD54" i="1"/>
  <c r="W53" i="1"/>
  <c r="AC130" i="1"/>
  <c r="V129" i="1"/>
  <c r="M227" i="1"/>
  <c r="M261" i="1"/>
  <c r="M244" i="1"/>
  <c r="M176" i="1"/>
  <c r="M193" i="1"/>
  <c r="M210" i="1"/>
  <c r="M278" i="1"/>
  <c r="AA157" i="1" l="1"/>
  <c r="T156" i="1"/>
  <c r="J3" i="12"/>
  <c r="M1" i="2" s="1"/>
  <c r="M10" i="2"/>
  <c r="M126" i="1" s="1"/>
  <c r="AA94" i="1"/>
  <c r="T93" i="1"/>
  <c r="AC54" i="1"/>
  <c r="V53" i="1"/>
  <c r="AB130" i="1"/>
  <c r="U129" i="1"/>
  <c r="N63" i="1"/>
  <c r="N50" i="1"/>
  <c r="I13" i="12"/>
  <c r="L45" i="2" s="1"/>
  <c r="L259" i="1" s="1"/>
  <c r="H2" i="12"/>
  <c r="I14" i="12"/>
  <c r="L15" i="2" s="1"/>
  <c r="L153" i="1" s="1"/>
  <c r="I15" i="12"/>
  <c r="L50" i="2" s="1"/>
  <c r="L276" i="1" s="1"/>
  <c r="I9" i="12"/>
  <c r="L20" i="2" s="1"/>
  <c r="L174" i="1" s="1"/>
  <c r="I6" i="12"/>
  <c r="L35" i="2" s="1"/>
  <c r="L225" i="1" s="1"/>
  <c r="I8" i="12"/>
  <c r="L30" i="2" s="1"/>
  <c r="L208" i="1" s="1"/>
  <c r="I11" i="12"/>
  <c r="L5" i="2" s="1"/>
  <c r="L90" i="1" s="1"/>
  <c r="I12" i="12"/>
  <c r="L40" i="2" s="1"/>
  <c r="L242" i="1" s="1"/>
  <c r="I7" i="12"/>
  <c r="L25" i="2" s="1"/>
  <c r="L191" i="1" s="1"/>
  <c r="I10" i="12"/>
  <c r="K119" i="18"/>
  <c r="L118" i="18"/>
  <c r="L261" i="1"/>
  <c r="L176" i="1"/>
  <c r="L227" i="1"/>
  <c r="L210" i="1"/>
  <c r="L278" i="1"/>
  <c r="L244" i="1"/>
  <c r="L193" i="1"/>
  <c r="Z94" i="1" l="1"/>
  <c r="S93" i="1"/>
  <c r="AA130" i="1"/>
  <c r="T129" i="1"/>
  <c r="M63" i="1"/>
  <c r="M50" i="1"/>
  <c r="L10" i="2"/>
  <c r="L126" i="1" s="1"/>
  <c r="I3" i="12"/>
  <c r="L1" i="2" s="1"/>
  <c r="Z157" i="1"/>
  <c r="S156" i="1"/>
  <c r="AB54" i="1"/>
  <c r="U53" i="1"/>
  <c r="K120" i="18"/>
  <c r="L119" i="18"/>
  <c r="H6" i="12"/>
  <c r="K35" i="2" s="1"/>
  <c r="K225" i="1" s="1"/>
  <c r="H14" i="12"/>
  <c r="K15" i="2" s="1"/>
  <c r="K153" i="1" s="1"/>
  <c r="H12" i="12"/>
  <c r="K40" i="2" s="1"/>
  <c r="K242" i="1" s="1"/>
  <c r="H7" i="12"/>
  <c r="K25" i="2" s="1"/>
  <c r="K191" i="1" s="1"/>
  <c r="G2" i="12"/>
  <c r="H11" i="12"/>
  <c r="K5" i="2" s="1"/>
  <c r="K90" i="1" s="1"/>
  <c r="H13" i="12"/>
  <c r="K45" i="2" s="1"/>
  <c r="K259" i="1" s="1"/>
  <c r="H8" i="12"/>
  <c r="K30" i="2" s="1"/>
  <c r="K208" i="1" s="1"/>
  <c r="H10" i="12"/>
  <c r="H15" i="12"/>
  <c r="K50" i="2" s="1"/>
  <c r="K276" i="1" s="1"/>
  <c r="H9" i="12"/>
  <c r="K20" i="2" s="1"/>
  <c r="K174" i="1" s="1"/>
  <c r="K278" i="1"/>
  <c r="K261" i="1"/>
  <c r="K210" i="1"/>
  <c r="K193" i="1"/>
  <c r="K227" i="1"/>
  <c r="K176" i="1"/>
  <c r="K244" i="1"/>
  <c r="L120" i="18" l="1"/>
  <c r="K121" i="18"/>
  <c r="Z130" i="1"/>
  <c r="S129" i="1"/>
  <c r="Y94" i="1"/>
  <c r="R93" i="1"/>
  <c r="AA54" i="1"/>
  <c r="T53" i="1"/>
  <c r="G12" i="12"/>
  <c r="J40" i="2" s="1"/>
  <c r="J242" i="1" s="1"/>
  <c r="G9" i="12"/>
  <c r="J20" i="2" s="1"/>
  <c r="J174" i="1" s="1"/>
  <c r="G15" i="12"/>
  <c r="J50" i="2" s="1"/>
  <c r="J276" i="1" s="1"/>
  <c r="G8" i="12"/>
  <c r="J30" i="2" s="1"/>
  <c r="J208" i="1" s="1"/>
  <c r="G10" i="12"/>
  <c r="F2" i="12"/>
  <c r="G6" i="12"/>
  <c r="J35" i="2" s="1"/>
  <c r="J225" i="1" s="1"/>
  <c r="G11" i="12"/>
  <c r="J5" i="2" s="1"/>
  <c r="J90" i="1" s="1"/>
  <c r="G14" i="12"/>
  <c r="J15" i="2" s="1"/>
  <c r="J153" i="1" s="1"/>
  <c r="G7" i="12"/>
  <c r="J25" i="2" s="1"/>
  <c r="J191" i="1" s="1"/>
  <c r="G13" i="12"/>
  <c r="J45" i="2" s="1"/>
  <c r="J259" i="1" s="1"/>
  <c r="Y157" i="1"/>
  <c r="R156" i="1"/>
  <c r="K10" i="2"/>
  <c r="K126" i="1" s="1"/>
  <c r="H3" i="12"/>
  <c r="K1" i="2" s="1"/>
  <c r="L50" i="1"/>
  <c r="L63" i="1"/>
  <c r="J227" i="1"/>
  <c r="J261" i="1"/>
  <c r="J244" i="1"/>
  <c r="J193" i="1"/>
  <c r="J176" i="1"/>
  <c r="J210" i="1"/>
  <c r="J278" i="1"/>
  <c r="Y130" i="1" l="1"/>
  <c r="R129" i="1"/>
  <c r="F12" i="12"/>
  <c r="I40" i="2" s="1"/>
  <c r="I242" i="1" s="1"/>
  <c r="F15" i="12"/>
  <c r="I50" i="2" s="1"/>
  <c r="I276" i="1" s="1"/>
  <c r="F7" i="12"/>
  <c r="I25" i="2" s="1"/>
  <c r="I191" i="1" s="1"/>
  <c r="F14" i="12"/>
  <c r="I15" i="2" s="1"/>
  <c r="I153" i="1" s="1"/>
  <c r="F10" i="12"/>
  <c r="F11" i="12"/>
  <c r="I5" i="2" s="1"/>
  <c r="I90" i="1" s="1"/>
  <c r="E2" i="12"/>
  <c r="F8" i="12"/>
  <c r="I30" i="2" s="1"/>
  <c r="I208" i="1" s="1"/>
  <c r="F13" i="12"/>
  <c r="I45" i="2" s="1"/>
  <c r="I259" i="1" s="1"/>
  <c r="F9" i="12"/>
  <c r="I20" i="2" s="1"/>
  <c r="I174" i="1" s="1"/>
  <c r="F6" i="12"/>
  <c r="I35" i="2" s="1"/>
  <c r="I225" i="1" s="1"/>
  <c r="J10" i="2"/>
  <c r="J126" i="1" s="1"/>
  <c r="G3" i="12"/>
  <c r="J1" i="2" s="1"/>
  <c r="X157" i="1"/>
  <c r="Q156" i="1"/>
  <c r="Z54" i="1"/>
  <c r="S53" i="1"/>
  <c r="X94" i="1"/>
  <c r="Q93" i="1"/>
  <c r="K122" i="18"/>
  <c r="L121" i="18"/>
  <c r="K63" i="1"/>
  <c r="K50" i="1"/>
  <c r="I210" i="1"/>
  <c r="I261" i="1"/>
  <c r="I244" i="1"/>
  <c r="I193" i="1"/>
  <c r="I278" i="1"/>
  <c r="I227" i="1"/>
  <c r="I176" i="1"/>
  <c r="W94" i="1" l="1"/>
  <c r="P93" i="1"/>
  <c r="L122" i="18"/>
  <c r="K123" i="18"/>
  <c r="J50" i="1"/>
  <c r="J63" i="1"/>
  <c r="I10" i="2"/>
  <c r="I126" i="1" s="1"/>
  <c r="F3" i="12"/>
  <c r="I1" i="2" s="1"/>
  <c r="X130" i="1"/>
  <c r="Q129" i="1"/>
  <c r="W157" i="1"/>
  <c r="P156" i="1"/>
  <c r="Y54" i="1"/>
  <c r="R53" i="1"/>
  <c r="E15" i="12"/>
  <c r="H50" i="2" s="1"/>
  <c r="H276" i="1" s="1"/>
  <c r="E9" i="12"/>
  <c r="H20" i="2" s="1"/>
  <c r="H174" i="1" s="1"/>
  <c r="E13" i="12"/>
  <c r="H45" i="2" s="1"/>
  <c r="H259" i="1" s="1"/>
  <c r="E8" i="12"/>
  <c r="H30" i="2" s="1"/>
  <c r="H208" i="1" s="1"/>
  <c r="E10" i="12"/>
  <c r="E12" i="12"/>
  <c r="H40" i="2" s="1"/>
  <c r="H242" i="1" s="1"/>
  <c r="E14" i="12"/>
  <c r="H15" i="2" s="1"/>
  <c r="H153" i="1" s="1"/>
  <c r="E7" i="12"/>
  <c r="H25" i="2" s="1"/>
  <c r="H191" i="1" s="1"/>
  <c r="D2" i="12"/>
  <c r="E11" i="12"/>
  <c r="H5" i="2" s="1"/>
  <c r="H90" i="1" s="1"/>
  <c r="E6" i="12"/>
  <c r="H35" i="2" s="1"/>
  <c r="H225" i="1" s="1"/>
  <c r="H193" i="1"/>
  <c r="H244" i="1"/>
  <c r="H278" i="1"/>
  <c r="H176" i="1"/>
  <c r="H210" i="1"/>
  <c r="H261" i="1"/>
  <c r="H227" i="1"/>
  <c r="V94" i="1" l="1"/>
  <c r="O93" i="1"/>
  <c r="I50" i="1"/>
  <c r="I63" i="1"/>
  <c r="D7" i="12"/>
  <c r="G25" i="2" s="1"/>
  <c r="G191" i="1" s="1"/>
  <c r="D10" i="12"/>
  <c r="D6" i="12"/>
  <c r="G35" i="2" s="1"/>
  <c r="G225" i="1" s="1"/>
  <c r="D13" i="12"/>
  <c r="G45" i="2" s="1"/>
  <c r="G259" i="1" s="1"/>
  <c r="C2" i="12"/>
  <c r="D12" i="12"/>
  <c r="G40" i="2" s="1"/>
  <c r="G242" i="1" s="1"/>
  <c r="D14" i="12"/>
  <c r="G15" i="2" s="1"/>
  <c r="G153" i="1" s="1"/>
  <c r="D11" i="12"/>
  <c r="G5" i="2" s="1"/>
  <c r="G90" i="1" s="1"/>
  <c r="D15" i="12"/>
  <c r="G50" i="2" s="1"/>
  <c r="G276" i="1" s="1"/>
  <c r="D9" i="12"/>
  <c r="G20" i="2" s="1"/>
  <c r="G174" i="1" s="1"/>
  <c r="D8" i="12"/>
  <c r="G30" i="2" s="1"/>
  <c r="G208" i="1" s="1"/>
  <c r="W130" i="1"/>
  <c r="P129" i="1"/>
  <c r="V157" i="1"/>
  <c r="O156" i="1"/>
  <c r="X54" i="1"/>
  <c r="Q53" i="1"/>
  <c r="E3" i="12"/>
  <c r="H1" i="2" s="1"/>
  <c r="H10" i="2"/>
  <c r="H126" i="1" s="1"/>
  <c r="K124" i="18"/>
  <c r="L123" i="18"/>
  <c r="G244" i="1"/>
  <c r="G278" i="1"/>
  <c r="G193" i="1"/>
  <c r="G176" i="1"/>
  <c r="G210" i="1"/>
  <c r="G261" i="1"/>
  <c r="G227" i="1"/>
  <c r="L124" i="18" l="1"/>
  <c r="K125" i="18"/>
  <c r="V130" i="1"/>
  <c r="O129" i="1"/>
  <c r="H50" i="1"/>
  <c r="H63" i="1"/>
  <c r="G10" i="2"/>
  <c r="G126" i="1" s="1"/>
  <c r="D3" i="12"/>
  <c r="G1" i="2" s="1"/>
  <c r="U94" i="1"/>
  <c r="N93" i="1"/>
  <c r="C6" i="12"/>
  <c r="F35" i="2" s="1"/>
  <c r="F225" i="1" s="1"/>
  <c r="B2" i="12"/>
  <c r="C15" i="12"/>
  <c r="F50" i="2" s="1"/>
  <c r="F276" i="1" s="1"/>
  <c r="C10" i="12"/>
  <c r="C11" i="12"/>
  <c r="F5" i="2" s="1"/>
  <c r="F90" i="1" s="1"/>
  <c r="C13" i="12"/>
  <c r="F45" i="2" s="1"/>
  <c r="F259" i="1" s="1"/>
  <c r="C8" i="12"/>
  <c r="F30" i="2" s="1"/>
  <c r="F208" i="1" s="1"/>
  <c r="C7" i="12"/>
  <c r="F25" i="2" s="1"/>
  <c r="F191" i="1" s="1"/>
  <c r="C12" i="12"/>
  <c r="F40" i="2" s="1"/>
  <c r="F242" i="1" s="1"/>
  <c r="C14" i="12"/>
  <c r="F15" i="2" s="1"/>
  <c r="F153" i="1" s="1"/>
  <c r="C9" i="12"/>
  <c r="F20" i="2" s="1"/>
  <c r="F174" i="1" s="1"/>
  <c r="U157" i="1"/>
  <c r="N156" i="1"/>
  <c r="W54" i="1"/>
  <c r="P53" i="1"/>
  <c r="F193" i="1"/>
  <c r="F210" i="1"/>
  <c r="F244" i="1"/>
  <c r="F261" i="1"/>
  <c r="F176" i="1"/>
  <c r="F278" i="1"/>
  <c r="F227" i="1"/>
  <c r="G63" i="1" l="1"/>
  <c r="G50" i="1"/>
  <c r="T94" i="1"/>
  <c r="M93" i="1"/>
  <c r="U130" i="1"/>
  <c r="N129" i="1"/>
  <c r="V54" i="1"/>
  <c r="O53" i="1"/>
  <c r="T157" i="1"/>
  <c r="M156" i="1"/>
  <c r="B12" i="12"/>
  <c r="E40" i="2" s="1"/>
  <c r="B6" i="12"/>
  <c r="E35" i="2" s="1"/>
  <c r="B14" i="12"/>
  <c r="E15" i="2" s="1"/>
  <c r="B15" i="12"/>
  <c r="E50" i="2" s="1"/>
  <c r="B11" i="12"/>
  <c r="E5" i="2" s="1"/>
  <c r="B7" i="12"/>
  <c r="E25" i="2" s="1"/>
  <c r="B13" i="12"/>
  <c r="E45" i="2" s="1"/>
  <c r="B9" i="12"/>
  <c r="E20" i="2" s="1"/>
  <c r="B10" i="12"/>
  <c r="B8" i="12"/>
  <c r="E30" i="2" s="1"/>
  <c r="L125" i="18"/>
  <c r="K126" i="18"/>
  <c r="C3" i="12"/>
  <c r="F1" i="2" s="1"/>
  <c r="F10" i="2"/>
  <c r="F126" i="1" s="1"/>
  <c r="T130" i="1" l="1"/>
  <c r="M129" i="1"/>
  <c r="E191" i="1"/>
  <c r="AO25" i="2"/>
  <c r="AQ25" i="2" s="1"/>
  <c r="K127" i="18"/>
  <c r="L126" i="18"/>
  <c r="F50" i="1"/>
  <c r="F63" i="1"/>
  <c r="E90" i="1"/>
  <c r="AO5" i="2"/>
  <c r="AQ5" i="2" s="1"/>
  <c r="AO35" i="2"/>
  <c r="AQ35" i="2" s="1"/>
  <c r="E225" i="1"/>
  <c r="E208" i="1"/>
  <c r="AO30" i="2"/>
  <c r="AQ30" i="2" s="1"/>
  <c r="B3" i="12"/>
  <c r="E1" i="2" s="1"/>
  <c r="E10" i="2"/>
  <c r="E242" i="1"/>
  <c r="AO40" i="2"/>
  <c r="AQ40" i="2" s="1"/>
  <c r="AO50" i="2"/>
  <c r="AQ50" i="2" s="1"/>
  <c r="E276" i="1"/>
  <c r="E174" i="1"/>
  <c r="AO20" i="2"/>
  <c r="AQ20" i="2" s="1"/>
  <c r="U54" i="1"/>
  <c r="N53" i="1"/>
  <c r="E153" i="1"/>
  <c r="AO15" i="2"/>
  <c r="AQ15" i="2" s="1"/>
  <c r="E259" i="1"/>
  <c r="AO45" i="2"/>
  <c r="AQ45" i="2" s="1"/>
  <c r="E227" i="1"/>
  <c r="E193" i="1"/>
  <c r="E210" i="1"/>
  <c r="E244" i="1"/>
  <c r="E261" i="1"/>
  <c r="E176" i="1"/>
  <c r="E278" i="1"/>
  <c r="AO10" i="2" l="1"/>
  <c r="AQ10" i="2" s="1"/>
  <c r="E126" i="1"/>
  <c r="E63" i="1"/>
  <c r="E50" i="1"/>
  <c r="AO1" i="2"/>
  <c r="AQ1" i="2" s="1"/>
  <c r="T54" i="1"/>
  <c r="M53" i="1"/>
  <c r="L127" i="18"/>
  <c r="K128" i="18"/>
  <c r="J6" i="2"/>
  <c r="T6" i="2"/>
  <c r="AL6" i="2"/>
  <c r="Q6" i="2"/>
  <c r="AM6" i="2"/>
  <c r="O6" i="2"/>
  <c r="AK6" i="2"/>
  <c r="N6" i="2"/>
  <c r="AI6" i="2"/>
  <c r="AF6" i="2"/>
  <c r="AD6" i="2"/>
  <c r="AG6" i="2"/>
  <c r="AC6" i="2"/>
  <c r="R6" i="2"/>
  <c r="K6" i="2"/>
  <c r="Z6" i="2"/>
  <c r="X6" i="2"/>
  <c r="G6" i="2"/>
  <c r="L6" i="2"/>
  <c r="U6" i="2"/>
  <c r="Y6" i="2"/>
  <c r="AH6" i="2"/>
  <c r="E6" i="2"/>
  <c r="S6" i="2"/>
  <c r="I6" i="2"/>
  <c r="H6" i="2"/>
  <c r="W6" i="2"/>
  <c r="AA6" i="2"/>
  <c r="M6" i="2"/>
  <c r="AJ6" i="2"/>
  <c r="V6" i="2"/>
  <c r="AB6" i="2"/>
  <c r="P6" i="2"/>
  <c r="F6" i="2"/>
  <c r="AE6" i="2"/>
  <c r="P16" i="2"/>
  <c r="AB16" i="2"/>
  <c r="J16" i="2"/>
  <c r="Y16" i="2"/>
  <c r="Z16" i="2"/>
  <c r="AA16" i="2"/>
  <c r="G16" i="2"/>
  <c r="H16" i="2"/>
  <c r="T16" i="2"/>
  <c r="F16" i="2"/>
  <c r="V16" i="2"/>
  <c r="W16" i="2"/>
  <c r="AM16" i="2"/>
  <c r="S16" i="2"/>
  <c r="O16" i="2"/>
  <c r="Q16" i="2"/>
  <c r="AG16" i="2"/>
  <c r="AF16" i="2"/>
  <c r="AD16" i="2"/>
  <c r="E16" i="2"/>
  <c r="AE16" i="2"/>
  <c r="K16" i="2"/>
  <c r="AH16" i="2"/>
  <c r="AL16" i="2"/>
  <c r="M16" i="2"/>
  <c r="AI16" i="2"/>
  <c r="U16" i="2"/>
  <c r="AJ16" i="2"/>
  <c r="L16" i="2"/>
  <c r="R16" i="2"/>
  <c r="AC16" i="2"/>
  <c r="N16" i="2"/>
  <c r="I16" i="2"/>
  <c r="AK16" i="2"/>
  <c r="X16" i="2"/>
  <c r="S157" i="1"/>
  <c r="L156" i="1"/>
  <c r="S94" i="1"/>
  <c r="L93" i="1"/>
  <c r="L128" i="18" l="1"/>
  <c r="K129" i="18"/>
  <c r="AG11" i="2"/>
  <c r="O11" i="2"/>
  <c r="AC11" i="2"/>
  <c r="I11" i="2"/>
  <c r="H11" i="2"/>
  <c r="X11" i="2"/>
  <c r="J11" i="2"/>
  <c r="Z11" i="2"/>
  <c r="AD11" i="2"/>
  <c r="AF11" i="2"/>
  <c r="AA11" i="2"/>
  <c r="N11" i="2"/>
  <c r="F11" i="2"/>
  <c r="AE11" i="2"/>
  <c r="P11" i="2"/>
  <c r="AB11" i="2"/>
  <c r="M11" i="2"/>
  <c r="L11" i="2"/>
  <c r="AI11" i="2"/>
  <c r="S11" i="2"/>
  <c r="AK11" i="2"/>
  <c r="Q11" i="2"/>
  <c r="W11" i="2"/>
  <c r="AM11" i="2"/>
  <c r="AH11" i="2"/>
  <c r="K11" i="2"/>
  <c r="E11" i="2"/>
  <c r="V11" i="2"/>
  <c r="Y11" i="2"/>
  <c r="R11" i="2"/>
  <c r="AL11" i="2"/>
  <c r="U11" i="2"/>
  <c r="T11" i="2"/>
  <c r="G11" i="2"/>
  <c r="AJ11" i="2"/>
  <c r="AJ2" i="2"/>
  <c r="T2" i="2"/>
  <c r="E2" i="2"/>
  <c r="G2" i="2"/>
  <c r="AM2" i="2"/>
  <c r="AE2" i="2"/>
  <c r="AA2" i="2"/>
  <c r="R2" i="2"/>
  <c r="S2" i="2"/>
  <c r="AC2" i="2"/>
  <c r="AL2" i="2"/>
  <c r="Q2" i="2"/>
  <c r="O2" i="2"/>
  <c r="W2" i="2"/>
  <c r="AI2" i="2"/>
  <c r="V2" i="2"/>
  <c r="U2" i="2"/>
  <c r="AD2" i="2"/>
  <c r="N2" i="2"/>
  <c r="Y2" i="2"/>
  <c r="AF2" i="2"/>
  <c r="L2" i="2"/>
  <c r="I2" i="2"/>
  <c r="AG2" i="2"/>
  <c r="X2" i="2"/>
  <c r="F2" i="2"/>
  <c r="AK2" i="2"/>
  <c r="K2" i="2"/>
  <c r="P2" i="2"/>
  <c r="M2" i="2"/>
  <c r="AH2" i="2"/>
  <c r="H2" i="2"/>
  <c r="Z2" i="2"/>
  <c r="J2" i="2"/>
  <c r="AB2" i="2"/>
  <c r="S54" i="1"/>
  <c r="L53" i="1"/>
  <c r="S130" i="1"/>
  <c r="L129" i="1"/>
  <c r="N158" i="1" l="1"/>
  <c r="N131" i="1"/>
  <c r="N96" i="1"/>
  <c r="N59" i="1"/>
  <c r="E158" i="1"/>
  <c r="E131" i="1"/>
  <c r="E59" i="1"/>
  <c r="E96" i="1"/>
  <c r="J158" i="1"/>
  <c r="J96" i="1"/>
  <c r="J59" i="1"/>
  <c r="J131" i="1"/>
  <c r="F158" i="1"/>
  <c r="F131" i="1"/>
  <c r="F96" i="1"/>
  <c r="F59" i="1"/>
  <c r="AD158" i="1"/>
  <c r="AD96" i="1"/>
  <c r="AD59" i="1"/>
  <c r="AD131" i="1"/>
  <c r="AC158" i="1"/>
  <c r="AC96" i="1"/>
  <c r="AC59" i="1"/>
  <c r="AC131" i="1"/>
  <c r="T131" i="1"/>
  <c r="T96" i="1"/>
  <c r="T158" i="1"/>
  <c r="T59" i="1"/>
  <c r="K96" i="1"/>
  <c r="K158" i="1"/>
  <c r="K59" i="1"/>
  <c r="K131" i="1"/>
  <c r="Q96" i="1"/>
  <c r="Q131" i="1"/>
  <c r="Q59" i="1"/>
  <c r="Q158" i="1"/>
  <c r="AL131" i="1"/>
  <c r="AL96" i="1"/>
  <c r="AL59" i="1"/>
  <c r="AL158" i="1"/>
  <c r="Z158" i="1"/>
  <c r="Z131" i="1"/>
  <c r="Z96" i="1"/>
  <c r="Z59" i="1"/>
  <c r="X131" i="1"/>
  <c r="X96" i="1"/>
  <c r="X158" i="1"/>
  <c r="X59" i="1"/>
  <c r="U131" i="1"/>
  <c r="U96" i="1"/>
  <c r="U158" i="1"/>
  <c r="U59" i="1"/>
  <c r="S158" i="1"/>
  <c r="S59" i="1"/>
  <c r="S96" i="1"/>
  <c r="S131" i="1"/>
  <c r="AJ131" i="1"/>
  <c r="AJ59" i="1"/>
  <c r="AJ158" i="1"/>
  <c r="AJ96" i="1"/>
  <c r="R158" i="1"/>
  <c r="R131" i="1"/>
  <c r="R96" i="1"/>
  <c r="R59" i="1"/>
  <c r="AH158" i="1"/>
  <c r="AH131" i="1"/>
  <c r="AH96" i="1"/>
  <c r="AH59" i="1"/>
  <c r="I131" i="1"/>
  <c r="I158" i="1"/>
  <c r="I59" i="1"/>
  <c r="I96" i="1"/>
  <c r="AI96" i="1"/>
  <c r="AI158" i="1"/>
  <c r="AI131" i="1"/>
  <c r="AI59" i="1"/>
  <c r="AA96" i="1"/>
  <c r="AA131" i="1"/>
  <c r="AA158" i="1"/>
  <c r="AA59" i="1"/>
  <c r="Y96" i="1"/>
  <c r="Y59" i="1"/>
  <c r="Y131" i="1"/>
  <c r="Y158" i="1"/>
  <c r="AK158" i="1"/>
  <c r="AK96" i="1"/>
  <c r="AK59" i="1"/>
  <c r="AK131" i="1"/>
  <c r="AG59" i="1"/>
  <c r="AG158" i="1"/>
  <c r="AG96" i="1"/>
  <c r="AG131" i="1"/>
  <c r="M158" i="1"/>
  <c r="M131" i="1"/>
  <c r="M96" i="1"/>
  <c r="M59" i="1"/>
  <c r="L131" i="1"/>
  <c r="L158" i="1"/>
  <c r="L96" i="1"/>
  <c r="L59" i="1"/>
  <c r="W158" i="1"/>
  <c r="W96" i="1"/>
  <c r="W59" i="1"/>
  <c r="W131" i="1"/>
  <c r="AE158" i="1"/>
  <c r="AE96" i="1"/>
  <c r="AE59" i="1"/>
  <c r="AE131" i="1"/>
  <c r="G96" i="1"/>
  <c r="G59" i="1"/>
  <c r="G158" i="1"/>
  <c r="G131" i="1"/>
  <c r="AB131" i="1"/>
  <c r="AB158" i="1"/>
  <c r="AB96" i="1"/>
  <c r="AB59" i="1"/>
  <c r="H131" i="1"/>
  <c r="H158" i="1"/>
  <c r="H96" i="1"/>
  <c r="H59" i="1"/>
  <c r="V158" i="1"/>
  <c r="V96" i="1"/>
  <c r="V59" i="1"/>
  <c r="V131" i="1"/>
  <c r="P131" i="1"/>
  <c r="P158" i="1"/>
  <c r="P59" i="1"/>
  <c r="P96" i="1"/>
  <c r="AF131" i="1"/>
  <c r="AF158" i="1"/>
  <c r="AF96" i="1"/>
  <c r="AF59" i="1"/>
  <c r="O131" i="1"/>
  <c r="O96" i="1"/>
  <c r="O59" i="1"/>
  <c r="O158" i="1"/>
  <c r="L129" i="18"/>
  <c r="K130" i="18"/>
  <c r="L62" i="1"/>
  <c r="V60" i="1"/>
  <c r="P159" i="1"/>
  <c r="AE132" i="1"/>
  <c r="G97" i="1"/>
  <c r="U159" i="1"/>
  <c r="AL60" i="1"/>
  <c r="AL97" i="1"/>
  <c r="AK159" i="1"/>
  <c r="R60" i="1"/>
  <c r="AH62" i="1"/>
  <c r="H159" i="1"/>
  <c r="J159" i="1"/>
  <c r="AC62" i="1"/>
  <c r="AF62" i="1"/>
  <c r="V159" i="1"/>
  <c r="F132" i="1"/>
  <c r="AJ60" i="1"/>
  <c r="S60" i="1"/>
  <c r="K132" i="1"/>
  <c r="U97" i="1"/>
  <c r="X62" i="1"/>
  <c r="G159" i="1"/>
  <c r="AJ132" i="1"/>
  <c r="AG132" i="1"/>
  <c r="AK97" i="1"/>
  <c r="AH97" i="1"/>
  <c r="E60" i="1"/>
  <c r="AH60" i="1"/>
  <c r="G132" i="1"/>
  <c r="R97" i="1"/>
  <c r="AJ159" i="1"/>
  <c r="Q62" i="1"/>
  <c r="AF97" i="1"/>
  <c r="Y132" i="1"/>
  <c r="X159" i="1"/>
  <c r="F159" i="1"/>
  <c r="E97" i="1"/>
  <c r="AI97" i="1"/>
  <c r="AC60" i="1"/>
  <c r="G62" i="1"/>
  <c r="AI159" i="1"/>
  <c r="AK62" i="1"/>
  <c r="V62" i="1"/>
  <c r="N62" i="1"/>
  <c r="L60" i="1"/>
  <c r="N60" i="1"/>
  <c r="E62" i="1"/>
  <c r="AD132" i="1"/>
  <c r="AG97" i="1"/>
  <c r="AF60" i="1"/>
  <c r="K62" i="1"/>
  <c r="E132" i="1"/>
  <c r="H97" i="1"/>
  <c r="Q97" i="1"/>
  <c r="M60" i="1"/>
  <c r="AJ62" i="1"/>
  <c r="S62" i="1"/>
  <c r="X132" i="1"/>
  <c r="J97" i="1"/>
  <c r="AB159" i="1"/>
  <c r="R132" i="1"/>
  <c r="AI60" i="1"/>
  <c r="T159" i="1"/>
  <c r="I159" i="1"/>
  <c r="I62" i="1"/>
  <c r="I60" i="1"/>
  <c r="AL62" i="1"/>
  <c r="R62" i="1"/>
  <c r="W60" i="1"/>
  <c r="P62" i="1"/>
  <c r="AK132" i="1"/>
  <c r="AC97" i="1"/>
  <c r="Z97" i="1"/>
  <c r="N132" i="1"/>
  <c r="V132" i="1"/>
  <c r="AC159" i="1"/>
  <c r="M62" i="1"/>
  <c r="W132" i="1"/>
  <c r="H132" i="1"/>
  <c r="AA132" i="1"/>
  <c r="P97" i="1"/>
  <c r="AJ97" i="1"/>
  <c r="AB62" i="1"/>
  <c r="U62" i="1"/>
  <c r="AE62" i="1"/>
  <c r="AE60" i="1"/>
  <c r="AF132" i="1"/>
  <c r="AA60" i="1"/>
  <c r="N97" i="1"/>
  <c r="K60" i="1"/>
  <c r="U60" i="1"/>
  <c r="K97" i="1"/>
  <c r="AH132" i="1"/>
  <c r="H60" i="1"/>
  <c r="AL132" i="1"/>
  <c r="O159" i="1"/>
  <c r="AD159" i="1"/>
  <c r="Y97" i="1"/>
  <c r="O60" i="1"/>
  <c r="M132" i="1"/>
  <c r="AA159" i="1"/>
  <c r="W159" i="1"/>
  <c r="Z60" i="1"/>
  <c r="N159" i="1"/>
  <c r="AA97" i="1"/>
  <c r="AE159" i="1"/>
  <c r="Z62" i="1"/>
  <c r="H62" i="1"/>
  <c r="V97" i="1"/>
  <c r="S97" i="1"/>
  <c r="S132" i="1"/>
  <c r="P60" i="1"/>
  <c r="W62" i="1"/>
  <c r="Y62" i="1"/>
  <c r="W97" i="1"/>
  <c r="M97" i="1"/>
  <c r="X97" i="1"/>
  <c r="F62" i="1"/>
  <c r="L97" i="1"/>
  <c r="M159" i="1"/>
  <c r="AI62" i="1"/>
  <c r="Q159" i="1"/>
  <c r="AB60" i="1"/>
  <c r="T97" i="1"/>
  <c r="AG62" i="1"/>
  <c r="T62" i="1"/>
  <c r="Y159" i="1"/>
  <c r="J62" i="1"/>
  <c r="F60" i="1"/>
  <c r="Q132" i="1"/>
  <c r="AK60" i="1"/>
  <c r="Q60" i="1"/>
  <c r="O97" i="1"/>
  <c r="AE97" i="1"/>
  <c r="G60" i="1"/>
  <c r="L159" i="1"/>
  <c r="AG60" i="1"/>
  <c r="Z132" i="1"/>
  <c r="P132" i="1"/>
  <c r="Z159" i="1"/>
  <c r="L132" i="1"/>
  <c r="AD60" i="1"/>
  <c r="AL159" i="1"/>
  <c r="AG159" i="1"/>
  <c r="J60" i="1"/>
  <c r="T132" i="1"/>
  <c r="AB132" i="1"/>
  <c r="F97" i="1"/>
  <c r="K159" i="1"/>
  <c r="X60" i="1"/>
  <c r="AD97" i="1"/>
  <c r="AC132" i="1"/>
  <c r="AD62" i="1"/>
  <c r="I132" i="1"/>
  <c r="AI132" i="1"/>
  <c r="O132" i="1"/>
  <c r="AB97" i="1"/>
  <c r="T60" i="1"/>
  <c r="J132" i="1"/>
  <c r="S159" i="1"/>
  <c r="I97" i="1"/>
  <c r="AF159" i="1"/>
  <c r="AA62" i="1"/>
  <c r="AH159" i="1"/>
  <c r="E159" i="1"/>
  <c r="U132" i="1"/>
  <c r="Y60" i="1"/>
  <c r="O62" i="1"/>
  <c r="R159" i="1"/>
  <c r="AM34" i="1" l="1"/>
  <c r="AM74" i="1" s="1"/>
  <c r="AM110" i="1" s="1"/>
  <c r="AM142" i="1" s="1"/>
  <c r="K131" i="18"/>
  <c r="L130" i="18"/>
  <c r="L131" i="18" l="1"/>
  <c r="K132" i="18"/>
  <c r="K133" i="18" l="1"/>
  <c r="L132" i="18"/>
  <c r="L133" i="18" l="1"/>
  <c r="K134" i="18"/>
  <c r="K135" i="18" l="1"/>
  <c r="L134" i="18"/>
  <c r="L135" i="18" l="1"/>
  <c r="K136" i="18"/>
  <c r="L136" i="18" l="1"/>
  <c r="K137" i="18"/>
  <c r="K138" i="18" l="1"/>
  <c r="L137" i="18"/>
  <c r="L138" i="18" l="1"/>
  <c r="K139" i="18"/>
  <c r="L139" i="18" l="1"/>
  <c r="K140" i="18"/>
  <c r="L140" i="18" l="1"/>
  <c r="K141" i="18"/>
  <c r="K142" i="18" l="1"/>
  <c r="L141" i="18"/>
  <c r="L142" i="18" l="1"/>
  <c r="K143" i="18"/>
  <c r="L143" i="18" l="1"/>
  <c r="K144" i="18"/>
  <c r="L144" i="18" l="1"/>
  <c r="K145" i="18"/>
  <c r="K146" i="18" l="1"/>
  <c r="L145" i="18"/>
  <c r="L146" i="18" l="1"/>
  <c r="K147" i="18"/>
  <c r="L147" i="18" l="1"/>
  <c r="K148" i="18"/>
  <c r="L148" i="18" l="1"/>
  <c r="K149" i="18"/>
  <c r="K150" i="18" l="1"/>
  <c r="L149" i="18"/>
  <c r="L150" i="18" l="1"/>
  <c r="K151" i="18"/>
  <c r="L151" i="18" l="1"/>
  <c r="K152" i="18"/>
  <c r="L152" i="18" l="1"/>
  <c r="K153" i="18"/>
  <c r="K154" i="18" l="1"/>
  <c r="L153" i="18"/>
  <c r="L154" i="18" l="1"/>
  <c r="K155" i="18"/>
  <c r="L155" i="18" l="1"/>
  <c r="K156" i="18"/>
  <c r="L156" i="18" l="1"/>
  <c r="K157" i="18"/>
  <c r="K158" i="18" l="1"/>
  <c r="L157" i="18"/>
  <c r="L158" i="18" l="1"/>
  <c r="K159" i="18"/>
  <c r="L159" i="18" l="1"/>
  <c r="K160" i="18"/>
  <c r="L160" i="18" l="1"/>
  <c r="K161" i="18"/>
  <c r="K162" i="18" l="1"/>
  <c r="L161" i="18"/>
  <c r="L162" i="18" l="1"/>
  <c r="K163" i="18"/>
  <c r="L163" i="18" l="1"/>
  <c r="K164" i="18"/>
  <c r="L164" i="18" l="1"/>
  <c r="K165" i="18"/>
  <c r="K166" i="18" l="1"/>
  <c r="L165" i="18"/>
  <c r="L166" i="18" l="1"/>
  <c r="K167" i="18"/>
  <c r="L167" i="18" l="1"/>
  <c r="K168" i="18"/>
  <c r="L168" i="18" l="1"/>
  <c r="K169" i="18"/>
  <c r="K170" i="18" l="1"/>
  <c r="L169" i="18"/>
  <c r="L170" i="18" l="1"/>
  <c r="K171" i="18"/>
  <c r="L171" i="18" l="1"/>
  <c r="K172" i="18"/>
  <c r="L172" i="18" l="1"/>
  <c r="K173" i="18"/>
  <c r="K174" i="18" l="1"/>
  <c r="L173" i="18"/>
  <c r="L174" i="18" l="1"/>
  <c r="K175" i="18"/>
  <c r="L175" i="18" l="1"/>
  <c r="K176" i="18"/>
  <c r="L176" i="18" l="1"/>
  <c r="K177" i="18"/>
  <c r="K178" i="18" l="1"/>
  <c r="L177" i="18"/>
  <c r="L178" i="18" l="1"/>
  <c r="K179" i="18"/>
  <c r="L179" i="18" l="1"/>
  <c r="K180" i="18"/>
  <c r="L180" i="18" l="1"/>
  <c r="K181" i="18"/>
  <c r="K182" i="18" l="1"/>
  <c r="L181" i="18"/>
  <c r="L182" i="18" l="1"/>
  <c r="K183" i="18"/>
  <c r="L183" i="18" l="1"/>
  <c r="K184" i="18"/>
  <c r="L184" i="18" l="1"/>
  <c r="K185" i="18"/>
  <c r="K186" i="18" l="1"/>
  <c r="L185" i="18"/>
  <c r="L186" i="18" l="1"/>
  <c r="K187" i="18"/>
  <c r="L187" i="18" l="1"/>
  <c r="K188" i="18"/>
  <c r="L188" i="18" l="1"/>
  <c r="K189" i="18"/>
  <c r="K190" i="18" l="1"/>
  <c r="L189" i="18"/>
  <c r="L190" i="18" l="1"/>
  <c r="K191" i="18"/>
  <c r="L191" i="18" l="1"/>
  <c r="K192" i="18"/>
  <c r="L192" i="18" l="1"/>
  <c r="K193" i="18"/>
  <c r="K194" i="18" l="1"/>
  <c r="L193" i="18"/>
  <c r="L194" i="18" l="1"/>
  <c r="K195" i="18"/>
  <c r="L195" i="18" l="1"/>
  <c r="K196" i="18"/>
  <c r="L196" i="18" l="1"/>
  <c r="K197" i="18"/>
  <c r="K198" i="18" l="1"/>
  <c r="L197" i="18"/>
  <c r="L198" i="18" l="1"/>
  <c r="K199" i="18"/>
  <c r="L199" i="18" l="1"/>
  <c r="K200" i="18"/>
  <c r="L200" i="18" l="1"/>
  <c r="K201" i="18"/>
  <c r="K202" i="18" l="1"/>
  <c r="L201" i="18"/>
  <c r="L202" i="18" l="1"/>
  <c r="K203" i="18"/>
  <c r="L203" i="18" l="1"/>
  <c r="K204" i="18"/>
  <c r="L204" i="18" l="1"/>
  <c r="K205" i="18"/>
  <c r="K206" i="18" l="1"/>
  <c r="L205" i="18"/>
  <c r="L206" i="18" l="1"/>
  <c r="K207" i="18"/>
  <c r="L207" i="18" l="1"/>
  <c r="K208" i="18"/>
  <c r="L208" i="18" l="1"/>
  <c r="K209" i="18"/>
  <c r="K210" i="18" l="1"/>
  <c r="L209" i="18"/>
  <c r="L210" i="18" l="1"/>
  <c r="K211" i="18"/>
  <c r="L211" i="18" l="1"/>
  <c r="K212" i="18"/>
  <c r="K213" i="18" l="1"/>
  <c r="L212" i="18"/>
  <c r="K214" i="18" l="1"/>
  <c r="L213" i="18"/>
  <c r="L214" i="18" l="1"/>
  <c r="K215" i="18"/>
  <c r="L215" i="18" l="1"/>
  <c r="K216" i="18"/>
  <c r="K217" i="18" l="1"/>
  <c r="L216" i="18"/>
  <c r="K218" i="18" l="1"/>
  <c r="L217" i="18"/>
  <c r="L218" i="18" l="1"/>
  <c r="K219" i="18"/>
  <c r="L219" i="18" l="1"/>
  <c r="K220" i="18"/>
  <c r="K221" i="18" l="1"/>
  <c r="L220" i="18"/>
  <c r="K222" i="18" l="1"/>
  <c r="L221" i="18"/>
  <c r="L222" i="18" l="1"/>
  <c r="K223" i="18"/>
  <c r="L223" i="18" l="1"/>
  <c r="K224" i="18"/>
  <c r="K225" i="18" l="1"/>
  <c r="L224" i="18"/>
  <c r="K226" i="18" l="1"/>
  <c r="L225" i="18"/>
  <c r="L226" i="18" l="1"/>
  <c r="K227" i="18"/>
  <c r="L227" i="18" l="1"/>
  <c r="K228" i="18"/>
  <c r="K229" i="18" l="1"/>
  <c r="L228" i="18"/>
  <c r="K230" i="18" l="1"/>
  <c r="L229" i="18"/>
  <c r="L230" i="18" l="1"/>
  <c r="K231" i="18"/>
  <c r="L231" i="18" l="1"/>
  <c r="K232" i="18"/>
  <c r="K233" i="18" l="1"/>
  <c r="L232" i="18"/>
  <c r="K234" i="18" l="1"/>
  <c r="L233" i="18"/>
  <c r="L234" i="18" l="1"/>
  <c r="K235" i="18"/>
  <c r="L235" i="18" l="1"/>
  <c r="K236" i="18"/>
  <c r="K237" i="18" l="1"/>
  <c r="L236" i="18"/>
  <c r="K238" i="18" l="1"/>
  <c r="L237" i="18"/>
  <c r="L238" i="18" l="1"/>
  <c r="K239" i="18"/>
  <c r="L239" i="18" l="1"/>
  <c r="K240" i="18"/>
  <c r="K241" i="18" l="1"/>
  <c r="L240" i="18"/>
  <c r="K242" i="18" l="1"/>
  <c r="L241" i="18"/>
  <c r="L242" i="18" l="1"/>
  <c r="K243" i="18"/>
  <c r="L243" i="18" l="1"/>
  <c r="K244" i="18"/>
  <c r="K245" i="18" l="1"/>
  <c r="L244" i="18"/>
  <c r="K246" i="18" l="1"/>
  <c r="L245" i="18"/>
  <c r="L246" i="18" l="1"/>
  <c r="K247" i="18"/>
  <c r="L247" i="18" l="1"/>
  <c r="K248" i="18"/>
  <c r="K249" i="18" l="1"/>
  <c r="L248" i="18"/>
  <c r="K250" i="18" l="1"/>
  <c r="L249" i="18"/>
  <c r="L250" i="18" l="1"/>
  <c r="K251" i="18"/>
  <c r="L251" i="18" l="1"/>
  <c r="K252" i="18"/>
  <c r="K253" i="18" l="1"/>
  <c r="L252" i="18"/>
  <c r="K254" i="18" l="1"/>
  <c r="L253" i="18"/>
  <c r="L254" i="18" l="1"/>
  <c r="K255" i="18"/>
  <c r="L255" i="18" l="1"/>
  <c r="K256" i="18"/>
  <c r="L256" i="18" l="1"/>
  <c r="K257" i="18"/>
  <c r="K258" i="18" l="1"/>
  <c r="L257" i="18"/>
  <c r="L258" i="18" l="1"/>
  <c r="K259" i="18"/>
  <c r="K260" i="18" l="1"/>
  <c r="L259" i="18"/>
  <c r="L260" i="18" l="1"/>
  <c r="K261" i="18"/>
  <c r="K262" i="18" l="1"/>
  <c r="L261" i="18"/>
  <c r="L262" i="18" l="1"/>
  <c r="K263" i="18"/>
  <c r="K264" i="18" l="1"/>
  <c r="L263" i="18"/>
  <c r="L264" i="18" l="1"/>
  <c r="K265" i="18"/>
  <c r="K266" i="18" l="1"/>
  <c r="L265" i="18"/>
  <c r="L266" i="18" l="1"/>
  <c r="K267" i="18"/>
  <c r="K268" i="18" l="1"/>
  <c r="L267" i="18"/>
  <c r="L268" i="18" l="1"/>
  <c r="K269" i="18"/>
  <c r="K270" i="18" l="1"/>
  <c r="L269" i="18"/>
  <c r="L270" i="18" l="1"/>
  <c r="K271" i="18"/>
  <c r="K272" i="18" l="1"/>
  <c r="L271" i="18"/>
  <c r="L272" i="18" l="1"/>
  <c r="K273" i="18"/>
  <c r="K274" i="18" l="1"/>
  <c r="L273" i="18"/>
  <c r="L274" i="18" l="1"/>
  <c r="K275" i="18"/>
  <c r="K276" i="18" l="1"/>
  <c r="L275" i="18"/>
  <c r="L276" i="18" l="1"/>
  <c r="K277" i="18"/>
  <c r="K278" i="18" l="1"/>
  <c r="L277" i="18"/>
  <c r="L278" i="18" l="1"/>
  <c r="K279" i="18"/>
  <c r="K280" i="18" l="1"/>
  <c r="L279" i="18"/>
  <c r="L280" i="18" l="1"/>
  <c r="K281" i="18"/>
  <c r="K282" i="18" l="1"/>
  <c r="L281" i="18"/>
  <c r="L282" i="18" l="1"/>
  <c r="K283" i="18"/>
  <c r="K284" i="18" l="1"/>
  <c r="L283" i="18"/>
  <c r="L284" i="18" l="1"/>
  <c r="K285" i="18"/>
  <c r="K286" i="18" l="1"/>
  <c r="L285" i="18"/>
  <c r="L286" i="18" l="1"/>
  <c r="K287" i="18"/>
  <c r="K288" i="18" l="1"/>
  <c r="L287" i="18"/>
  <c r="L288" i="18" l="1"/>
  <c r="K289" i="18"/>
  <c r="K290" i="18" l="1"/>
  <c r="L289" i="18"/>
  <c r="L290" i="18" l="1"/>
  <c r="K291" i="18"/>
  <c r="K292" i="18" l="1"/>
  <c r="L291" i="18"/>
  <c r="L292" i="18" l="1"/>
  <c r="K293" i="18"/>
  <c r="K294" i="18" l="1"/>
  <c r="L293" i="18"/>
  <c r="L294" i="18" l="1"/>
  <c r="K295" i="18"/>
  <c r="K296" i="18" l="1"/>
  <c r="L295" i="18"/>
  <c r="L296" i="18" l="1"/>
  <c r="K297" i="18"/>
  <c r="K298" i="18" l="1"/>
  <c r="L297" i="18"/>
  <c r="L298" i="18" l="1"/>
  <c r="K299" i="18"/>
  <c r="K300" i="18" l="1"/>
  <c r="L299" i="18"/>
  <c r="L300" i="18" l="1"/>
  <c r="K301" i="18"/>
  <c r="K302" i="18" l="1"/>
  <c r="L301" i="18"/>
  <c r="L302" i="18" l="1"/>
  <c r="K303" i="18"/>
  <c r="K304" i="18" l="1"/>
  <c r="L303" i="18"/>
  <c r="L304" i="18" l="1"/>
  <c r="K305" i="18"/>
  <c r="K306" i="18" l="1"/>
  <c r="L305" i="18"/>
  <c r="L306" i="18" l="1"/>
  <c r="K307" i="18"/>
  <c r="K308" i="18" l="1"/>
  <c r="L307" i="18"/>
  <c r="L308" i="18" l="1"/>
  <c r="K309" i="18"/>
  <c r="K310" i="18" l="1"/>
  <c r="L309" i="18"/>
  <c r="L310" i="18" l="1"/>
  <c r="K311" i="18"/>
  <c r="K312" i="18" l="1"/>
  <c r="L311" i="18"/>
  <c r="L312" i="18" l="1"/>
  <c r="K313" i="18"/>
  <c r="K314" i="18" l="1"/>
  <c r="L313" i="18"/>
  <c r="L314" i="18" l="1"/>
  <c r="K315" i="18"/>
  <c r="K316" i="18" l="1"/>
  <c r="L315" i="18"/>
  <c r="L316" i="18" l="1"/>
  <c r="K317" i="18"/>
  <c r="K318" i="18" l="1"/>
  <c r="L317" i="18"/>
  <c r="L318" i="18" l="1"/>
  <c r="K319" i="18"/>
  <c r="K320" i="18" l="1"/>
  <c r="L319" i="18"/>
  <c r="L320" i="18" l="1"/>
  <c r="K321" i="18"/>
  <c r="K322" i="18" l="1"/>
  <c r="L321" i="18"/>
  <c r="L322" i="18" l="1"/>
  <c r="K323" i="18"/>
  <c r="L323" i="18" l="1"/>
  <c r="K324" i="18"/>
  <c r="L324" i="18" l="1"/>
  <c r="K325" i="18"/>
  <c r="K326" i="18" l="1"/>
  <c r="L325" i="18"/>
  <c r="L326" i="18" l="1"/>
  <c r="K327" i="18"/>
  <c r="L327" i="18" l="1"/>
  <c r="K328" i="18"/>
  <c r="L328" i="18" l="1"/>
  <c r="K329" i="18"/>
  <c r="K330" i="18" l="1"/>
  <c r="L329" i="18"/>
  <c r="L330" i="18" l="1"/>
  <c r="K331" i="18"/>
  <c r="L331" i="18" l="1"/>
  <c r="K332" i="18"/>
  <c r="L332" i="18" l="1"/>
  <c r="K333" i="18"/>
  <c r="K334" i="18" l="1"/>
  <c r="L333" i="18"/>
  <c r="L334" i="18" l="1"/>
  <c r="K335" i="18"/>
  <c r="K336" i="18" l="1"/>
  <c r="L335" i="18"/>
  <c r="L336" i="18" l="1"/>
  <c r="K337" i="18"/>
  <c r="K338" i="18" l="1"/>
  <c r="L337" i="18"/>
  <c r="L338" i="18" l="1"/>
  <c r="K339" i="18"/>
  <c r="L339" i="18" l="1"/>
  <c r="K340" i="18"/>
  <c r="L340" i="18" l="1"/>
  <c r="K341" i="18"/>
  <c r="K342" i="18" l="1"/>
  <c r="L341" i="18"/>
  <c r="L342" i="18" l="1"/>
  <c r="K343" i="18"/>
  <c r="K344" i="18" l="1"/>
  <c r="L343" i="18"/>
  <c r="L344" i="18" l="1"/>
  <c r="K345" i="18"/>
  <c r="K346" i="18" l="1"/>
  <c r="L345" i="18"/>
  <c r="L346" i="18" l="1"/>
  <c r="K347" i="18"/>
  <c r="L347" i="18" l="1"/>
  <c r="K348" i="18"/>
  <c r="L348" i="18" l="1"/>
  <c r="K349" i="18"/>
  <c r="K350" i="18" l="1"/>
  <c r="L349" i="18"/>
  <c r="L350" i="18" l="1"/>
  <c r="K351" i="18"/>
  <c r="L351" i="18" l="1"/>
  <c r="K352" i="18"/>
  <c r="L352" i="18" l="1"/>
  <c r="K353" i="18"/>
  <c r="K354" i="18" l="1"/>
  <c r="L353" i="18"/>
  <c r="L354" i="18" l="1"/>
  <c r="K355" i="18"/>
  <c r="L355" i="18" l="1"/>
  <c r="K356" i="18"/>
  <c r="L356" i="18" l="1"/>
  <c r="K357" i="18"/>
  <c r="K358" i="18" l="1"/>
  <c r="L357" i="18"/>
  <c r="L358" i="18" l="1"/>
  <c r="K359" i="18"/>
  <c r="L359" i="18" l="1"/>
  <c r="K360" i="18"/>
  <c r="L360" i="18" l="1"/>
  <c r="K361" i="18"/>
  <c r="K362" i="18" l="1"/>
  <c r="L361" i="18"/>
  <c r="L362" i="18" l="1"/>
  <c r="K363" i="18"/>
  <c r="L363" i="18" l="1"/>
  <c r="K364" i="18"/>
  <c r="L364" i="18" l="1"/>
  <c r="K365" i="18"/>
  <c r="K366" i="18" l="1"/>
  <c r="L365" i="18"/>
  <c r="L366" i="18" l="1"/>
  <c r="K367" i="18"/>
  <c r="K368" i="18" l="1"/>
  <c r="L367" i="18"/>
  <c r="L368" i="18" l="1"/>
  <c r="K369" i="18"/>
  <c r="K370" i="18" l="1"/>
  <c r="L369" i="18"/>
  <c r="L370" i="18" l="1"/>
  <c r="K371" i="18"/>
  <c r="K372" i="18" l="1"/>
  <c r="L371" i="18"/>
  <c r="L372" i="18" l="1"/>
  <c r="K373" i="18"/>
  <c r="K374" i="18" l="1"/>
  <c r="L373" i="18"/>
  <c r="L374" i="18" l="1"/>
  <c r="K375" i="18"/>
  <c r="L375" i="18" l="1"/>
  <c r="K376" i="18"/>
  <c r="L376" i="18" l="1"/>
  <c r="K377" i="18"/>
  <c r="K378" i="18" l="1"/>
  <c r="L377" i="18"/>
  <c r="L378" i="18" l="1"/>
  <c r="C2" i="18"/>
  <c r="T1" i="18" l="1"/>
  <c r="P1" i="18"/>
  <c r="N1" i="18"/>
  <c r="X1" i="18"/>
  <c r="O1" i="18"/>
  <c r="R1" i="18"/>
  <c r="V1" i="18"/>
  <c r="W1" i="18"/>
  <c r="M1" i="18"/>
  <c r="S1" i="18"/>
  <c r="U1" i="18"/>
  <c r="Q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tc={FC5D7BE3-CF97-40CB-BC0A-7E1BE82AC7E7}</author>
    <author>Faidon (Minas) Dermesonoglou</author>
  </authors>
  <commentList>
    <comment ref="K1" authorId="0" shapeId="0" xr:uid="{FC5D7BE3-CF97-40CB-BC0A-7E1BE82AC7E7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TODAY()</t>
      </text>
    </comment>
    <comment ref="C18" authorId="1" shapeId="0" xr:uid="{00000000-0006-0000-0000-000001000000}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Insert 10000 instead of 1000 due to French Settings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Loconte Maria</author>
  </authors>
  <commentList>
    <comment ref="K3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inserito anche il valore di nomina di SGI 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<sst xmlns="http://schemas.openxmlformats.org/spreadsheetml/2006/main" count="1399" uniqueCount="228">
  <si>
    <t>Production</t>
  </si>
  <si>
    <t>Capacity</t>
  </si>
  <si>
    <t>Utilisation</t>
  </si>
  <si>
    <t>%</t>
  </si>
  <si>
    <t>GW</t>
  </si>
  <si>
    <t>Line function DWD</t>
  </si>
  <si>
    <t>Line function MK</t>
  </si>
  <si>
    <t>Line function GFS</t>
  </si>
  <si>
    <t>D-1 Forecast:</t>
  </si>
  <si>
    <t>Error DWD</t>
  </si>
  <si>
    <t>Error MK</t>
  </si>
  <si>
    <t>Error GFS</t>
  </si>
  <si>
    <t>max</t>
  </si>
  <si>
    <t>min</t>
  </si>
  <si>
    <t>axisrange</t>
  </si>
  <si>
    <t>consumption</t>
  </si>
  <si>
    <t>Consumption</t>
  </si>
  <si>
    <t>Consumptino</t>
  </si>
  <si>
    <t>Max Record</t>
  </si>
  <si>
    <t>Resxaling Cons</t>
  </si>
  <si>
    <t>Min Fcast</t>
  </si>
  <si>
    <t>New Scaling</t>
  </si>
  <si>
    <t>Status Report: Italian Gas Market Delivery Day :</t>
  </si>
  <si>
    <t>D</t>
  </si>
  <si>
    <t>D-1</t>
  </si>
  <si>
    <t>D-2</t>
  </si>
  <si>
    <t>D-3</t>
  </si>
  <si>
    <t>D-4</t>
  </si>
  <si>
    <t>D-5</t>
  </si>
  <si>
    <t>D-6</t>
  </si>
  <si>
    <t>D-7</t>
  </si>
  <si>
    <t>D-8</t>
  </si>
  <si>
    <t>D-9</t>
  </si>
  <si>
    <t>D-10</t>
  </si>
  <si>
    <t>D-11</t>
  </si>
  <si>
    <t>D-12</t>
  </si>
  <si>
    <t>D-13</t>
  </si>
  <si>
    <t>D-14</t>
  </si>
  <si>
    <t>D-15</t>
  </si>
  <si>
    <t>D-16</t>
  </si>
  <si>
    <t>D-17</t>
  </si>
  <si>
    <t>D-18</t>
  </si>
  <si>
    <t>D-19</t>
  </si>
  <si>
    <t>D+1</t>
  </si>
  <si>
    <t>D+2</t>
  </si>
  <si>
    <t>D+3</t>
  </si>
  <si>
    <t>D+4</t>
  </si>
  <si>
    <t>D+5</t>
  </si>
  <si>
    <t>D+6</t>
  </si>
  <si>
    <t>D+7</t>
  </si>
  <si>
    <t>D+8</t>
  </si>
  <si>
    <t>D+9</t>
  </si>
  <si>
    <t>D+10</t>
  </si>
  <si>
    <t>D+11</t>
  </si>
  <si>
    <t>D+12</t>
  </si>
  <si>
    <t>D+13</t>
  </si>
  <si>
    <t>D-20</t>
  </si>
  <si>
    <t>Industry Consumption:</t>
  </si>
  <si>
    <t>Total Consumption:</t>
  </si>
  <si>
    <t>(Tarvisio)</t>
  </si>
  <si>
    <t>Imports from AU:</t>
  </si>
  <si>
    <t>Imports from CH:</t>
  </si>
  <si>
    <t>(Passo Gries)</t>
  </si>
  <si>
    <t>Imports from LY:</t>
  </si>
  <si>
    <t>(Gela)</t>
  </si>
  <si>
    <t>Imports from TU:</t>
  </si>
  <si>
    <t>(Mazara del Vallo)</t>
  </si>
  <si>
    <t>Date (CEST)</t>
  </si>
  <si>
    <t>LNG (Cavarzere)</t>
  </si>
  <si>
    <t>LNG (Panigaglia)</t>
  </si>
  <si>
    <t>consumption distrb</t>
  </si>
  <si>
    <t>consumption power</t>
  </si>
  <si>
    <t>Imports AU</t>
  </si>
  <si>
    <t>Imports CH</t>
  </si>
  <si>
    <t>Imports Libya</t>
  </si>
  <si>
    <t>consumption - industr</t>
  </si>
  <si>
    <t>consumption - distr</t>
  </si>
  <si>
    <t>Industry</t>
  </si>
  <si>
    <t>Power</t>
  </si>
  <si>
    <t>Distribution</t>
  </si>
  <si>
    <t>GWh/d</t>
  </si>
  <si>
    <t>Austrian Imports</t>
  </si>
  <si>
    <t>CH Imports</t>
  </si>
  <si>
    <t>Libyan Imports</t>
  </si>
  <si>
    <t>Imports Tunisia</t>
  </si>
  <si>
    <t>LNG Cav</t>
  </si>
  <si>
    <t>Lng Panig</t>
  </si>
  <si>
    <t>▲ D-1 Fcast</t>
  </si>
  <si>
    <t>Day</t>
  </si>
  <si>
    <t>Movimentato
giornaliero (GJ)</t>
  </si>
  <si>
    <t xml:space="preserve">Giacenza (GJ) </t>
  </si>
  <si>
    <t>Movimentato
giornaliero (MWh)</t>
  </si>
  <si>
    <t xml:space="preserve">Giacenza (MWh) </t>
  </si>
  <si>
    <t>Data</t>
  </si>
  <si>
    <t>Giacenza (GJ) (*)</t>
  </si>
  <si>
    <t>Movimentato
giornaliero (Mwh)</t>
  </si>
  <si>
    <t>Giacenza (Mwh) (*)</t>
  </si>
  <si>
    <t>Total</t>
  </si>
  <si>
    <t>Build/Wdr</t>
  </si>
  <si>
    <t>LNG Strategic</t>
  </si>
  <si>
    <t>Stock Levels</t>
  </si>
  <si>
    <t>Change</t>
  </si>
  <si>
    <t>MWhs</t>
  </si>
  <si>
    <t>GWhs</t>
  </si>
  <si>
    <t>average</t>
  </si>
  <si>
    <t>difference</t>
  </si>
  <si>
    <t>Rebase</t>
  </si>
  <si>
    <t>outright</t>
  </si>
  <si>
    <t>Leave unch</t>
  </si>
  <si>
    <t>change</t>
  </si>
  <si>
    <t>GIACENZA UTENTI</t>
  </si>
  <si>
    <t>MOVIMENTATO GIORNALIERO UTENTI</t>
  </si>
  <si>
    <t>MOVIMENTATO</t>
  </si>
  <si>
    <t>[GJ]</t>
  </si>
  <si>
    <t>tue</t>
  </si>
  <si>
    <t>wed</t>
  </si>
  <si>
    <t>thu</t>
  </si>
  <si>
    <t>fri</t>
  </si>
  <si>
    <t>sun</t>
  </si>
  <si>
    <t>mon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</si>
  <si>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</si>
  <si>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</si>
  <si>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</si>
  <si>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</si>
  <si>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</si>
  <si>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</si>
  <si>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</si>
  <si>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</si>
  <si>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</si>
  <si>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</si>
  <si>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</si>
  <si>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</si>
  <si>
    <t>July</t>
  </si>
  <si>
    <t>2010-2011</t>
  </si>
  <si>
    <t>2011-2012</t>
  </si>
  <si>
    <t>2012-2013</t>
  </si>
  <si>
    <t>2013-2014</t>
  </si>
  <si>
    <t>2009-2010</t>
  </si>
  <si>
    <t>Oct+1</t>
  </si>
  <si>
    <t>2014-2015</t>
  </si>
  <si>
    <t>2015-2016</t>
  </si>
  <si>
    <t>2016-2017</t>
  </si>
  <si>
    <t>Edison</t>
  </si>
  <si>
    <t>Stogit</t>
  </si>
  <si>
    <t>Hist_09_</t>
  </si>
  <si>
    <t>Hist_10_</t>
  </si>
  <si>
    <t>Hist_11_</t>
  </si>
  <si>
    <t>Hist_12_</t>
  </si>
  <si>
    <t>Hist_13_</t>
  </si>
  <si>
    <t>Hist_14_</t>
  </si>
  <si>
    <t>Recent Balance Situation:</t>
  </si>
  <si>
    <t>Daily Movements</t>
  </si>
  <si>
    <t>Starting Stock Level</t>
  </si>
  <si>
    <t>Storage Movement:</t>
  </si>
  <si>
    <t>Increase</t>
  </si>
  <si>
    <t>Decrease</t>
  </si>
  <si>
    <t>Historical Stock Levels</t>
  </si>
  <si>
    <t>Industrial</t>
  </si>
  <si>
    <t>LDZ</t>
  </si>
  <si>
    <t>Yesterday:</t>
  </si>
  <si>
    <t>Row</t>
  </si>
  <si>
    <t xml:space="preserve">
Import.</t>
  </si>
  <si>
    <t xml:space="preserve">
Stogit</t>
  </si>
  <si>
    <t xml:space="preserve">
Edison 
Stoccaggio</t>
  </si>
  <si>
    <t xml:space="preserve">
Entry
Mazara</t>
  </si>
  <si>
    <t xml:space="preserve">
Entry
Tarvisio</t>
  </si>
  <si>
    <t xml:space="preserve">
Entry
P.Gries</t>
  </si>
  <si>
    <t xml:space="preserve">
Entry
Gela</t>
  </si>
  <si>
    <t xml:space="preserve">
Entry
Gorizia</t>
  </si>
  <si>
    <t xml:space="preserve">
LNG
Panigaglia</t>
  </si>
  <si>
    <t xml:space="preserve">
LNG 
Cavarzere</t>
  </si>
  <si>
    <t xml:space="preserve">
LNG 
Livorno</t>
  </si>
  <si>
    <t xml:space="preserve">
National
production</t>
  </si>
  <si>
    <t xml:space="preserve">
Storage
systems*</t>
  </si>
  <si>
    <t xml:space="preserve">
Tot. 
Intake</t>
  </si>
  <si>
    <t xml:space="preserve">
Deliveries
SRG
network</t>
  </si>
  <si>
    <t xml:space="preserve">
Industry</t>
  </si>
  <si>
    <t xml:space="preserve">
Power
generation</t>
  </si>
  <si>
    <t xml:space="preserve">
Local
Distribution
Networks</t>
  </si>
  <si>
    <t>Others**</t>
  </si>
  <si>
    <t xml:space="preserve">
Exit
Gorizia</t>
  </si>
  <si>
    <t xml:space="preserve">
Exit
P.Gries</t>
  </si>
  <si>
    <t xml:space="preserve">
Exit
Tarvisio</t>
  </si>
  <si>
    <t xml:space="preserve">
Exit
Bizzarone</t>
  </si>
  <si>
    <t xml:space="preserve">
Exit
S.Marino</t>
  </si>
  <si>
    <t>Deliveries
to other
distribution
networks</t>
  </si>
  <si>
    <t xml:space="preserve">
Tot.
Offtake</t>
  </si>
  <si>
    <t>LNG Livorno</t>
  </si>
  <si>
    <t>Tunisian Imports</t>
  </si>
  <si>
    <t>Imports</t>
  </si>
  <si>
    <t>Consumption:</t>
  </si>
  <si>
    <t>Power Generation</t>
  </si>
  <si>
    <t>Local Distribution</t>
  </si>
  <si>
    <t>Network Consumption:</t>
  </si>
  <si>
    <t>Previous Day Forecast</t>
  </si>
  <si>
    <t>Previous Day Fcast</t>
  </si>
  <si>
    <t>▲ D-1 A</t>
  </si>
  <si>
    <t>▲ D-7 DoD A</t>
  </si>
  <si>
    <t>▲ D-1 4 DoD A</t>
  </si>
  <si>
    <t>▲ Season Peak</t>
  </si>
  <si>
    <t>Imports LNG</t>
  </si>
  <si>
    <t>Cavarzere:</t>
  </si>
  <si>
    <t>Panigaglia:</t>
  </si>
  <si>
    <t>Livorno (Strategic):</t>
  </si>
  <si>
    <t>on 26/10/2014</t>
  </si>
  <si>
    <t>TWh</t>
  </si>
  <si>
    <t>TWh/d</t>
  </si>
  <si>
    <t>SRG</t>
  </si>
  <si>
    <t>Line function SRG</t>
  </si>
  <si>
    <t>Line function</t>
  </si>
  <si>
    <t>Error Company</t>
  </si>
  <si>
    <t>Line function Company</t>
  </si>
  <si>
    <t>Step 1</t>
  </si>
  <si>
    <t>Step 2</t>
  </si>
  <si>
    <t>Step 3</t>
  </si>
  <si>
    <t>Full Calculation of Sheet1 Cells, to make sure the Custom Functions have been calculated</t>
  </si>
  <si>
    <t>Convert your Graphs to images and save to the imgs folder that autocreates the macro itself</t>
  </si>
  <si>
    <t>Email</t>
  </si>
  <si>
    <t>Password</t>
  </si>
  <si>
    <t>CHECK</t>
  </si>
  <si>
    <t>Note : Allow less secure apps on gmail, can try also creating an app password and use that as your password, especially if you use a 2-Factor authentication</t>
  </si>
  <si>
    <t>Sender</t>
  </si>
  <si>
    <t>Emails</t>
  </si>
  <si>
    <t>Receiver(s) - If more than one email, need to concat with a ;</t>
  </si>
  <si>
    <t>password</t>
  </si>
  <si>
    <t>myemail@gmail.com</t>
  </si>
  <si>
    <t>emailreceiverone@example.com;emailreceivertwo@gmail.com;emailreceiverthree@hotmail.com</t>
  </si>
  <si>
    <r>
      <t xml:space="preserve">Send an email via </t>
    </r>
    <r>
      <rPr>
        <b/>
        <u/>
        <sz val="11"/>
        <color rgb="FF00B0F0"/>
        <rFont val="Calibri"/>
        <family val="2"/>
        <charset val="161"/>
        <scheme val="minor"/>
      </rPr>
      <t>GMAIL</t>
    </r>
    <r>
      <rPr>
        <sz val="11"/>
        <color theme="1"/>
        <rFont val="Calibri"/>
        <family val="2"/>
        <scheme val="minor"/>
      </rPr>
      <t xml:space="preserve"> with HTML Body being your img sources. Insert your values on cells B20, B21 and B24.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</si>
</sst>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#,##0.0"/>
    <numFmt numFmtId="166" formatCode="0.0"/>
    <numFmt numFmtId="167" formatCode="#,##0.0000"/>
    <numFmt numFmtId="168" formatCode="#,##0_ ;[Red]\-#,##0\ "/>
    <numFmt numFmtId="169" formatCode="#,##0.00_ ;[Red]\-#,##0.00\ "/>
    <numFmt numFmtId="170" formatCode="#,##0.0_ ;[Red]\-#,##0.0\ "/>
    <numFmt numFmtId="171" formatCode="dd/mm/yyyy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0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8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rgb="FF00B0F0"/>
      <name val="Calibri"/>
      <family val="2"/>
      <charset val="161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7F7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6" fillId="0" borderId="0"/>
    <xf numFmtId="0" fontId="6" fillId="0" borderId="0"/>
    <xf numFmtId="0" fontId="6" fillId="0" borderId="0"/>
    <xf numFmtId="164" fontId="6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8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9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3" fillId="0" borderId="0" xfId="0" quotePrefix="1" applyFont="1" applyAlignment="1">
      <alignment horizontal="center"/>
    </xf>
    <xf numFmtId="166" fontId="2" fillId="0" borderId="0" xfId="0" applyNumberFormat="1" applyFont="1" applyAlignment="1">
      <alignment horizontal="center"/>
    </xf>
    <xf numFmtId="166" fontId="2" fillId="0" borderId="0" xfId="0" applyNumberFormat="1" applyFont="1"/>
    <xf numFmtId="0" fontId="2" fillId="0" borderId="2" xfId="0" applyFont="1" applyBorder="1"/>
    <xf numFmtId="166" fontId="2" fillId="0" borderId="2" xfId="0" applyNumberFormat="1" applyFont="1" applyBorder="1" applyAlignment="1">
      <alignment horizontal="center"/>
    </xf>
    <xf numFmtId="0" fontId="2" fillId="0" borderId="3" xfId="0" applyFont="1" applyBorder="1"/>
    <xf numFmtId="166" fontId="2" fillId="0" borderId="3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3" xfId="0" applyFont="1" applyBorder="1"/>
    <xf numFmtId="165" fontId="3" fillId="0" borderId="3" xfId="0" applyNumberFormat="1" applyFont="1" applyBorder="1" applyAlignment="1">
      <alignment horizontal="center"/>
    </xf>
    <xf numFmtId="9" fontId="3" fillId="0" borderId="0" xfId="0" applyNumberFormat="1" applyFont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0" borderId="0" xfId="0" applyFont="1"/>
    <xf numFmtId="3" fontId="0" fillId="0" borderId="0" xfId="0" applyNumberFormat="1" applyFont="1" applyAlignment="1">
      <alignment horizontal="center"/>
    </xf>
    <xf numFmtId="3" fontId="0" fillId="0" borderId="0" xfId="0" applyNumberFormat="1"/>
    <xf numFmtId="3" fontId="0" fillId="2" borderId="0" xfId="0" applyNumberFormat="1" applyFill="1"/>
    <xf numFmtId="0" fontId="0" fillId="3" borderId="0" xfId="0" applyFill="1"/>
    <xf numFmtId="0" fontId="0" fillId="3" borderId="1" xfId="0" applyFill="1" applyBorder="1"/>
    <xf numFmtId="167" fontId="0" fillId="0" borderId="0" xfId="0" applyNumberFormat="1"/>
    <xf numFmtId="0" fontId="2" fillId="0" borderId="0" xfId="0" applyFont="1" applyBorder="1"/>
    <xf numFmtId="166" fontId="2" fillId="0" borderId="0" xfId="0" applyNumberFormat="1" applyFont="1" applyBorder="1" applyAlignment="1">
      <alignment horizontal="center"/>
    </xf>
    <xf numFmtId="0" fontId="0" fillId="0" borderId="0" xfId="0" applyFill="1" applyBorder="1"/>
    <xf numFmtId="0" fontId="3" fillId="2" borderId="0" xfId="0" applyFont="1" applyFill="1"/>
    <xf numFmtId="0" fontId="4" fillId="2" borderId="0" xfId="0" applyFont="1" applyFill="1"/>
    <xf numFmtId="14" fontId="1" fillId="0" borderId="0" xfId="0" applyNumberFormat="1" applyFont="1" applyAlignment="1"/>
    <xf numFmtId="0" fontId="1" fillId="2" borderId="0" xfId="0" applyFont="1" applyFill="1"/>
    <xf numFmtId="2" fontId="0" fillId="0" borderId="0" xfId="0" applyNumberFormat="1"/>
    <xf numFmtId="0" fontId="3" fillId="2" borderId="3" xfId="0" applyFont="1" applyFill="1" applyBorder="1"/>
    <xf numFmtId="0" fontId="3" fillId="0" borderId="0" xfId="0" applyFont="1" applyAlignment="1">
      <alignment horizontal="center"/>
    </xf>
    <xf numFmtId="0" fontId="5" fillId="0" borderId="0" xfId="0" applyFont="1"/>
    <xf numFmtId="9" fontId="3" fillId="0" borderId="0" xfId="0" applyNumberFormat="1" applyFont="1"/>
    <xf numFmtId="0" fontId="7" fillId="0" borderId="0" xfId="1" applyFont="1"/>
    <xf numFmtId="14" fontId="7" fillId="0" borderId="0" xfId="2" applyNumberFormat="1" applyFont="1"/>
    <xf numFmtId="168" fontId="7" fillId="0" borderId="0" xfId="2" applyNumberFormat="1" applyFont="1"/>
    <xf numFmtId="168" fontId="0" fillId="0" borderId="0" xfId="0" applyNumberFormat="1"/>
    <xf numFmtId="3" fontId="3" fillId="0" borderId="0" xfId="0" applyNumberFormat="1" applyFont="1" applyAlignment="1">
      <alignment horizontal="center"/>
    </xf>
    <xf numFmtId="3" fontId="3" fillId="0" borderId="3" xfId="0" applyNumberFormat="1" applyFont="1" applyBorder="1" applyAlignment="1">
      <alignment horizontal="center"/>
    </xf>
    <xf numFmtId="0" fontId="0" fillId="0" borderId="0" xfId="0" applyFill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quotePrefix="1" applyFont="1" applyAlignment="1">
      <alignment horizontal="center"/>
    </xf>
    <xf numFmtId="1" fontId="2" fillId="0" borderId="0" xfId="0" applyNumberFormat="1" applyFont="1"/>
    <xf numFmtId="0" fontId="3" fillId="0" borderId="0" xfId="0" applyFont="1" applyFill="1"/>
    <xf numFmtId="3" fontId="2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3" fillId="0" borderId="0" xfId="0" applyFont="1" applyBorder="1"/>
    <xf numFmtId="165" fontId="3" fillId="0" borderId="0" xfId="0" applyNumberFormat="1" applyFont="1" applyBorder="1" applyAlignment="1">
      <alignment horizontal="center"/>
    </xf>
    <xf numFmtId="0" fontId="0" fillId="0" borderId="3" xfId="0" applyBorder="1"/>
    <xf numFmtId="14" fontId="1" fillId="0" borderId="0" xfId="0" applyNumberFormat="1" applyFont="1" applyAlignment="1">
      <alignment horizontal="center"/>
    </xf>
    <xf numFmtId="14" fontId="10" fillId="0" borderId="5" xfId="0" applyNumberFormat="1" applyFont="1" applyBorder="1" applyAlignment="1">
      <alignment horizontal="center"/>
    </xf>
    <xf numFmtId="14" fontId="10" fillId="0" borderId="7" xfId="0" applyNumberFormat="1" applyFont="1" applyBorder="1" applyAlignment="1">
      <alignment horizontal="center"/>
    </xf>
    <xf numFmtId="14" fontId="10" fillId="0" borderId="8" xfId="0" applyNumberFormat="1" applyFont="1" applyBorder="1" applyAlignment="1">
      <alignment horizontal="center"/>
    </xf>
    <xf numFmtId="0" fontId="10" fillId="0" borderId="10" xfId="3" applyFont="1" applyBorder="1" applyAlignment="1">
      <alignment vertical="center"/>
    </xf>
    <xf numFmtId="0" fontId="10" fillId="0" borderId="6" xfId="3" applyFont="1" applyBorder="1" applyAlignment="1">
      <alignment horizontal="center" vertical="center" wrapText="1"/>
    </xf>
    <xf numFmtId="0" fontId="10" fillId="0" borderId="6" xfId="3" applyFont="1" applyBorder="1" applyAlignment="1">
      <alignment horizontal="center" vertical="center"/>
    </xf>
    <xf numFmtId="0" fontId="10" fillId="0" borderId="10" xfId="3" applyFont="1" applyBorder="1" applyAlignment="1">
      <alignment horizontal="center" vertical="center" wrapText="1"/>
    </xf>
    <xf numFmtId="0" fontId="10" fillId="0" borderId="10" xfId="3" applyFont="1" applyBorder="1" applyAlignment="1">
      <alignment horizontal="center" vertical="center"/>
    </xf>
    <xf numFmtId="14" fontId="10" fillId="0" borderId="11" xfId="3" applyNumberFormat="1" applyFont="1" applyBorder="1" applyAlignment="1">
      <alignment horizontal="center"/>
    </xf>
    <xf numFmtId="14" fontId="10" fillId="0" borderId="13" xfId="3" applyNumberFormat="1" applyFont="1" applyBorder="1" applyAlignment="1">
      <alignment horizontal="center"/>
    </xf>
    <xf numFmtId="14" fontId="10" fillId="0" borderId="14" xfId="3" applyNumberFormat="1" applyFont="1" applyBorder="1" applyAlignment="1">
      <alignment horizontal="center"/>
    </xf>
    <xf numFmtId="168" fontId="10" fillId="0" borderId="6" xfId="0" applyNumberFormat="1" applyFont="1" applyBorder="1"/>
    <xf numFmtId="168" fontId="10" fillId="0" borderId="5" xfId="0" applyNumberFormat="1" applyFont="1" applyBorder="1"/>
    <xf numFmtId="168" fontId="10" fillId="0" borderId="7" xfId="0" applyNumberFormat="1" applyFont="1" applyBorder="1"/>
    <xf numFmtId="168" fontId="10" fillId="0" borderId="4" xfId="0" applyNumberFormat="1" applyFont="1" applyBorder="1"/>
    <xf numFmtId="168" fontId="10" fillId="0" borderId="8" xfId="0" applyNumberFormat="1" applyFont="1" applyBorder="1"/>
    <xf numFmtId="168" fontId="10" fillId="0" borderId="9" xfId="0" applyNumberFormat="1" applyFont="1" applyBorder="1"/>
    <xf numFmtId="168" fontId="10" fillId="0" borderId="6" xfId="3" applyNumberFormat="1" applyFont="1" applyBorder="1"/>
    <xf numFmtId="168" fontId="10" fillId="0" borderId="12" xfId="3" applyNumberFormat="1" applyFont="1" applyBorder="1"/>
    <xf numFmtId="168" fontId="10" fillId="0" borderId="6" xfId="4" applyNumberFormat="1" applyFont="1" applyBorder="1"/>
    <xf numFmtId="168" fontId="10" fillId="0" borderId="7" xfId="3" applyNumberFormat="1" applyFont="1" applyBorder="1"/>
    <xf numFmtId="168" fontId="10" fillId="0" borderId="4" xfId="3" applyNumberFormat="1" applyFont="1" applyBorder="1"/>
    <xf numFmtId="168" fontId="10" fillId="0" borderId="13" xfId="4" applyNumberFormat="1" applyFont="1" applyBorder="1"/>
    <xf numFmtId="168" fontId="10" fillId="0" borderId="7" xfId="4" applyNumberFormat="1" applyFont="1" applyBorder="1"/>
    <xf numFmtId="168" fontId="10" fillId="0" borderId="8" xfId="3" applyNumberFormat="1" applyFont="1" applyBorder="1"/>
    <xf numFmtId="168" fontId="10" fillId="0" borderId="9" xfId="3" applyNumberFormat="1" applyFont="1" applyBorder="1"/>
    <xf numFmtId="168" fontId="10" fillId="0" borderId="14" xfId="4" applyNumberFormat="1" applyFont="1" applyBorder="1"/>
    <xf numFmtId="168" fontId="10" fillId="0" borderId="8" xfId="4" applyNumberFormat="1" applyFont="1" applyBorder="1"/>
    <xf numFmtId="0" fontId="10" fillId="0" borderId="10" xfId="0" applyFont="1" applyBorder="1" applyAlignment="1">
      <alignment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/>
    </xf>
    <xf numFmtId="0" fontId="0" fillId="2" borderId="0" xfId="0" applyFont="1" applyFill="1"/>
    <xf numFmtId="3" fontId="0" fillId="2" borderId="0" xfId="0" applyNumberFormat="1" applyFont="1" applyFill="1" applyAlignment="1">
      <alignment horizontal="center"/>
    </xf>
    <xf numFmtId="168" fontId="0" fillId="0" borderId="0" xfId="0" applyNumberFormat="1" applyFont="1" applyFill="1"/>
    <xf numFmtId="168" fontId="0" fillId="0" borderId="0" xfId="0" applyNumberFormat="1" applyFont="1"/>
    <xf numFmtId="169" fontId="2" fillId="0" borderId="0" xfId="0" applyNumberFormat="1" applyFont="1"/>
    <xf numFmtId="165" fontId="2" fillId="0" borderId="0" xfId="0" applyNumberFormat="1" applyFont="1"/>
    <xf numFmtId="0" fontId="6" fillId="0" borderId="0" xfId="0" applyFont="1" applyAlignment="1">
      <alignment vertical="top"/>
    </xf>
    <xf numFmtId="0" fontId="6" fillId="0" borderId="0" xfId="0" applyFont="1"/>
    <xf numFmtId="168" fontId="6" fillId="0" borderId="0" xfId="0" applyNumberFormat="1" applyFont="1" applyBorder="1" applyAlignment="1"/>
    <xf numFmtId="168" fontId="6" fillId="0" borderId="0" xfId="0" applyNumberFormat="1" applyFont="1" applyAlignment="1"/>
    <xf numFmtId="0" fontId="13" fillId="0" borderId="0" xfId="0" applyFont="1"/>
    <xf numFmtId="168" fontId="6" fillId="0" borderId="0" xfId="0" applyNumberFormat="1" applyFont="1" applyFill="1" applyBorder="1" applyAlignment="1"/>
    <xf numFmtId="1" fontId="6" fillId="0" borderId="0" xfId="0" applyNumberFormat="1" applyFont="1" applyAlignment="1">
      <alignment vertical="top"/>
    </xf>
    <xf numFmtId="1" fontId="6" fillId="0" borderId="0" xfId="0" applyNumberFormat="1" applyFont="1"/>
    <xf numFmtId="1" fontId="6" fillId="0" borderId="0" xfId="0" applyNumberFormat="1" applyFont="1" applyFill="1" applyBorder="1" applyAlignment="1"/>
    <xf numFmtId="1" fontId="6" fillId="0" borderId="0" xfId="0" applyNumberFormat="1" applyFont="1" applyAlignment="1"/>
    <xf numFmtId="1" fontId="13" fillId="0" borderId="0" xfId="0" applyNumberFormat="1" applyFont="1"/>
    <xf numFmtId="14" fontId="6" fillId="0" borderId="0" xfId="0" applyNumberFormat="1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3" fontId="6" fillId="0" borderId="0" xfId="0" applyNumberFormat="1" applyFont="1"/>
    <xf numFmtId="3" fontId="6" fillId="2" borderId="0" xfId="0" applyNumberFormat="1" applyFont="1" applyFill="1"/>
    <xf numFmtId="168" fontId="6" fillId="0" borderId="0" xfId="0" applyNumberFormat="1" applyFont="1"/>
    <xf numFmtId="168" fontId="6" fillId="2" borderId="0" xfId="0" applyNumberFormat="1" applyFont="1" applyFill="1"/>
    <xf numFmtId="2" fontId="13" fillId="0" borderId="0" xfId="0" applyNumberFormat="1" applyFont="1"/>
    <xf numFmtId="14" fontId="6" fillId="0" borderId="0" xfId="0" applyNumberFormat="1" applyFont="1" applyAlignment="1">
      <alignment horizontal="left"/>
    </xf>
    <xf numFmtId="3" fontId="6" fillId="0" borderId="0" xfId="0" applyNumberFormat="1" applyFont="1" applyAlignment="1"/>
    <xf numFmtId="3" fontId="6" fillId="0" borderId="0" xfId="0" applyNumberFormat="1" applyFont="1" applyFill="1" applyAlignment="1"/>
    <xf numFmtId="14" fontId="14" fillId="0" borderId="0" xfId="0" applyNumberFormat="1" applyFont="1" applyAlignment="1">
      <alignment horizontal="left"/>
    </xf>
    <xf numFmtId="14" fontId="6" fillId="0" borderId="0" xfId="0" applyNumberFormat="1" applyFont="1"/>
    <xf numFmtId="168" fontId="6" fillId="0" borderId="0" xfId="0" applyNumberFormat="1" applyFont="1" applyFill="1"/>
    <xf numFmtId="0" fontId="13" fillId="0" borderId="0" xfId="0" applyFont="1" applyFill="1"/>
    <xf numFmtId="3" fontId="13" fillId="0" borderId="0" xfId="0" applyNumberFormat="1" applyFont="1"/>
    <xf numFmtId="0" fontId="15" fillId="0" borderId="0" xfId="0" quotePrefix="1" applyFont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/>
    <xf numFmtId="0" fontId="3" fillId="0" borderId="0" xfId="0" applyFont="1" applyAlignment="1">
      <alignment horizontal="right"/>
    </xf>
    <xf numFmtId="166" fontId="2" fillId="0" borderId="0" xfId="0" applyNumberFormat="1" applyFont="1" applyFill="1"/>
    <xf numFmtId="14" fontId="0" fillId="0" borderId="0" xfId="0" applyNumberFormat="1" applyFont="1"/>
    <xf numFmtId="3" fontId="0" fillId="0" borderId="0" xfId="0" applyNumberFormat="1" applyFont="1"/>
    <xf numFmtId="168" fontId="7" fillId="0" borderId="0" xfId="1" applyNumberFormat="1" applyFont="1"/>
    <xf numFmtId="168" fontId="7" fillId="0" borderId="0" xfId="2" applyNumberFormat="1" applyFont="1" applyFill="1"/>
    <xf numFmtId="168" fontId="2" fillId="0" borderId="0" xfId="0" applyNumberFormat="1" applyFont="1"/>
    <xf numFmtId="14" fontId="0" fillId="0" borderId="0" xfId="0" applyNumberFormat="1"/>
    <xf numFmtId="0" fontId="2" fillId="0" borderId="3" xfId="0" applyFont="1" applyBorder="1" applyAlignment="1">
      <alignment horizontal="center"/>
    </xf>
    <xf numFmtId="168" fontId="2" fillId="0" borderId="2" xfId="0" applyNumberFormat="1" applyFont="1" applyBorder="1" applyAlignment="1">
      <alignment horizontal="right"/>
    </xf>
    <xf numFmtId="168" fontId="2" fillId="0" borderId="3" xfId="0" applyNumberFormat="1" applyFont="1" applyBorder="1" applyAlignment="1">
      <alignment horizontal="right"/>
    </xf>
    <xf numFmtId="168" fontId="2" fillId="0" borderId="0" xfId="0" applyNumberFormat="1" applyFont="1" applyBorder="1" applyAlignment="1">
      <alignment horizontal="right"/>
    </xf>
    <xf numFmtId="3" fontId="2" fillId="0" borderId="3" xfId="0" applyNumberFormat="1" applyFont="1" applyBorder="1" applyAlignment="1">
      <alignment horizontal="center"/>
    </xf>
    <xf numFmtId="3" fontId="2" fillId="0" borderId="0" xfId="0" applyNumberFormat="1" applyFont="1" applyBorder="1" applyAlignment="1">
      <alignment horizontal="center"/>
    </xf>
    <xf numFmtId="0" fontId="3" fillId="0" borderId="0" xfId="0" quotePrefix="1" applyFont="1" applyFill="1" applyBorder="1" applyAlignment="1">
      <alignment horizontal="center"/>
    </xf>
    <xf numFmtId="165" fontId="2" fillId="0" borderId="2" xfId="0" applyNumberFormat="1" applyFont="1" applyBorder="1" applyAlignment="1"/>
    <xf numFmtId="168" fontId="2" fillId="0" borderId="2" xfId="0" applyNumberFormat="1" applyFont="1" applyBorder="1" applyAlignment="1"/>
    <xf numFmtId="0" fontId="0" fillId="0" borderId="0" xfId="0" applyAlignment="1"/>
    <xf numFmtId="165" fontId="2" fillId="0" borderId="3" xfId="0" applyNumberFormat="1" applyFont="1" applyBorder="1" applyAlignment="1"/>
    <xf numFmtId="168" fontId="2" fillId="0" borderId="3" xfId="0" applyNumberFormat="1" applyFont="1" applyBorder="1" applyAlignment="1"/>
    <xf numFmtId="168" fontId="2" fillId="0" borderId="0" xfId="0" applyNumberFormat="1" applyFont="1" applyBorder="1" applyAlignment="1"/>
    <xf numFmtId="166" fontId="2" fillId="0" borderId="2" xfId="0" applyNumberFormat="1" applyFont="1" applyBorder="1" applyAlignment="1"/>
    <xf numFmtId="166" fontId="2" fillId="0" borderId="3" xfId="0" applyNumberFormat="1" applyFont="1" applyBorder="1" applyAlignment="1"/>
    <xf numFmtId="168" fontId="18" fillId="3" borderId="2" xfId="0" applyNumberFormat="1" applyFont="1" applyFill="1" applyBorder="1" applyAlignment="1">
      <alignment horizontal="right"/>
    </xf>
    <xf numFmtId="168" fontId="18" fillId="3" borderId="2" xfId="0" applyNumberFormat="1" applyFont="1" applyFill="1" applyBorder="1" applyAlignment="1"/>
    <xf numFmtId="0" fontId="5" fillId="0" borderId="0" xfId="0" applyFont="1" applyAlignment="1"/>
    <xf numFmtId="3" fontId="2" fillId="0" borderId="2" xfId="0" applyNumberFormat="1" applyFont="1" applyBorder="1" applyAlignment="1">
      <alignment horizontal="center"/>
    </xf>
    <xf numFmtId="0" fontId="0" fillId="0" borderId="2" xfId="0" applyBorder="1"/>
    <xf numFmtId="9" fontId="2" fillId="0" borderId="3" xfId="0" applyNumberFormat="1" applyFont="1" applyBorder="1" applyAlignment="1">
      <alignment horizontal="center"/>
    </xf>
    <xf numFmtId="165" fontId="15" fillId="0" borderId="0" xfId="0" quotePrefix="1" applyNumberFormat="1" applyFont="1"/>
    <xf numFmtId="166" fontId="13" fillId="0" borderId="0" xfId="0" applyNumberFormat="1" applyFont="1"/>
    <xf numFmtId="168" fontId="7" fillId="4" borderId="0" xfId="1" applyNumberFormat="1" applyFont="1" applyFill="1"/>
    <xf numFmtId="168" fontId="2" fillId="4" borderId="0" xfId="0" applyNumberFormat="1" applyFont="1" applyFill="1"/>
    <xf numFmtId="14" fontId="7" fillId="0" borderId="1" xfId="2" applyNumberFormat="1" applyFont="1" applyBorder="1"/>
    <xf numFmtId="168" fontId="2" fillId="0" borderId="1" xfId="0" applyNumberFormat="1" applyFont="1" applyBorder="1"/>
    <xf numFmtId="0" fontId="0" fillId="0" borderId="1" xfId="0" applyBorder="1"/>
    <xf numFmtId="14" fontId="0" fillId="0" borderId="0" xfId="0" applyNumberFormat="1"/>
    <xf numFmtId="14" fontId="0" fillId="0" borderId="0" xfId="0" applyNumberFormat="1" applyAlignment="1">
      <alignment horizontal="left"/>
    </xf>
    <xf numFmtId="170" fontId="19" fillId="0" borderId="0" xfId="0" applyNumberFormat="1" applyFont="1"/>
    <xf numFmtId="14" fontId="0" fillId="0" borderId="0" xfId="0" applyNumberFormat="1"/>
    <xf numFmtId="14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3" fontId="6" fillId="0" borderId="0" xfId="0" applyNumberFormat="1" applyFont="1" applyBorder="1"/>
    <xf numFmtId="3" fontId="0" fillId="0" borderId="0" xfId="0" applyNumberFormat="1" applyFill="1"/>
    <xf numFmtId="171" fontId="10" fillId="0" borderId="5" xfId="0" quotePrefix="1" applyNumberFormat="1" applyFont="1" applyBorder="1"/>
    <xf numFmtId="171" fontId="10" fillId="0" borderId="7" xfId="0" quotePrefix="1" applyNumberFormat="1" applyFont="1" applyBorder="1"/>
    <xf numFmtId="171" fontId="10" fillId="0" borderId="8" xfId="0" quotePrefix="1" applyNumberFormat="1" applyFont="1" applyBorder="1"/>
    <xf numFmtId="171" fontId="0" fillId="0" borderId="0" xfId="0" applyNumberFormat="1"/>
    <xf numFmtId="171" fontId="10" fillId="0" borderId="6" xfId="3" quotePrefix="1" applyNumberFormat="1" applyFont="1" applyBorder="1"/>
    <xf numFmtId="171" fontId="10" fillId="0" borderId="7" xfId="3" applyNumberFormat="1" applyFont="1" applyBorder="1"/>
    <xf numFmtId="0" fontId="21" fillId="6" borderId="0" xfId="0" applyFont="1" applyFill="1"/>
    <xf numFmtId="49" fontId="22" fillId="0" borderId="0" xfId="5" applyNumberFormat="1"/>
    <xf numFmtId="49" fontId="0" fillId="0" borderId="0" xfId="0" applyNumberFormat="1"/>
    <xf numFmtId="0" fontId="23" fillId="0" borderId="0" xfId="0" applyFont="1" applyAlignment="1">
      <alignment horizontal="center"/>
    </xf>
    <xf numFmtId="0" fontId="22" fillId="0" borderId="0" xfId="5"/>
    <xf numFmtId="0" fontId="0" fillId="4" borderId="0" xfId="0" applyFill="1"/>
    <xf numFmtId="3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14" fontId="20" fillId="5" borderId="0" xfId="0" applyNumberFormat="1" applyFont="1" applyFill="1" applyAlignment="1">
      <alignment horizontal="center"/>
    </xf>
    <xf numFmtId="9" fontId="16" fillId="0" borderId="0" xfId="0" applyNumberFormat="1" applyFont="1" applyAlignment="1">
      <alignment horizontal="center" vertical="distributed"/>
    </xf>
    <xf numFmtId="9" fontId="1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</cellXfs>
  <cellStyles count="6">
    <cellStyle name="Hyperlink" xfId="5" builtinId="8"/>
    <cellStyle name="Migliaia 2 2" xfId="4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e 2" xfId="3" xr:uid="{00000000-0005-0000-0000-000004000000}"/>
  </cellStyles>
  <dxfs count="42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7F793"/>
      <color rgb="FFFFDC6D"/>
      <color rgb="FFFFD5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4</xdr:row>
      <xdr:rowOff>6350</xdr:rowOff>
    </xdr:from>
    <xdr:to>
      <xdr:col>2</xdr:col>
      <xdr:colOff>0</xdr:colOff>
      <xdr:row>6</xdr:row>
      <xdr:rowOff>0</xdr:rowOff>
    </xdr:to>
    <xdr:sp macro="[0]!calcSheet1" textlink="">
      <xdr:nvSpPr>
        <xdr:cNvPr id="2" name="Rectangle 1">
          <a:extLst>
            <a:ext uri="{FF2B5EF4-FFF2-40B4-BE49-F238E27FC236}">
              <a16:creationId xmlns:a16="http://schemas.microsoft.com/office/drawing/2014/main" id="{1276C92D-B19F-403D-9A03-7465ECBCBED4}"/>
            </a:ext>
          </a:extLst>
        </xdr:cNvPr>
        <xdr:cNvSpPr/>
      </xdr:nvSpPr>
      <xdr:spPr>
        <a:xfrm>
          <a:off x="6350" y="742950"/>
          <a:ext cx="12128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Cells Calculation</a:t>
          </a:r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1</xdr:col>
      <xdr:colOff>603250</xdr:colOff>
      <xdr:row>12</xdr:row>
      <xdr:rowOff>177800</xdr:rowOff>
    </xdr:to>
    <xdr:sp macro="[0]!CopyRangeToPNG" textlink="">
      <xdr:nvSpPr>
        <xdr:cNvPr id="3" name="Rectangle 2">
          <a:extLst>
            <a:ext uri="{FF2B5EF4-FFF2-40B4-BE49-F238E27FC236}">
              <a16:creationId xmlns:a16="http://schemas.microsoft.com/office/drawing/2014/main" id="{C9FC1663-D4DD-46EB-AD85-EB943EF8005A}"/>
            </a:ext>
          </a:extLst>
        </xdr:cNvPr>
        <xdr:cNvSpPr/>
      </xdr:nvSpPr>
      <xdr:spPr>
        <a:xfrm>
          <a:off x="0" y="2025650"/>
          <a:ext cx="12128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PNG</a:t>
          </a:r>
          <a:r>
            <a:rPr lang="en-US" sz="1100" baseline="0"/>
            <a:t> Creation</a:t>
          </a:r>
          <a:endParaRPr lang="en-US" sz="1100"/>
        </a:p>
      </xdr:txBody>
    </xdr:sp>
    <xdr:clientData/>
  </xdr:twoCellAnchor>
  <xdr:twoCellAnchor>
    <xdr:from>
      <xdr:col>0</xdr:col>
      <xdr:colOff>12700</xdr:colOff>
      <xdr:row>26</xdr:row>
      <xdr:rowOff>6350</xdr:rowOff>
    </xdr:from>
    <xdr:to>
      <xdr:col>2</xdr:col>
      <xdr:colOff>6350</xdr:colOff>
      <xdr:row>28</xdr:row>
      <xdr:rowOff>177800</xdr:rowOff>
    </xdr:to>
    <xdr:sp macro="[0]!MySendMailViaGmail" textlink="">
      <xdr:nvSpPr>
        <xdr:cNvPr id="4" name="Rectangle 3">
          <a:extLst>
            <a:ext uri="{FF2B5EF4-FFF2-40B4-BE49-F238E27FC236}">
              <a16:creationId xmlns:a16="http://schemas.microsoft.com/office/drawing/2014/main" id="{8237EFA5-8767-421B-9D87-FF8236908754}"/>
            </a:ext>
          </a:extLst>
        </xdr:cNvPr>
        <xdr:cNvSpPr/>
      </xdr:nvSpPr>
      <xdr:spPr>
        <a:xfrm>
          <a:off x="12700" y="4794250"/>
          <a:ext cx="1212850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Send an Email via Gmail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</xdr:colOff>
      <xdr:row>148</xdr:row>
      <xdr:rowOff>53854</xdr:rowOff>
    </xdr:from>
    <xdr:to>
      <xdr:col>4</xdr:col>
      <xdr:colOff>275272</xdr:colOff>
      <xdr:row>150</xdr:row>
      <xdr:rowOff>0</xdr:rowOff>
    </xdr:to>
    <xdr:sp macro="" textlink="">
      <xdr:nvSpPr>
        <xdr:cNvPr id="2" name="CON_OTHER_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077" y="16417804"/>
          <a:ext cx="226695" cy="31444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48577</xdr:colOff>
      <xdr:row>148</xdr:row>
      <xdr:rowOff>39277</xdr:rowOff>
    </xdr:from>
    <xdr:to>
      <xdr:col>5</xdr:col>
      <xdr:colOff>275272</xdr:colOff>
      <xdr:row>150</xdr:row>
      <xdr:rowOff>0</xdr:rowOff>
    </xdr:to>
    <xdr:sp macro="" textlink="">
      <xdr:nvSpPr>
        <xdr:cNvPr id="3" name="CON_OTHER_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86927" y="16403227"/>
          <a:ext cx="226695" cy="329023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48578</xdr:colOff>
      <xdr:row>148</xdr:row>
      <xdr:rowOff>74785</xdr:rowOff>
    </xdr:from>
    <xdr:to>
      <xdr:col>18</xdr:col>
      <xdr:colOff>275273</xdr:colOff>
      <xdr:row>150</xdr:row>
      <xdr:rowOff>1</xdr:rowOff>
    </xdr:to>
    <xdr:sp macro="" textlink="">
      <xdr:nvSpPr>
        <xdr:cNvPr id="4" name="CON_OTHER_1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96978" y="16438735"/>
          <a:ext cx="226695" cy="293516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48578</xdr:colOff>
      <xdr:row>150</xdr:row>
      <xdr:rowOff>0</xdr:rowOff>
    </xdr:from>
    <xdr:to>
      <xdr:col>15</xdr:col>
      <xdr:colOff>275273</xdr:colOff>
      <xdr:row>150</xdr:row>
      <xdr:rowOff>0</xdr:rowOff>
    </xdr:to>
    <xdr:sp macro="" textlink="">
      <xdr:nvSpPr>
        <xdr:cNvPr id="5" name="CON_OTHER_1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325428" y="1673225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48578</xdr:colOff>
      <xdr:row>82</xdr:row>
      <xdr:rowOff>0</xdr:rowOff>
    </xdr:from>
    <xdr:to>
      <xdr:col>14</xdr:col>
      <xdr:colOff>275273</xdr:colOff>
      <xdr:row>82</xdr:row>
      <xdr:rowOff>0</xdr:rowOff>
    </xdr:to>
    <xdr:sp macro="" textlink="">
      <xdr:nvSpPr>
        <xdr:cNvPr id="6" name="CON_IND_1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01578" y="9734550"/>
          <a:ext cx="226695" cy="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48578</xdr:colOff>
      <xdr:row>148</xdr:row>
      <xdr:rowOff>122509</xdr:rowOff>
    </xdr:from>
    <xdr:to>
      <xdr:col>16</xdr:col>
      <xdr:colOff>275273</xdr:colOff>
      <xdr:row>150</xdr:row>
      <xdr:rowOff>0</xdr:rowOff>
    </xdr:to>
    <xdr:sp macro="" textlink="">
      <xdr:nvSpPr>
        <xdr:cNvPr id="7" name="CON_OTHER_1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649278" y="16486459"/>
          <a:ext cx="226695" cy="245791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48578</xdr:colOff>
      <xdr:row>148</xdr:row>
      <xdr:rowOff>66117</xdr:rowOff>
    </xdr:from>
    <xdr:to>
      <xdr:col>19</xdr:col>
      <xdr:colOff>275273</xdr:colOff>
      <xdr:row>150</xdr:row>
      <xdr:rowOff>0</xdr:rowOff>
    </xdr:to>
    <xdr:sp macro="" textlink="">
      <xdr:nvSpPr>
        <xdr:cNvPr id="8" name="CON_OTHER_1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20828" y="16430067"/>
          <a:ext cx="226695" cy="302183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48578</xdr:colOff>
      <xdr:row>148</xdr:row>
      <xdr:rowOff>41644</xdr:rowOff>
    </xdr:from>
    <xdr:to>
      <xdr:col>11</xdr:col>
      <xdr:colOff>275273</xdr:colOff>
      <xdr:row>150</xdr:row>
      <xdr:rowOff>0</xdr:rowOff>
    </xdr:to>
    <xdr:sp macro="" textlink="">
      <xdr:nvSpPr>
        <xdr:cNvPr id="9" name="CON_OTHER_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030028" y="16405594"/>
          <a:ext cx="226695" cy="3266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48578</xdr:colOff>
      <xdr:row>150</xdr:row>
      <xdr:rowOff>0</xdr:rowOff>
    </xdr:from>
    <xdr:to>
      <xdr:col>12</xdr:col>
      <xdr:colOff>275273</xdr:colOff>
      <xdr:row>150</xdr:row>
      <xdr:rowOff>0</xdr:rowOff>
    </xdr:to>
    <xdr:sp macro="" textlink="">
      <xdr:nvSpPr>
        <xdr:cNvPr id="10" name="CON_OTHER_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53878" y="1673225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48577</xdr:colOff>
      <xdr:row>148</xdr:row>
      <xdr:rowOff>92568</xdr:rowOff>
    </xdr:from>
    <xdr:to>
      <xdr:col>7</xdr:col>
      <xdr:colOff>275272</xdr:colOff>
      <xdr:row>150</xdr:row>
      <xdr:rowOff>0</xdr:rowOff>
    </xdr:to>
    <xdr:sp macro="" textlink="">
      <xdr:nvSpPr>
        <xdr:cNvPr id="11" name="CON_OTHER_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734627" y="16456518"/>
          <a:ext cx="226695" cy="27573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48577</xdr:colOff>
      <xdr:row>148</xdr:row>
      <xdr:rowOff>117184</xdr:rowOff>
    </xdr:from>
    <xdr:to>
      <xdr:col>8</xdr:col>
      <xdr:colOff>275272</xdr:colOff>
      <xdr:row>150</xdr:row>
      <xdr:rowOff>1</xdr:rowOff>
    </xdr:to>
    <xdr:sp macro="" textlink="">
      <xdr:nvSpPr>
        <xdr:cNvPr id="12" name="CON_OTHER_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058477" y="16481134"/>
          <a:ext cx="226695" cy="251117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48578</xdr:colOff>
      <xdr:row>148</xdr:row>
      <xdr:rowOff>47549</xdr:rowOff>
    </xdr:from>
    <xdr:to>
      <xdr:col>9</xdr:col>
      <xdr:colOff>275273</xdr:colOff>
      <xdr:row>150</xdr:row>
      <xdr:rowOff>0</xdr:rowOff>
    </xdr:to>
    <xdr:sp macro="" textlink="">
      <xdr:nvSpPr>
        <xdr:cNvPr id="13" name="CON_OTHER_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382328" y="16411499"/>
          <a:ext cx="226695" cy="32075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48578</xdr:colOff>
      <xdr:row>148</xdr:row>
      <xdr:rowOff>36491</xdr:rowOff>
    </xdr:from>
    <xdr:to>
      <xdr:col>10</xdr:col>
      <xdr:colOff>275273</xdr:colOff>
      <xdr:row>150</xdr:row>
      <xdr:rowOff>0</xdr:rowOff>
    </xdr:to>
    <xdr:sp macro="" textlink="">
      <xdr:nvSpPr>
        <xdr:cNvPr id="14" name="CON_OTHER_7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706178" y="16400441"/>
          <a:ext cx="226695" cy="33180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48578</xdr:colOff>
      <xdr:row>150</xdr:row>
      <xdr:rowOff>0</xdr:rowOff>
    </xdr:from>
    <xdr:to>
      <xdr:col>13</xdr:col>
      <xdr:colOff>275273</xdr:colOff>
      <xdr:row>150</xdr:row>
      <xdr:rowOff>0</xdr:rowOff>
    </xdr:to>
    <xdr:sp macro="" textlink="">
      <xdr:nvSpPr>
        <xdr:cNvPr id="15" name="CON_OTHER_10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77728" y="1673225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48577</xdr:colOff>
      <xdr:row>148</xdr:row>
      <xdr:rowOff>41269</xdr:rowOff>
    </xdr:from>
    <xdr:to>
      <xdr:col>6</xdr:col>
      <xdr:colOff>275272</xdr:colOff>
      <xdr:row>149</xdr:row>
      <xdr:rowOff>184149</xdr:rowOff>
    </xdr:to>
    <xdr:sp macro="" textlink="">
      <xdr:nvSpPr>
        <xdr:cNvPr id="16" name="CON_OTHER_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410777" y="16405219"/>
          <a:ext cx="226695" cy="32703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48578</xdr:colOff>
      <xdr:row>148</xdr:row>
      <xdr:rowOff>142215</xdr:rowOff>
    </xdr:from>
    <xdr:to>
      <xdr:col>17</xdr:col>
      <xdr:colOff>275273</xdr:colOff>
      <xdr:row>150</xdr:row>
      <xdr:rowOff>0</xdr:rowOff>
    </xdr:to>
    <xdr:sp macro="" textlink="">
      <xdr:nvSpPr>
        <xdr:cNvPr id="17" name="CON_OTHER_14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973128" y="16506165"/>
          <a:ext cx="226695" cy="226085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48578</xdr:colOff>
      <xdr:row>147</xdr:row>
      <xdr:rowOff>136595</xdr:rowOff>
    </xdr:from>
    <xdr:to>
      <xdr:col>20</xdr:col>
      <xdr:colOff>275273</xdr:colOff>
      <xdr:row>150</xdr:row>
      <xdr:rowOff>1</xdr:rowOff>
    </xdr:to>
    <xdr:sp macro="" textlink="">
      <xdr:nvSpPr>
        <xdr:cNvPr id="19" name="CON_OTHER_17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6944678" y="16316395"/>
          <a:ext cx="226695" cy="415856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48578</xdr:colOff>
      <xdr:row>148</xdr:row>
      <xdr:rowOff>144329</xdr:rowOff>
    </xdr:from>
    <xdr:to>
      <xdr:col>21</xdr:col>
      <xdr:colOff>275273</xdr:colOff>
      <xdr:row>149</xdr:row>
      <xdr:rowOff>184149</xdr:rowOff>
    </xdr:to>
    <xdr:sp macro="" textlink="">
      <xdr:nvSpPr>
        <xdr:cNvPr id="20" name="CON_OTHER_1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268528" y="16508279"/>
          <a:ext cx="226695" cy="22397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48578</xdr:colOff>
      <xdr:row>148</xdr:row>
      <xdr:rowOff>159973</xdr:rowOff>
    </xdr:from>
    <xdr:to>
      <xdr:col>22</xdr:col>
      <xdr:colOff>275273</xdr:colOff>
      <xdr:row>150</xdr:row>
      <xdr:rowOff>0</xdr:rowOff>
    </xdr:to>
    <xdr:sp macro="" textlink="">
      <xdr:nvSpPr>
        <xdr:cNvPr id="21" name="CON_OTHER_19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7592378" y="16523923"/>
          <a:ext cx="226695" cy="208327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48578</xdr:colOff>
      <xdr:row>148</xdr:row>
      <xdr:rowOff>77033</xdr:rowOff>
    </xdr:from>
    <xdr:to>
      <xdr:col>23</xdr:col>
      <xdr:colOff>275273</xdr:colOff>
      <xdr:row>150</xdr:row>
      <xdr:rowOff>0</xdr:rowOff>
    </xdr:to>
    <xdr:sp macro="" textlink="">
      <xdr:nvSpPr>
        <xdr:cNvPr id="22" name="CON_OTHER_20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16228" y="16440983"/>
          <a:ext cx="226695" cy="291267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48578</xdr:colOff>
      <xdr:row>148</xdr:row>
      <xdr:rowOff>105845</xdr:rowOff>
    </xdr:from>
    <xdr:to>
      <xdr:col>24</xdr:col>
      <xdr:colOff>275273</xdr:colOff>
      <xdr:row>150</xdr:row>
      <xdr:rowOff>0</xdr:rowOff>
    </xdr:to>
    <xdr:sp macro="" textlink="">
      <xdr:nvSpPr>
        <xdr:cNvPr id="23" name="CON_OTHER_2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8240078" y="16469795"/>
          <a:ext cx="226695" cy="26245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48578</xdr:colOff>
      <xdr:row>148</xdr:row>
      <xdr:rowOff>107330</xdr:rowOff>
    </xdr:from>
    <xdr:to>
      <xdr:col>25</xdr:col>
      <xdr:colOff>275273</xdr:colOff>
      <xdr:row>150</xdr:row>
      <xdr:rowOff>1</xdr:rowOff>
    </xdr:to>
    <xdr:sp macro="" textlink="">
      <xdr:nvSpPr>
        <xdr:cNvPr id="24" name="CON_OTHER_2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563928" y="16471280"/>
          <a:ext cx="226695" cy="260971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48577</xdr:colOff>
      <xdr:row>164</xdr:row>
      <xdr:rowOff>158291</xdr:rowOff>
    </xdr:from>
    <xdr:to>
      <xdr:col>5</xdr:col>
      <xdr:colOff>275272</xdr:colOff>
      <xdr:row>170</xdr:row>
      <xdr:rowOff>184149</xdr:rowOff>
    </xdr:to>
    <xdr:sp macro="" textlink="">
      <xdr:nvSpPr>
        <xdr:cNvPr id="52" name="IMP_AU_2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2086927" y="19468641"/>
          <a:ext cx="226695" cy="1130758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18</xdr:col>
      <xdr:colOff>48578</xdr:colOff>
      <xdr:row>165</xdr:row>
      <xdr:rowOff>80037</xdr:rowOff>
    </xdr:from>
    <xdr:to>
      <xdr:col>18</xdr:col>
      <xdr:colOff>275273</xdr:colOff>
      <xdr:row>171</xdr:row>
      <xdr:rowOff>0</xdr:rowOff>
    </xdr:to>
    <xdr:sp macro="" textlink="">
      <xdr:nvSpPr>
        <xdr:cNvPr id="53" name="IMP_AU_1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6296978" y="19574537"/>
          <a:ext cx="226695" cy="1024863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48578</xdr:colOff>
      <xdr:row>171</xdr:row>
      <xdr:rowOff>0</xdr:rowOff>
    </xdr:from>
    <xdr:to>
      <xdr:col>15</xdr:col>
      <xdr:colOff>275273</xdr:colOff>
      <xdr:row>171</xdr:row>
      <xdr:rowOff>0</xdr:rowOff>
    </xdr:to>
    <xdr:sp macro="" textlink="">
      <xdr:nvSpPr>
        <xdr:cNvPr id="54" name="IMP_AU_12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5325428" y="2059940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14</xdr:col>
      <xdr:colOff>48578</xdr:colOff>
      <xdr:row>171</xdr:row>
      <xdr:rowOff>0</xdr:rowOff>
    </xdr:from>
    <xdr:to>
      <xdr:col>14</xdr:col>
      <xdr:colOff>275273</xdr:colOff>
      <xdr:row>171</xdr:row>
      <xdr:rowOff>0</xdr:rowOff>
    </xdr:to>
    <xdr:sp macro="" textlink="">
      <xdr:nvSpPr>
        <xdr:cNvPr id="55" name="IMP_AU_1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001578" y="2059940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48578</xdr:colOff>
      <xdr:row>165</xdr:row>
      <xdr:rowOff>110792</xdr:rowOff>
    </xdr:from>
    <xdr:to>
      <xdr:col>16</xdr:col>
      <xdr:colOff>275273</xdr:colOff>
      <xdr:row>171</xdr:row>
      <xdr:rowOff>0</xdr:rowOff>
    </xdr:to>
    <xdr:sp macro="" textlink="">
      <xdr:nvSpPr>
        <xdr:cNvPr id="56" name="IMP_AU_13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5649278" y="19605292"/>
          <a:ext cx="226695" cy="994108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19</xdr:col>
      <xdr:colOff>48578</xdr:colOff>
      <xdr:row>165</xdr:row>
      <xdr:rowOff>61488</xdr:rowOff>
    </xdr:from>
    <xdr:to>
      <xdr:col>19</xdr:col>
      <xdr:colOff>275273</xdr:colOff>
      <xdr:row>171</xdr:row>
      <xdr:rowOff>1</xdr:rowOff>
    </xdr:to>
    <xdr:sp macro="" textlink="">
      <xdr:nvSpPr>
        <xdr:cNvPr id="57" name="IMP_AU_1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6620828" y="19555988"/>
          <a:ext cx="226695" cy="1043413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11</xdr:col>
      <xdr:colOff>48578</xdr:colOff>
      <xdr:row>164</xdr:row>
      <xdr:rowOff>162789</xdr:rowOff>
    </xdr:from>
    <xdr:to>
      <xdr:col>11</xdr:col>
      <xdr:colOff>275273</xdr:colOff>
      <xdr:row>171</xdr:row>
      <xdr:rowOff>1</xdr:rowOff>
    </xdr:to>
    <xdr:sp macro="" textlink="">
      <xdr:nvSpPr>
        <xdr:cNvPr id="58" name="IMP_AU_8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4030028" y="19473139"/>
          <a:ext cx="226695" cy="1126262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12</xdr:col>
      <xdr:colOff>48578</xdr:colOff>
      <xdr:row>171</xdr:row>
      <xdr:rowOff>0</xdr:rowOff>
    </xdr:from>
    <xdr:to>
      <xdr:col>12</xdr:col>
      <xdr:colOff>275273</xdr:colOff>
      <xdr:row>171</xdr:row>
      <xdr:rowOff>0</xdr:rowOff>
    </xdr:to>
    <xdr:sp macro="" textlink="">
      <xdr:nvSpPr>
        <xdr:cNvPr id="59" name="IMP_AU_9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353878" y="20599400"/>
          <a:ext cx="226695" cy="0"/>
        </a:xfrm>
        <a:prstGeom prst="rect">
          <a:avLst/>
        </a:prstGeom>
        <a:solidFill>
          <a:schemeClr val="accent6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48577</xdr:colOff>
      <xdr:row>164</xdr:row>
      <xdr:rowOff>179885</xdr:rowOff>
    </xdr:from>
    <xdr:to>
      <xdr:col>7</xdr:col>
      <xdr:colOff>275272</xdr:colOff>
      <xdr:row>170</xdr:row>
      <xdr:rowOff>184149</xdr:rowOff>
    </xdr:to>
    <xdr:sp macro="" textlink="">
      <xdr:nvSpPr>
        <xdr:cNvPr id="60" name="IMP_AU_4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734627" y="19490235"/>
          <a:ext cx="226695" cy="1109164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8</xdr:col>
      <xdr:colOff>48577</xdr:colOff>
      <xdr:row>164</xdr:row>
      <xdr:rowOff>178687</xdr:rowOff>
    </xdr:from>
    <xdr:to>
      <xdr:col>8</xdr:col>
      <xdr:colOff>275272</xdr:colOff>
      <xdr:row>171</xdr:row>
      <xdr:rowOff>0</xdr:rowOff>
    </xdr:to>
    <xdr:sp macro="" textlink="">
      <xdr:nvSpPr>
        <xdr:cNvPr id="61" name="IMP_AU_5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3058477" y="19489037"/>
          <a:ext cx="226695" cy="1110363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9</xdr:col>
      <xdr:colOff>48578</xdr:colOff>
      <xdr:row>164</xdr:row>
      <xdr:rowOff>170763</xdr:rowOff>
    </xdr:from>
    <xdr:to>
      <xdr:col>9</xdr:col>
      <xdr:colOff>275273</xdr:colOff>
      <xdr:row>171</xdr:row>
      <xdr:rowOff>0</xdr:rowOff>
    </xdr:to>
    <xdr:sp macro="" textlink="">
      <xdr:nvSpPr>
        <xdr:cNvPr id="62" name="IMP_AU_6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3382328" y="19481113"/>
          <a:ext cx="226695" cy="1118287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10</xdr:col>
      <xdr:colOff>48578</xdr:colOff>
      <xdr:row>164</xdr:row>
      <xdr:rowOff>160851</xdr:rowOff>
    </xdr:from>
    <xdr:to>
      <xdr:col>10</xdr:col>
      <xdr:colOff>275273</xdr:colOff>
      <xdr:row>171</xdr:row>
      <xdr:rowOff>1</xdr:rowOff>
    </xdr:to>
    <xdr:sp macro="" textlink="">
      <xdr:nvSpPr>
        <xdr:cNvPr id="63" name="IMP_AU_7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3706178" y="19471201"/>
          <a:ext cx="226695" cy="112820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48578</xdr:colOff>
      <xdr:row>171</xdr:row>
      <xdr:rowOff>0</xdr:rowOff>
    </xdr:from>
    <xdr:to>
      <xdr:col>13</xdr:col>
      <xdr:colOff>275273</xdr:colOff>
      <xdr:row>171</xdr:row>
      <xdr:rowOff>0</xdr:rowOff>
    </xdr:to>
    <xdr:sp macro="" textlink="">
      <xdr:nvSpPr>
        <xdr:cNvPr id="64" name="IMP_AU_10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4677728" y="2059940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6</xdr:col>
      <xdr:colOff>48577</xdr:colOff>
      <xdr:row>164</xdr:row>
      <xdr:rowOff>157045</xdr:rowOff>
    </xdr:from>
    <xdr:to>
      <xdr:col>6</xdr:col>
      <xdr:colOff>275272</xdr:colOff>
      <xdr:row>171</xdr:row>
      <xdr:rowOff>0</xdr:rowOff>
    </xdr:to>
    <xdr:sp macro="" textlink="">
      <xdr:nvSpPr>
        <xdr:cNvPr id="65" name="IMP_AU_3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2410777" y="19467395"/>
          <a:ext cx="226695" cy="1132005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17</xdr:col>
      <xdr:colOff>48578</xdr:colOff>
      <xdr:row>165</xdr:row>
      <xdr:rowOff>96647</xdr:rowOff>
    </xdr:from>
    <xdr:to>
      <xdr:col>17</xdr:col>
      <xdr:colOff>275273</xdr:colOff>
      <xdr:row>171</xdr:row>
      <xdr:rowOff>0</xdr:rowOff>
    </xdr:to>
    <xdr:sp macro="" textlink="">
      <xdr:nvSpPr>
        <xdr:cNvPr id="66" name="IMP_AU_1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5973128" y="19591147"/>
          <a:ext cx="226695" cy="1008253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20</xdr:col>
      <xdr:colOff>48578</xdr:colOff>
      <xdr:row>165</xdr:row>
      <xdr:rowOff>7248</xdr:rowOff>
    </xdr:from>
    <xdr:to>
      <xdr:col>20</xdr:col>
      <xdr:colOff>275273</xdr:colOff>
      <xdr:row>171</xdr:row>
      <xdr:rowOff>0</xdr:rowOff>
    </xdr:to>
    <xdr:sp macro="" textlink="">
      <xdr:nvSpPr>
        <xdr:cNvPr id="67" name="IMP_AU_17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6944678" y="19501748"/>
          <a:ext cx="226695" cy="1097652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48578</xdr:colOff>
      <xdr:row>165</xdr:row>
      <xdr:rowOff>108800</xdr:rowOff>
    </xdr:from>
    <xdr:to>
      <xdr:col>21</xdr:col>
      <xdr:colOff>275273</xdr:colOff>
      <xdr:row>171</xdr:row>
      <xdr:rowOff>0</xdr:rowOff>
    </xdr:to>
    <xdr:sp macro="" textlink="">
      <xdr:nvSpPr>
        <xdr:cNvPr id="68" name="IMP_AU_18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7268528" y="19603300"/>
          <a:ext cx="226695" cy="99610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22</xdr:col>
      <xdr:colOff>48578</xdr:colOff>
      <xdr:row>165</xdr:row>
      <xdr:rowOff>145928</xdr:rowOff>
    </xdr:from>
    <xdr:to>
      <xdr:col>22</xdr:col>
      <xdr:colOff>275273</xdr:colOff>
      <xdr:row>171</xdr:row>
      <xdr:rowOff>1</xdr:rowOff>
    </xdr:to>
    <xdr:sp macro="" textlink="">
      <xdr:nvSpPr>
        <xdr:cNvPr id="69" name="IMP_AU_19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7592378" y="19640428"/>
          <a:ext cx="226695" cy="958973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23</xdr:col>
      <xdr:colOff>48578</xdr:colOff>
      <xdr:row>165</xdr:row>
      <xdr:rowOff>66042</xdr:rowOff>
    </xdr:from>
    <xdr:to>
      <xdr:col>23</xdr:col>
      <xdr:colOff>275273</xdr:colOff>
      <xdr:row>171</xdr:row>
      <xdr:rowOff>0</xdr:rowOff>
    </xdr:to>
    <xdr:sp macro="" textlink="">
      <xdr:nvSpPr>
        <xdr:cNvPr id="70" name="IMP_AU_20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7916228" y="19560542"/>
          <a:ext cx="226695" cy="1038858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24</xdr:col>
      <xdr:colOff>47149</xdr:colOff>
      <xdr:row>171</xdr:row>
      <xdr:rowOff>0</xdr:rowOff>
    </xdr:from>
    <xdr:to>
      <xdr:col>24</xdr:col>
      <xdr:colOff>267177</xdr:colOff>
      <xdr:row>171</xdr:row>
      <xdr:rowOff>0</xdr:rowOff>
    </xdr:to>
    <xdr:sp macro="" textlink="">
      <xdr:nvSpPr>
        <xdr:cNvPr id="71" name="Lignite2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7981474" y="228600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25</xdr:col>
      <xdr:colOff>47149</xdr:colOff>
      <xdr:row>171</xdr:row>
      <xdr:rowOff>0</xdr:rowOff>
    </xdr:from>
    <xdr:to>
      <xdr:col>25</xdr:col>
      <xdr:colOff>267177</xdr:colOff>
      <xdr:row>171</xdr:row>
      <xdr:rowOff>0</xdr:rowOff>
    </xdr:to>
    <xdr:sp macro="" textlink="">
      <xdr:nvSpPr>
        <xdr:cNvPr id="72" name="Lignite22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8295799" y="228600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47149</xdr:colOff>
      <xdr:row>171</xdr:row>
      <xdr:rowOff>0</xdr:rowOff>
    </xdr:from>
    <xdr:to>
      <xdr:col>26</xdr:col>
      <xdr:colOff>267177</xdr:colOff>
      <xdr:row>171</xdr:row>
      <xdr:rowOff>0</xdr:rowOff>
    </xdr:to>
    <xdr:sp macro="" textlink="">
      <xdr:nvSpPr>
        <xdr:cNvPr id="73" name="Lignite23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8610124" y="228600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27</xdr:col>
      <xdr:colOff>47149</xdr:colOff>
      <xdr:row>171</xdr:row>
      <xdr:rowOff>0</xdr:rowOff>
    </xdr:from>
    <xdr:to>
      <xdr:col>27</xdr:col>
      <xdr:colOff>267177</xdr:colOff>
      <xdr:row>171</xdr:row>
      <xdr:rowOff>0</xdr:rowOff>
    </xdr:to>
    <xdr:sp macro="" textlink="">
      <xdr:nvSpPr>
        <xdr:cNvPr id="74" name="Lignite24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8924449" y="228600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48578</xdr:colOff>
      <xdr:row>148</xdr:row>
      <xdr:rowOff>109612</xdr:rowOff>
    </xdr:from>
    <xdr:to>
      <xdr:col>26</xdr:col>
      <xdr:colOff>275273</xdr:colOff>
      <xdr:row>150</xdr:row>
      <xdr:rowOff>0</xdr:rowOff>
    </xdr:to>
    <xdr:sp macro="" textlink="">
      <xdr:nvSpPr>
        <xdr:cNvPr id="75" name="CON_OTHER_23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8887778" y="16473562"/>
          <a:ext cx="226695" cy="258688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48578</xdr:colOff>
      <xdr:row>148</xdr:row>
      <xdr:rowOff>105980</xdr:rowOff>
    </xdr:from>
    <xdr:to>
      <xdr:col>27</xdr:col>
      <xdr:colOff>275273</xdr:colOff>
      <xdr:row>150</xdr:row>
      <xdr:rowOff>0</xdr:rowOff>
    </xdr:to>
    <xdr:sp macro="" textlink="">
      <xdr:nvSpPr>
        <xdr:cNvPr id="76" name="CON_OTHER_24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9211628" y="16469930"/>
          <a:ext cx="226695" cy="26232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48577</xdr:colOff>
      <xdr:row>184</xdr:row>
      <xdr:rowOff>161258</xdr:rowOff>
    </xdr:from>
    <xdr:to>
      <xdr:col>4</xdr:col>
      <xdr:colOff>275272</xdr:colOff>
      <xdr:row>188</xdr:row>
      <xdr:rowOff>0</xdr:rowOff>
    </xdr:to>
    <xdr:sp macro="" textlink="">
      <xdr:nvSpPr>
        <xdr:cNvPr id="101" name="IMP_CH_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>
          <a:off x="1763077" y="23154608"/>
          <a:ext cx="226695" cy="575342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5</xdr:col>
      <xdr:colOff>48577</xdr:colOff>
      <xdr:row>184</xdr:row>
      <xdr:rowOff>111429</xdr:rowOff>
    </xdr:from>
    <xdr:to>
      <xdr:col>5</xdr:col>
      <xdr:colOff>275272</xdr:colOff>
      <xdr:row>188</xdr:row>
      <xdr:rowOff>0</xdr:rowOff>
    </xdr:to>
    <xdr:sp macro="" textlink="">
      <xdr:nvSpPr>
        <xdr:cNvPr id="102" name="IMP_CH_2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86927" y="23104779"/>
          <a:ext cx="226695" cy="625171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18</xdr:col>
      <xdr:colOff>48578</xdr:colOff>
      <xdr:row>187</xdr:row>
      <xdr:rowOff>35926</xdr:rowOff>
    </xdr:from>
    <xdr:to>
      <xdr:col>18</xdr:col>
      <xdr:colOff>275273</xdr:colOff>
      <xdr:row>188</xdr:row>
      <xdr:rowOff>0</xdr:rowOff>
    </xdr:to>
    <xdr:sp macro="" textlink="">
      <xdr:nvSpPr>
        <xdr:cNvPr id="103" name="IMP_CH_15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6296978" y="23581726"/>
          <a:ext cx="226695" cy="148224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48578</xdr:colOff>
      <xdr:row>188</xdr:row>
      <xdr:rowOff>0</xdr:rowOff>
    </xdr:from>
    <xdr:to>
      <xdr:col>15</xdr:col>
      <xdr:colOff>275273</xdr:colOff>
      <xdr:row>188</xdr:row>
      <xdr:rowOff>0</xdr:rowOff>
    </xdr:to>
    <xdr:sp macro="" textlink="">
      <xdr:nvSpPr>
        <xdr:cNvPr id="104" name="IMP_CH_12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5325428" y="2372995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14</xdr:col>
      <xdr:colOff>48578</xdr:colOff>
      <xdr:row>188</xdr:row>
      <xdr:rowOff>0</xdr:rowOff>
    </xdr:from>
    <xdr:to>
      <xdr:col>14</xdr:col>
      <xdr:colOff>275273</xdr:colOff>
      <xdr:row>188</xdr:row>
      <xdr:rowOff>0</xdr:rowOff>
    </xdr:to>
    <xdr:sp macro="" textlink="">
      <xdr:nvSpPr>
        <xdr:cNvPr id="105" name="IMP_CH_1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>
          <a:off x="5001578" y="2372995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48578</xdr:colOff>
      <xdr:row>186</xdr:row>
      <xdr:rowOff>77343</xdr:rowOff>
    </xdr:from>
    <xdr:to>
      <xdr:col>16</xdr:col>
      <xdr:colOff>275273</xdr:colOff>
      <xdr:row>188</xdr:row>
      <xdr:rowOff>0</xdr:rowOff>
    </xdr:to>
    <xdr:sp macro="" textlink="">
      <xdr:nvSpPr>
        <xdr:cNvPr id="106" name="IMP_CH_13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>
          <a:off x="5649278" y="23438993"/>
          <a:ext cx="226695" cy="290957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19</xdr:col>
      <xdr:colOff>48578</xdr:colOff>
      <xdr:row>185</xdr:row>
      <xdr:rowOff>88728</xdr:rowOff>
    </xdr:from>
    <xdr:to>
      <xdr:col>19</xdr:col>
      <xdr:colOff>275273</xdr:colOff>
      <xdr:row>188</xdr:row>
      <xdr:rowOff>0</xdr:rowOff>
    </xdr:to>
    <xdr:sp macro="" textlink="">
      <xdr:nvSpPr>
        <xdr:cNvPr id="107" name="IMP_CH_1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>
          <a:off x="6620828" y="23266228"/>
          <a:ext cx="226695" cy="463722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11</xdr:col>
      <xdr:colOff>48578</xdr:colOff>
      <xdr:row>184</xdr:row>
      <xdr:rowOff>138461</xdr:rowOff>
    </xdr:from>
    <xdr:to>
      <xdr:col>11</xdr:col>
      <xdr:colOff>275273</xdr:colOff>
      <xdr:row>187</xdr:row>
      <xdr:rowOff>184149</xdr:rowOff>
    </xdr:to>
    <xdr:sp macro="" textlink="">
      <xdr:nvSpPr>
        <xdr:cNvPr id="108" name="IMP_CH_8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4030028" y="23131811"/>
          <a:ext cx="226695" cy="598138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12</xdr:col>
      <xdr:colOff>48578</xdr:colOff>
      <xdr:row>188</xdr:row>
      <xdr:rowOff>0</xdr:rowOff>
    </xdr:from>
    <xdr:to>
      <xdr:col>12</xdr:col>
      <xdr:colOff>275273</xdr:colOff>
      <xdr:row>188</xdr:row>
      <xdr:rowOff>0</xdr:rowOff>
    </xdr:to>
    <xdr:sp macro="" textlink="">
      <xdr:nvSpPr>
        <xdr:cNvPr id="109" name="IMP_CH_9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>
          <a:off x="4353878" y="23729950"/>
          <a:ext cx="226695" cy="0"/>
        </a:xfrm>
        <a:prstGeom prst="rect">
          <a:avLst/>
        </a:prstGeom>
        <a:solidFill>
          <a:schemeClr val="accent6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48577</xdr:colOff>
      <xdr:row>185</xdr:row>
      <xdr:rowOff>26744</xdr:rowOff>
    </xdr:from>
    <xdr:to>
      <xdr:col>7</xdr:col>
      <xdr:colOff>275272</xdr:colOff>
      <xdr:row>188</xdr:row>
      <xdr:rowOff>0</xdr:rowOff>
    </xdr:to>
    <xdr:sp macro="" textlink="">
      <xdr:nvSpPr>
        <xdr:cNvPr id="110" name="IMP_CH_4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>
          <a:off x="2734627" y="23204244"/>
          <a:ext cx="226695" cy="525706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8</xdr:col>
      <xdr:colOff>48577</xdr:colOff>
      <xdr:row>185</xdr:row>
      <xdr:rowOff>82376</xdr:rowOff>
    </xdr:from>
    <xdr:to>
      <xdr:col>8</xdr:col>
      <xdr:colOff>275272</xdr:colOff>
      <xdr:row>187</xdr:row>
      <xdr:rowOff>184149</xdr:rowOff>
    </xdr:to>
    <xdr:sp macro="" textlink="">
      <xdr:nvSpPr>
        <xdr:cNvPr id="111" name="IMP_CH_5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>
          <a:off x="3058477" y="23259876"/>
          <a:ext cx="226695" cy="470073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9</xdr:col>
      <xdr:colOff>48578</xdr:colOff>
      <xdr:row>184</xdr:row>
      <xdr:rowOff>9545</xdr:rowOff>
    </xdr:from>
    <xdr:to>
      <xdr:col>9</xdr:col>
      <xdr:colOff>275273</xdr:colOff>
      <xdr:row>187</xdr:row>
      <xdr:rowOff>184149</xdr:rowOff>
    </xdr:to>
    <xdr:sp macro="" textlink="">
      <xdr:nvSpPr>
        <xdr:cNvPr id="112" name="IMP_CH_6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>
          <a:off x="3382328" y="23002895"/>
          <a:ext cx="226695" cy="727054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10</xdr:col>
      <xdr:colOff>48578</xdr:colOff>
      <xdr:row>184</xdr:row>
      <xdr:rowOff>126059</xdr:rowOff>
    </xdr:from>
    <xdr:to>
      <xdr:col>10</xdr:col>
      <xdr:colOff>275273</xdr:colOff>
      <xdr:row>188</xdr:row>
      <xdr:rowOff>0</xdr:rowOff>
    </xdr:to>
    <xdr:sp macro="" textlink="">
      <xdr:nvSpPr>
        <xdr:cNvPr id="113" name="IMP_CH_7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3706178" y="23119409"/>
          <a:ext cx="226695" cy="610541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48578</xdr:colOff>
      <xdr:row>188</xdr:row>
      <xdr:rowOff>0</xdr:rowOff>
    </xdr:from>
    <xdr:to>
      <xdr:col>13</xdr:col>
      <xdr:colOff>275273</xdr:colOff>
      <xdr:row>188</xdr:row>
      <xdr:rowOff>0</xdr:rowOff>
    </xdr:to>
    <xdr:sp macro="" textlink="">
      <xdr:nvSpPr>
        <xdr:cNvPr id="114" name="IMP_CH_10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4677728" y="2372995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6</xdr:col>
      <xdr:colOff>48577</xdr:colOff>
      <xdr:row>185</xdr:row>
      <xdr:rowOff>4201</xdr:rowOff>
    </xdr:from>
    <xdr:to>
      <xdr:col>6</xdr:col>
      <xdr:colOff>275272</xdr:colOff>
      <xdr:row>188</xdr:row>
      <xdr:rowOff>0</xdr:rowOff>
    </xdr:to>
    <xdr:sp macro="" textlink="">
      <xdr:nvSpPr>
        <xdr:cNvPr id="115" name="IMP_CH_3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>
          <a:off x="2410777" y="23181701"/>
          <a:ext cx="226695" cy="548249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17</xdr:col>
      <xdr:colOff>48578</xdr:colOff>
      <xdr:row>186</xdr:row>
      <xdr:rowOff>155353</xdr:rowOff>
    </xdr:from>
    <xdr:to>
      <xdr:col>17</xdr:col>
      <xdr:colOff>275273</xdr:colOff>
      <xdr:row>188</xdr:row>
      <xdr:rowOff>0</xdr:rowOff>
    </xdr:to>
    <xdr:sp macro="" textlink="">
      <xdr:nvSpPr>
        <xdr:cNvPr id="116" name="IMP_CH_14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>
          <a:off x="5973128" y="23517003"/>
          <a:ext cx="226695" cy="212947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20</xdr:col>
      <xdr:colOff>48578</xdr:colOff>
      <xdr:row>185</xdr:row>
      <xdr:rowOff>41568</xdr:rowOff>
    </xdr:from>
    <xdr:to>
      <xdr:col>20</xdr:col>
      <xdr:colOff>275273</xdr:colOff>
      <xdr:row>188</xdr:row>
      <xdr:rowOff>0</xdr:rowOff>
    </xdr:to>
    <xdr:sp macro="" textlink="">
      <xdr:nvSpPr>
        <xdr:cNvPr id="117" name="IMP_CH_17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>
          <a:off x="6944678" y="23219068"/>
          <a:ext cx="226695" cy="510882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48578</xdr:colOff>
      <xdr:row>186</xdr:row>
      <xdr:rowOff>87117</xdr:rowOff>
    </xdr:from>
    <xdr:to>
      <xdr:col>21</xdr:col>
      <xdr:colOff>275273</xdr:colOff>
      <xdr:row>187</xdr:row>
      <xdr:rowOff>184149</xdr:rowOff>
    </xdr:to>
    <xdr:sp macro="" textlink="">
      <xdr:nvSpPr>
        <xdr:cNvPr id="118" name="IMP_CH_18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7268528" y="23448767"/>
          <a:ext cx="226695" cy="281182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22</xdr:col>
      <xdr:colOff>48578</xdr:colOff>
      <xdr:row>186</xdr:row>
      <xdr:rowOff>139373</xdr:rowOff>
    </xdr:from>
    <xdr:to>
      <xdr:col>22</xdr:col>
      <xdr:colOff>275273</xdr:colOff>
      <xdr:row>188</xdr:row>
      <xdr:rowOff>0</xdr:rowOff>
    </xdr:to>
    <xdr:sp macro="" textlink="">
      <xdr:nvSpPr>
        <xdr:cNvPr id="119" name="IMP_CH_19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7592378" y="23501023"/>
          <a:ext cx="226695" cy="228927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23</xdr:col>
      <xdr:colOff>48578</xdr:colOff>
      <xdr:row>185</xdr:row>
      <xdr:rowOff>109865</xdr:rowOff>
    </xdr:from>
    <xdr:to>
      <xdr:col>23</xdr:col>
      <xdr:colOff>275273</xdr:colOff>
      <xdr:row>188</xdr:row>
      <xdr:rowOff>0</xdr:rowOff>
    </xdr:to>
    <xdr:sp macro="" textlink="">
      <xdr:nvSpPr>
        <xdr:cNvPr id="120" name="IMP_CH_20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>
          <a:off x="7916228" y="23287365"/>
          <a:ext cx="226695" cy="442585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24</xdr:col>
      <xdr:colOff>47149</xdr:colOff>
      <xdr:row>188</xdr:row>
      <xdr:rowOff>0</xdr:rowOff>
    </xdr:from>
    <xdr:to>
      <xdr:col>24</xdr:col>
      <xdr:colOff>267177</xdr:colOff>
      <xdr:row>188</xdr:row>
      <xdr:rowOff>0</xdr:rowOff>
    </xdr:to>
    <xdr:sp macro="" textlink="">
      <xdr:nvSpPr>
        <xdr:cNvPr id="121" name="IMP_CH_2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>
          <a:off x="7981474" y="276225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25</xdr:col>
      <xdr:colOff>47149</xdr:colOff>
      <xdr:row>188</xdr:row>
      <xdr:rowOff>0</xdr:rowOff>
    </xdr:from>
    <xdr:to>
      <xdr:col>25</xdr:col>
      <xdr:colOff>267177</xdr:colOff>
      <xdr:row>188</xdr:row>
      <xdr:rowOff>0</xdr:rowOff>
    </xdr:to>
    <xdr:sp macro="" textlink="">
      <xdr:nvSpPr>
        <xdr:cNvPr id="122" name="IMP_CH_22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8295799" y="276225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47149</xdr:colOff>
      <xdr:row>188</xdr:row>
      <xdr:rowOff>0</xdr:rowOff>
    </xdr:from>
    <xdr:to>
      <xdr:col>26</xdr:col>
      <xdr:colOff>267177</xdr:colOff>
      <xdr:row>188</xdr:row>
      <xdr:rowOff>0</xdr:rowOff>
    </xdr:to>
    <xdr:sp macro="" textlink="">
      <xdr:nvSpPr>
        <xdr:cNvPr id="123" name="IMP_CH_23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>
          <a:off x="8610124" y="276225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27</xdr:col>
      <xdr:colOff>47149</xdr:colOff>
      <xdr:row>188</xdr:row>
      <xdr:rowOff>0</xdr:rowOff>
    </xdr:from>
    <xdr:to>
      <xdr:col>27</xdr:col>
      <xdr:colOff>267177</xdr:colOff>
      <xdr:row>188</xdr:row>
      <xdr:rowOff>0</xdr:rowOff>
    </xdr:to>
    <xdr:sp macro="" textlink="">
      <xdr:nvSpPr>
        <xdr:cNvPr id="124" name="IMP_CH_24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>
          <a:off x="8924449" y="276225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4</xdr:col>
      <xdr:colOff>48577</xdr:colOff>
      <xdr:row>234</xdr:row>
      <xdr:rowOff>169686</xdr:rowOff>
    </xdr:from>
    <xdr:to>
      <xdr:col>4</xdr:col>
      <xdr:colOff>275272</xdr:colOff>
      <xdr:row>239</xdr:row>
      <xdr:rowOff>0</xdr:rowOff>
    </xdr:to>
    <xdr:sp macro="" textlink="">
      <xdr:nvSpPr>
        <xdr:cNvPr id="149" name="IMP_CAV_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>
          <a:off x="1763077" y="32370536"/>
          <a:ext cx="226695" cy="7510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5</xdr:col>
      <xdr:colOff>48577</xdr:colOff>
      <xdr:row>234</xdr:row>
      <xdr:rowOff>169413</xdr:rowOff>
    </xdr:from>
    <xdr:to>
      <xdr:col>5</xdr:col>
      <xdr:colOff>275272</xdr:colOff>
      <xdr:row>239</xdr:row>
      <xdr:rowOff>1</xdr:rowOff>
    </xdr:to>
    <xdr:sp macro="" textlink="">
      <xdr:nvSpPr>
        <xdr:cNvPr id="150" name="IMP_CAV_2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>
          <a:off x="2086927" y="32370263"/>
          <a:ext cx="226695" cy="75133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18</xdr:col>
      <xdr:colOff>48578</xdr:colOff>
      <xdr:row>233</xdr:row>
      <xdr:rowOff>34537</xdr:rowOff>
    </xdr:from>
    <xdr:to>
      <xdr:col>18</xdr:col>
      <xdr:colOff>275273</xdr:colOff>
      <xdr:row>238</xdr:row>
      <xdr:rowOff>184148</xdr:rowOff>
    </xdr:to>
    <xdr:sp macro="" textlink="">
      <xdr:nvSpPr>
        <xdr:cNvPr id="151" name="IMP_CAV_15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>
          <a:off x="6296978" y="32051237"/>
          <a:ext cx="226695" cy="1070361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48578</xdr:colOff>
      <xdr:row>239</xdr:row>
      <xdr:rowOff>0</xdr:rowOff>
    </xdr:from>
    <xdr:to>
      <xdr:col>15</xdr:col>
      <xdr:colOff>275273</xdr:colOff>
      <xdr:row>239</xdr:row>
      <xdr:rowOff>0</xdr:rowOff>
    </xdr:to>
    <xdr:sp macro="" textlink="">
      <xdr:nvSpPr>
        <xdr:cNvPr id="152" name="IMP_CAV_12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>
          <a:off x="5325428" y="3312160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14</xdr:col>
      <xdr:colOff>48578</xdr:colOff>
      <xdr:row>239</xdr:row>
      <xdr:rowOff>0</xdr:rowOff>
    </xdr:from>
    <xdr:to>
      <xdr:col>14</xdr:col>
      <xdr:colOff>275273</xdr:colOff>
      <xdr:row>239</xdr:row>
      <xdr:rowOff>0</xdr:rowOff>
    </xdr:to>
    <xdr:sp macro="" textlink="">
      <xdr:nvSpPr>
        <xdr:cNvPr id="153" name="IMP_CAV_1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>
          <a:off x="5001578" y="3312160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48578</xdr:colOff>
      <xdr:row>233</xdr:row>
      <xdr:rowOff>107696</xdr:rowOff>
    </xdr:from>
    <xdr:to>
      <xdr:col>16</xdr:col>
      <xdr:colOff>275273</xdr:colOff>
      <xdr:row>239</xdr:row>
      <xdr:rowOff>0</xdr:rowOff>
    </xdr:to>
    <xdr:sp macro="" textlink="">
      <xdr:nvSpPr>
        <xdr:cNvPr id="154" name="IMP_CAV_1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>
          <a:off x="5649278" y="32124396"/>
          <a:ext cx="226695" cy="997204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19</xdr:col>
      <xdr:colOff>48578</xdr:colOff>
      <xdr:row>233</xdr:row>
      <xdr:rowOff>121583</xdr:rowOff>
    </xdr:from>
    <xdr:to>
      <xdr:col>19</xdr:col>
      <xdr:colOff>275273</xdr:colOff>
      <xdr:row>238</xdr:row>
      <xdr:rowOff>184149</xdr:rowOff>
    </xdr:to>
    <xdr:sp macro="" textlink="">
      <xdr:nvSpPr>
        <xdr:cNvPr id="155" name="IMP_CAV_16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>
          <a:off x="6620828" y="32138283"/>
          <a:ext cx="226695" cy="983316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11</xdr:col>
      <xdr:colOff>48578</xdr:colOff>
      <xdr:row>233</xdr:row>
      <xdr:rowOff>121813</xdr:rowOff>
    </xdr:from>
    <xdr:to>
      <xdr:col>11</xdr:col>
      <xdr:colOff>275273</xdr:colOff>
      <xdr:row>239</xdr:row>
      <xdr:rowOff>0</xdr:rowOff>
    </xdr:to>
    <xdr:sp macro="" textlink="">
      <xdr:nvSpPr>
        <xdr:cNvPr id="156" name="IMP_CAV_8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>
          <a:off x="4030028" y="32138513"/>
          <a:ext cx="226695" cy="983087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12</xdr:col>
      <xdr:colOff>48578</xdr:colOff>
      <xdr:row>239</xdr:row>
      <xdr:rowOff>0</xdr:rowOff>
    </xdr:from>
    <xdr:to>
      <xdr:col>12</xdr:col>
      <xdr:colOff>275273</xdr:colOff>
      <xdr:row>239</xdr:row>
      <xdr:rowOff>0</xdr:rowOff>
    </xdr:to>
    <xdr:sp macro="" textlink="">
      <xdr:nvSpPr>
        <xdr:cNvPr id="157" name="IMP_CAV_9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>
          <a:off x="4353878" y="3312160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48577</xdr:colOff>
      <xdr:row>236</xdr:row>
      <xdr:rowOff>3377</xdr:rowOff>
    </xdr:from>
    <xdr:to>
      <xdr:col>7</xdr:col>
      <xdr:colOff>275272</xdr:colOff>
      <xdr:row>238</xdr:row>
      <xdr:rowOff>184149</xdr:rowOff>
    </xdr:to>
    <xdr:sp macro="" textlink="">
      <xdr:nvSpPr>
        <xdr:cNvPr id="158" name="IMP_CAV_4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>
          <a:off x="2734627" y="32572527"/>
          <a:ext cx="226695" cy="54907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8</xdr:col>
      <xdr:colOff>48577</xdr:colOff>
      <xdr:row>236</xdr:row>
      <xdr:rowOff>32711</xdr:rowOff>
    </xdr:from>
    <xdr:to>
      <xdr:col>8</xdr:col>
      <xdr:colOff>275272</xdr:colOff>
      <xdr:row>239</xdr:row>
      <xdr:rowOff>0</xdr:rowOff>
    </xdr:to>
    <xdr:sp macro="" textlink="">
      <xdr:nvSpPr>
        <xdr:cNvPr id="159" name="IMP_CAV_5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>
          <a:off x="3058477" y="32601861"/>
          <a:ext cx="226695" cy="519739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9</xdr:col>
      <xdr:colOff>48578</xdr:colOff>
      <xdr:row>233</xdr:row>
      <xdr:rowOff>179217</xdr:rowOff>
    </xdr:from>
    <xdr:to>
      <xdr:col>9</xdr:col>
      <xdr:colOff>275273</xdr:colOff>
      <xdr:row>239</xdr:row>
      <xdr:rowOff>0</xdr:rowOff>
    </xdr:to>
    <xdr:sp macro="" textlink="">
      <xdr:nvSpPr>
        <xdr:cNvPr id="160" name="IMP_CAV_6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>
          <a:off x="3382328" y="32195917"/>
          <a:ext cx="226695" cy="925683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10</xdr:col>
      <xdr:colOff>48578</xdr:colOff>
      <xdr:row>256</xdr:row>
      <xdr:rowOff>0</xdr:rowOff>
    </xdr:from>
    <xdr:to>
      <xdr:col>10</xdr:col>
      <xdr:colOff>275273</xdr:colOff>
      <xdr:row>256</xdr:row>
      <xdr:rowOff>0</xdr:rowOff>
    </xdr:to>
    <xdr:sp macro="" textlink="">
      <xdr:nvSpPr>
        <xdr:cNvPr id="161" name="IMP_PAN_7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>
          <a:off x="3706178" y="36252150"/>
          <a:ext cx="226695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48578</xdr:colOff>
      <xdr:row>239</xdr:row>
      <xdr:rowOff>0</xdr:rowOff>
    </xdr:from>
    <xdr:to>
      <xdr:col>13</xdr:col>
      <xdr:colOff>275273</xdr:colOff>
      <xdr:row>239</xdr:row>
      <xdr:rowOff>0</xdr:rowOff>
    </xdr:to>
    <xdr:sp macro="" textlink="">
      <xdr:nvSpPr>
        <xdr:cNvPr id="162" name="IMP_CAV_10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4677728" y="3312160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6</xdr:col>
      <xdr:colOff>48577</xdr:colOff>
      <xdr:row>234</xdr:row>
      <xdr:rowOff>169512</xdr:rowOff>
    </xdr:from>
    <xdr:to>
      <xdr:col>6</xdr:col>
      <xdr:colOff>275272</xdr:colOff>
      <xdr:row>238</xdr:row>
      <xdr:rowOff>184149</xdr:rowOff>
    </xdr:to>
    <xdr:sp macro="" textlink="">
      <xdr:nvSpPr>
        <xdr:cNvPr id="163" name="IMP_CAV_3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>
          <a:off x="2410777" y="32370362"/>
          <a:ext cx="226695" cy="751237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17</xdr:col>
      <xdr:colOff>48578</xdr:colOff>
      <xdr:row>233</xdr:row>
      <xdr:rowOff>164898</xdr:rowOff>
    </xdr:from>
    <xdr:to>
      <xdr:col>17</xdr:col>
      <xdr:colOff>275273</xdr:colOff>
      <xdr:row>239</xdr:row>
      <xdr:rowOff>0</xdr:rowOff>
    </xdr:to>
    <xdr:sp macro="" textlink="">
      <xdr:nvSpPr>
        <xdr:cNvPr id="164" name="IMP_CAV_14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>
          <a:off x="5973128" y="32181598"/>
          <a:ext cx="226695" cy="940002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20</xdr:col>
      <xdr:colOff>48578</xdr:colOff>
      <xdr:row>233</xdr:row>
      <xdr:rowOff>121729</xdr:rowOff>
    </xdr:from>
    <xdr:to>
      <xdr:col>20</xdr:col>
      <xdr:colOff>275273</xdr:colOff>
      <xdr:row>239</xdr:row>
      <xdr:rowOff>0</xdr:rowOff>
    </xdr:to>
    <xdr:sp macro="" textlink="">
      <xdr:nvSpPr>
        <xdr:cNvPr id="165" name="IMP_CAV_17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6944678" y="32138429"/>
          <a:ext cx="226695" cy="983171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48578</xdr:colOff>
      <xdr:row>233</xdr:row>
      <xdr:rowOff>179645</xdr:rowOff>
    </xdr:from>
    <xdr:to>
      <xdr:col>21</xdr:col>
      <xdr:colOff>275273</xdr:colOff>
      <xdr:row>239</xdr:row>
      <xdr:rowOff>0</xdr:rowOff>
    </xdr:to>
    <xdr:sp macro="" textlink="">
      <xdr:nvSpPr>
        <xdr:cNvPr id="166" name="IMP_CAV_18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>
          <a:off x="7268528" y="32196345"/>
          <a:ext cx="226695" cy="925255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22</xdr:col>
      <xdr:colOff>48578</xdr:colOff>
      <xdr:row>233</xdr:row>
      <xdr:rowOff>179108</xdr:rowOff>
    </xdr:from>
    <xdr:to>
      <xdr:col>22</xdr:col>
      <xdr:colOff>275273</xdr:colOff>
      <xdr:row>238</xdr:row>
      <xdr:rowOff>184149</xdr:rowOff>
    </xdr:to>
    <xdr:sp macro="" textlink="">
      <xdr:nvSpPr>
        <xdr:cNvPr id="167" name="IMP_CAV_19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>
          <a:off x="7592378" y="32195808"/>
          <a:ext cx="226695" cy="925791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23</xdr:col>
      <xdr:colOff>48578</xdr:colOff>
      <xdr:row>233</xdr:row>
      <xdr:rowOff>179006</xdr:rowOff>
    </xdr:from>
    <xdr:to>
      <xdr:col>23</xdr:col>
      <xdr:colOff>275273</xdr:colOff>
      <xdr:row>238</xdr:row>
      <xdr:rowOff>184149</xdr:rowOff>
    </xdr:to>
    <xdr:sp macro="" textlink="">
      <xdr:nvSpPr>
        <xdr:cNvPr id="168" name="IMP_CAV_20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916228" y="32195706"/>
          <a:ext cx="226695" cy="925893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24</xdr:col>
      <xdr:colOff>47149</xdr:colOff>
      <xdr:row>239</xdr:row>
      <xdr:rowOff>0</xdr:rowOff>
    </xdr:from>
    <xdr:to>
      <xdr:col>24</xdr:col>
      <xdr:colOff>267177</xdr:colOff>
      <xdr:row>239</xdr:row>
      <xdr:rowOff>0</xdr:rowOff>
    </xdr:to>
    <xdr:sp macro="" textlink="">
      <xdr:nvSpPr>
        <xdr:cNvPr id="169" name="IMP_CAV_2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>
          <a:off x="7981474" y="373380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25</xdr:col>
      <xdr:colOff>47149</xdr:colOff>
      <xdr:row>239</xdr:row>
      <xdr:rowOff>0</xdr:rowOff>
    </xdr:from>
    <xdr:to>
      <xdr:col>25</xdr:col>
      <xdr:colOff>267177</xdr:colOff>
      <xdr:row>239</xdr:row>
      <xdr:rowOff>0</xdr:rowOff>
    </xdr:to>
    <xdr:sp macro="" textlink="">
      <xdr:nvSpPr>
        <xdr:cNvPr id="170" name="IMP_CAV_22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>
          <a:off x="8295799" y="373380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47149</xdr:colOff>
      <xdr:row>239</xdr:row>
      <xdr:rowOff>0</xdr:rowOff>
    </xdr:from>
    <xdr:to>
      <xdr:col>26</xdr:col>
      <xdr:colOff>267177</xdr:colOff>
      <xdr:row>239</xdr:row>
      <xdr:rowOff>0</xdr:rowOff>
    </xdr:to>
    <xdr:sp macro="" textlink="">
      <xdr:nvSpPr>
        <xdr:cNvPr id="171" name="IMP_CAV_23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8610124" y="373380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27</xdr:col>
      <xdr:colOff>47149</xdr:colOff>
      <xdr:row>239</xdr:row>
      <xdr:rowOff>0</xdr:rowOff>
    </xdr:from>
    <xdr:to>
      <xdr:col>27</xdr:col>
      <xdr:colOff>267177</xdr:colOff>
      <xdr:row>239</xdr:row>
      <xdr:rowOff>0</xdr:rowOff>
    </xdr:to>
    <xdr:sp macro="" textlink="">
      <xdr:nvSpPr>
        <xdr:cNvPr id="172" name="IMP_CAV_24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>
          <a:off x="8924449" y="373380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4</xdr:col>
      <xdr:colOff>48577</xdr:colOff>
      <xdr:row>220</xdr:row>
      <xdr:rowOff>54623</xdr:rowOff>
    </xdr:from>
    <xdr:to>
      <xdr:col>4</xdr:col>
      <xdr:colOff>275272</xdr:colOff>
      <xdr:row>222</xdr:row>
      <xdr:rowOff>0</xdr:rowOff>
    </xdr:to>
    <xdr:sp macro="" textlink="">
      <xdr:nvSpPr>
        <xdr:cNvPr id="197" name="IMP_TUN_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>
          <a:off x="1763077" y="29677373"/>
          <a:ext cx="226695" cy="313677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5</xdr:col>
      <xdr:colOff>48577</xdr:colOff>
      <xdr:row>200</xdr:row>
      <xdr:rowOff>34968</xdr:rowOff>
    </xdr:from>
    <xdr:to>
      <xdr:col>5</xdr:col>
      <xdr:colOff>275272</xdr:colOff>
      <xdr:row>205</xdr:row>
      <xdr:rowOff>0</xdr:rowOff>
    </xdr:to>
    <xdr:sp macro="" textlink="">
      <xdr:nvSpPr>
        <xdr:cNvPr id="198" name="IMP_LY_2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2086927" y="25974718"/>
          <a:ext cx="226695" cy="885782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18</xdr:col>
      <xdr:colOff>48578</xdr:colOff>
      <xdr:row>200</xdr:row>
      <xdr:rowOff>11441</xdr:rowOff>
    </xdr:from>
    <xdr:to>
      <xdr:col>18</xdr:col>
      <xdr:colOff>275273</xdr:colOff>
      <xdr:row>205</xdr:row>
      <xdr:rowOff>0</xdr:rowOff>
    </xdr:to>
    <xdr:sp macro="" textlink="">
      <xdr:nvSpPr>
        <xdr:cNvPr id="199" name="IMP_LY_15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>
          <a:off x="6296978" y="25951191"/>
          <a:ext cx="226695" cy="909309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48578</xdr:colOff>
      <xdr:row>205</xdr:row>
      <xdr:rowOff>0</xdr:rowOff>
    </xdr:from>
    <xdr:to>
      <xdr:col>15</xdr:col>
      <xdr:colOff>275273</xdr:colOff>
      <xdr:row>205</xdr:row>
      <xdr:rowOff>0</xdr:rowOff>
    </xdr:to>
    <xdr:sp macro="" textlink="">
      <xdr:nvSpPr>
        <xdr:cNvPr id="200" name="IMP_LY_12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>
          <a:off x="5325428" y="2686050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14</xdr:col>
      <xdr:colOff>48578</xdr:colOff>
      <xdr:row>205</xdr:row>
      <xdr:rowOff>0</xdr:rowOff>
    </xdr:from>
    <xdr:to>
      <xdr:col>14</xdr:col>
      <xdr:colOff>275273</xdr:colOff>
      <xdr:row>205</xdr:row>
      <xdr:rowOff>0</xdr:rowOff>
    </xdr:to>
    <xdr:sp macro="" textlink="">
      <xdr:nvSpPr>
        <xdr:cNvPr id="201" name="IMP_LY_1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5001578" y="2686050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48578</xdr:colOff>
      <xdr:row>200</xdr:row>
      <xdr:rowOff>3470</xdr:rowOff>
    </xdr:from>
    <xdr:to>
      <xdr:col>16</xdr:col>
      <xdr:colOff>275273</xdr:colOff>
      <xdr:row>205</xdr:row>
      <xdr:rowOff>0</xdr:rowOff>
    </xdr:to>
    <xdr:sp macro="" textlink="">
      <xdr:nvSpPr>
        <xdr:cNvPr id="202" name="IMP_LY_13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>
          <a:off x="5649278" y="25943220"/>
          <a:ext cx="226695" cy="91728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19</xdr:col>
      <xdr:colOff>48578</xdr:colOff>
      <xdr:row>200</xdr:row>
      <xdr:rowOff>11821</xdr:rowOff>
    </xdr:from>
    <xdr:to>
      <xdr:col>19</xdr:col>
      <xdr:colOff>275273</xdr:colOff>
      <xdr:row>205</xdr:row>
      <xdr:rowOff>0</xdr:rowOff>
    </xdr:to>
    <xdr:sp macro="" textlink="">
      <xdr:nvSpPr>
        <xdr:cNvPr id="203" name="IMP_LY_16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>
          <a:off x="6620828" y="25951571"/>
          <a:ext cx="226695" cy="908929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11</xdr:col>
      <xdr:colOff>48578</xdr:colOff>
      <xdr:row>199</xdr:row>
      <xdr:rowOff>174334</xdr:rowOff>
    </xdr:from>
    <xdr:to>
      <xdr:col>11</xdr:col>
      <xdr:colOff>275273</xdr:colOff>
      <xdr:row>205</xdr:row>
      <xdr:rowOff>1</xdr:rowOff>
    </xdr:to>
    <xdr:sp macro="" textlink="">
      <xdr:nvSpPr>
        <xdr:cNvPr id="204" name="IMP_LY_8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>
          <a:off x="4030028" y="25929934"/>
          <a:ext cx="226695" cy="930567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12</xdr:col>
      <xdr:colOff>48578</xdr:colOff>
      <xdr:row>205</xdr:row>
      <xdr:rowOff>0</xdr:rowOff>
    </xdr:from>
    <xdr:to>
      <xdr:col>12</xdr:col>
      <xdr:colOff>275273</xdr:colOff>
      <xdr:row>205</xdr:row>
      <xdr:rowOff>0</xdr:rowOff>
    </xdr:to>
    <xdr:sp macro="" textlink="">
      <xdr:nvSpPr>
        <xdr:cNvPr id="205" name="IMP_LY_9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>
          <a:off x="4353878" y="26860500"/>
          <a:ext cx="226695" cy="0"/>
        </a:xfrm>
        <a:prstGeom prst="rect">
          <a:avLst/>
        </a:prstGeom>
        <a:solidFill>
          <a:schemeClr val="accent6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48577</xdr:colOff>
      <xdr:row>199</xdr:row>
      <xdr:rowOff>183331</xdr:rowOff>
    </xdr:from>
    <xdr:to>
      <xdr:col>7</xdr:col>
      <xdr:colOff>275272</xdr:colOff>
      <xdr:row>204</xdr:row>
      <xdr:rowOff>184149</xdr:rowOff>
    </xdr:to>
    <xdr:sp macro="" textlink="">
      <xdr:nvSpPr>
        <xdr:cNvPr id="206" name="IMP_LY_4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>
          <a:off x="2734627" y="25938931"/>
          <a:ext cx="226695" cy="921568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8</xdr:col>
      <xdr:colOff>48577</xdr:colOff>
      <xdr:row>199</xdr:row>
      <xdr:rowOff>159840</xdr:rowOff>
    </xdr:from>
    <xdr:to>
      <xdr:col>8</xdr:col>
      <xdr:colOff>275272</xdr:colOff>
      <xdr:row>205</xdr:row>
      <xdr:rowOff>0</xdr:rowOff>
    </xdr:to>
    <xdr:sp macro="" textlink="">
      <xdr:nvSpPr>
        <xdr:cNvPr id="207" name="IMP_LY_5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>
          <a:off x="3058477" y="25915440"/>
          <a:ext cx="226695" cy="94506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9</xdr:col>
      <xdr:colOff>48578</xdr:colOff>
      <xdr:row>199</xdr:row>
      <xdr:rowOff>178398</xdr:rowOff>
    </xdr:from>
    <xdr:to>
      <xdr:col>9</xdr:col>
      <xdr:colOff>275273</xdr:colOff>
      <xdr:row>204</xdr:row>
      <xdr:rowOff>184149</xdr:rowOff>
    </xdr:to>
    <xdr:sp macro="" textlink="">
      <xdr:nvSpPr>
        <xdr:cNvPr id="208" name="IMP_LY_6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>
          <a:off x="3382328" y="25933998"/>
          <a:ext cx="226695" cy="926501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10</xdr:col>
      <xdr:colOff>48578</xdr:colOff>
      <xdr:row>199</xdr:row>
      <xdr:rowOff>156366</xdr:rowOff>
    </xdr:from>
    <xdr:to>
      <xdr:col>10</xdr:col>
      <xdr:colOff>275273</xdr:colOff>
      <xdr:row>205</xdr:row>
      <xdr:rowOff>1</xdr:rowOff>
    </xdr:to>
    <xdr:sp macro="" textlink="">
      <xdr:nvSpPr>
        <xdr:cNvPr id="209" name="IMP_LY_7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>
          <a:off x="3706178" y="25911966"/>
          <a:ext cx="226695" cy="948535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48578</xdr:colOff>
      <xdr:row>205</xdr:row>
      <xdr:rowOff>0</xdr:rowOff>
    </xdr:from>
    <xdr:to>
      <xdr:col>13</xdr:col>
      <xdr:colOff>275273</xdr:colOff>
      <xdr:row>205</xdr:row>
      <xdr:rowOff>0</xdr:rowOff>
    </xdr:to>
    <xdr:sp macro="" textlink="">
      <xdr:nvSpPr>
        <xdr:cNvPr id="210" name="IMP_LY_10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>
          <a:off x="4677728" y="2686050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6</xdr:col>
      <xdr:colOff>48577</xdr:colOff>
      <xdr:row>200</xdr:row>
      <xdr:rowOff>20045</xdr:rowOff>
    </xdr:from>
    <xdr:to>
      <xdr:col>6</xdr:col>
      <xdr:colOff>275272</xdr:colOff>
      <xdr:row>205</xdr:row>
      <xdr:rowOff>0</xdr:rowOff>
    </xdr:to>
    <xdr:sp macro="" textlink="">
      <xdr:nvSpPr>
        <xdr:cNvPr id="211" name="IMP_LY_3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>
          <a:off x="2410777" y="25959795"/>
          <a:ext cx="226695" cy="900705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17</xdr:col>
      <xdr:colOff>48578</xdr:colOff>
      <xdr:row>200</xdr:row>
      <xdr:rowOff>10790</xdr:rowOff>
    </xdr:from>
    <xdr:to>
      <xdr:col>17</xdr:col>
      <xdr:colOff>275273</xdr:colOff>
      <xdr:row>204</xdr:row>
      <xdr:rowOff>184149</xdr:rowOff>
    </xdr:to>
    <xdr:sp macro="" textlink="">
      <xdr:nvSpPr>
        <xdr:cNvPr id="212" name="IMP_LY_14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>
          <a:off x="5973128" y="25950540"/>
          <a:ext cx="226695" cy="909959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20</xdr:col>
      <xdr:colOff>48578</xdr:colOff>
      <xdr:row>200</xdr:row>
      <xdr:rowOff>11395</xdr:rowOff>
    </xdr:from>
    <xdr:to>
      <xdr:col>20</xdr:col>
      <xdr:colOff>275273</xdr:colOff>
      <xdr:row>205</xdr:row>
      <xdr:rowOff>0</xdr:rowOff>
    </xdr:to>
    <xdr:sp macro="" textlink="">
      <xdr:nvSpPr>
        <xdr:cNvPr id="213" name="IMP_LY_17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>
          <a:off x="6944678" y="25951145"/>
          <a:ext cx="226695" cy="909355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25</xdr:col>
      <xdr:colOff>47149</xdr:colOff>
      <xdr:row>205</xdr:row>
      <xdr:rowOff>0</xdr:rowOff>
    </xdr:from>
    <xdr:to>
      <xdr:col>25</xdr:col>
      <xdr:colOff>267177</xdr:colOff>
      <xdr:row>205</xdr:row>
      <xdr:rowOff>0</xdr:rowOff>
    </xdr:to>
    <xdr:sp macro="" textlink="">
      <xdr:nvSpPr>
        <xdr:cNvPr id="214" name="IMP_LY_22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>
          <a:off x="8295799" y="30861000"/>
          <a:ext cx="220028" cy="0"/>
        </a:xfrm>
        <a:prstGeom prst="rect">
          <a:avLst/>
        </a:prstGeom>
        <a:solidFill>
          <a:schemeClr val="accent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48578</xdr:colOff>
      <xdr:row>199</xdr:row>
      <xdr:rowOff>157632</xdr:rowOff>
    </xdr:from>
    <xdr:to>
      <xdr:col>21</xdr:col>
      <xdr:colOff>275273</xdr:colOff>
      <xdr:row>205</xdr:row>
      <xdr:rowOff>0</xdr:rowOff>
    </xdr:to>
    <xdr:sp macro="" textlink="">
      <xdr:nvSpPr>
        <xdr:cNvPr id="215" name="IMP_LY_18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>
          <a:off x="7268528" y="25913232"/>
          <a:ext cx="226695" cy="947268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22</xdr:col>
      <xdr:colOff>48578</xdr:colOff>
      <xdr:row>199</xdr:row>
      <xdr:rowOff>152161</xdr:rowOff>
    </xdr:from>
    <xdr:to>
      <xdr:col>22</xdr:col>
      <xdr:colOff>275273</xdr:colOff>
      <xdr:row>205</xdr:row>
      <xdr:rowOff>0</xdr:rowOff>
    </xdr:to>
    <xdr:sp macro="" textlink="">
      <xdr:nvSpPr>
        <xdr:cNvPr id="216" name="IMP_LY_19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>
          <a:off x="7592378" y="25907761"/>
          <a:ext cx="226695" cy="952739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23</xdr:col>
      <xdr:colOff>48578</xdr:colOff>
      <xdr:row>200</xdr:row>
      <xdr:rowOff>8961</xdr:rowOff>
    </xdr:from>
    <xdr:to>
      <xdr:col>23</xdr:col>
      <xdr:colOff>275273</xdr:colOff>
      <xdr:row>205</xdr:row>
      <xdr:rowOff>0</xdr:rowOff>
    </xdr:to>
    <xdr:sp macro="" textlink="">
      <xdr:nvSpPr>
        <xdr:cNvPr id="217" name="IMP_LY_20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>
          <a:off x="7916228" y="25948711"/>
          <a:ext cx="226695" cy="911789"/>
        </a:xfrm>
        <a:prstGeom prst="rect">
          <a:avLst/>
        </a:prstGeom>
        <a:solidFill>
          <a:schemeClr val="accent6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24</xdr:col>
      <xdr:colOff>47149</xdr:colOff>
      <xdr:row>205</xdr:row>
      <xdr:rowOff>0</xdr:rowOff>
    </xdr:from>
    <xdr:to>
      <xdr:col>24</xdr:col>
      <xdr:colOff>267177</xdr:colOff>
      <xdr:row>205</xdr:row>
      <xdr:rowOff>0</xdr:rowOff>
    </xdr:to>
    <xdr:sp macro="" textlink="">
      <xdr:nvSpPr>
        <xdr:cNvPr id="218" name="IMP_LY_2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>
          <a:off x="7981474" y="308610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47149</xdr:colOff>
      <xdr:row>205</xdr:row>
      <xdr:rowOff>0</xdr:rowOff>
    </xdr:from>
    <xdr:to>
      <xdr:col>26</xdr:col>
      <xdr:colOff>267177</xdr:colOff>
      <xdr:row>205</xdr:row>
      <xdr:rowOff>0</xdr:rowOff>
    </xdr:to>
    <xdr:sp macro="" textlink="">
      <xdr:nvSpPr>
        <xdr:cNvPr id="219" name="IMP_LY_23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>
          <a:off x="8610124" y="308610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27</xdr:col>
      <xdr:colOff>47149</xdr:colOff>
      <xdr:row>205</xdr:row>
      <xdr:rowOff>0</xdr:rowOff>
    </xdr:from>
    <xdr:to>
      <xdr:col>27</xdr:col>
      <xdr:colOff>267177</xdr:colOff>
      <xdr:row>205</xdr:row>
      <xdr:rowOff>0</xdr:rowOff>
    </xdr:to>
    <xdr:sp macro="" textlink="">
      <xdr:nvSpPr>
        <xdr:cNvPr id="220" name="IMP_LY_24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>
          <a:off x="8924449" y="308610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4</xdr:col>
      <xdr:colOff>48577</xdr:colOff>
      <xdr:row>199</xdr:row>
      <xdr:rowOff>174472</xdr:rowOff>
    </xdr:from>
    <xdr:to>
      <xdr:col>4</xdr:col>
      <xdr:colOff>275272</xdr:colOff>
      <xdr:row>205</xdr:row>
      <xdr:rowOff>1</xdr:rowOff>
    </xdr:to>
    <xdr:sp macro="" textlink="">
      <xdr:nvSpPr>
        <xdr:cNvPr id="245" name="IMP_LY_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>
          <a:off x="1763077" y="25930072"/>
          <a:ext cx="226695" cy="930429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5</xdr:col>
      <xdr:colOff>48577</xdr:colOff>
      <xdr:row>220</xdr:row>
      <xdr:rowOff>52099</xdr:rowOff>
    </xdr:from>
    <xdr:to>
      <xdr:col>5</xdr:col>
      <xdr:colOff>275272</xdr:colOff>
      <xdr:row>222</xdr:row>
      <xdr:rowOff>0</xdr:rowOff>
    </xdr:to>
    <xdr:sp macro="" textlink="">
      <xdr:nvSpPr>
        <xdr:cNvPr id="246" name="IMP_TUN_2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>
          <a:off x="2086927" y="29674849"/>
          <a:ext cx="226695" cy="316201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18</xdr:col>
      <xdr:colOff>48578</xdr:colOff>
      <xdr:row>220</xdr:row>
      <xdr:rowOff>48208</xdr:rowOff>
    </xdr:from>
    <xdr:to>
      <xdr:col>18</xdr:col>
      <xdr:colOff>275273</xdr:colOff>
      <xdr:row>222</xdr:row>
      <xdr:rowOff>1</xdr:rowOff>
    </xdr:to>
    <xdr:sp macro="" textlink="">
      <xdr:nvSpPr>
        <xdr:cNvPr id="247" name="IMP_TUN_15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>
          <a:off x="6296978" y="29670958"/>
          <a:ext cx="226695" cy="320093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48578</xdr:colOff>
      <xdr:row>222</xdr:row>
      <xdr:rowOff>0</xdr:rowOff>
    </xdr:from>
    <xdr:to>
      <xdr:col>15</xdr:col>
      <xdr:colOff>275273</xdr:colOff>
      <xdr:row>222</xdr:row>
      <xdr:rowOff>0</xdr:rowOff>
    </xdr:to>
    <xdr:sp macro="" textlink="">
      <xdr:nvSpPr>
        <xdr:cNvPr id="248" name="IMP_TUN_12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>
          <a:off x="5325428" y="2999105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14</xdr:col>
      <xdr:colOff>48578</xdr:colOff>
      <xdr:row>222</xdr:row>
      <xdr:rowOff>0</xdr:rowOff>
    </xdr:from>
    <xdr:to>
      <xdr:col>14</xdr:col>
      <xdr:colOff>275273</xdr:colOff>
      <xdr:row>222</xdr:row>
      <xdr:rowOff>0</xdr:rowOff>
    </xdr:to>
    <xdr:sp macro="" textlink="">
      <xdr:nvSpPr>
        <xdr:cNvPr id="249" name="IMP_TUN_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>
          <a:off x="5001578" y="2999105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48578</xdr:colOff>
      <xdr:row>220</xdr:row>
      <xdr:rowOff>46878</xdr:rowOff>
    </xdr:from>
    <xdr:to>
      <xdr:col>16</xdr:col>
      <xdr:colOff>275273</xdr:colOff>
      <xdr:row>221</xdr:row>
      <xdr:rowOff>184149</xdr:rowOff>
    </xdr:to>
    <xdr:sp macro="" textlink="">
      <xdr:nvSpPr>
        <xdr:cNvPr id="250" name="IMP_TUN_13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>
          <a:off x="5649278" y="29669628"/>
          <a:ext cx="226695" cy="321421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19</xdr:col>
      <xdr:colOff>48578</xdr:colOff>
      <xdr:row>220</xdr:row>
      <xdr:rowOff>48316</xdr:rowOff>
    </xdr:from>
    <xdr:to>
      <xdr:col>19</xdr:col>
      <xdr:colOff>275273</xdr:colOff>
      <xdr:row>222</xdr:row>
      <xdr:rowOff>0</xdr:rowOff>
    </xdr:to>
    <xdr:sp macro="" textlink="">
      <xdr:nvSpPr>
        <xdr:cNvPr id="251" name="IMP_TUN_16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>
          <a:off x="6620828" y="29671066"/>
          <a:ext cx="226695" cy="319984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11</xdr:col>
      <xdr:colOff>48578</xdr:colOff>
      <xdr:row>220</xdr:row>
      <xdr:rowOff>76057</xdr:rowOff>
    </xdr:from>
    <xdr:to>
      <xdr:col>11</xdr:col>
      <xdr:colOff>275273</xdr:colOff>
      <xdr:row>221</xdr:row>
      <xdr:rowOff>184148</xdr:rowOff>
    </xdr:to>
    <xdr:sp macro="" textlink="">
      <xdr:nvSpPr>
        <xdr:cNvPr id="252" name="IMP_TUN_8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>
          <a:off x="4030028" y="29698807"/>
          <a:ext cx="226695" cy="292241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12</xdr:col>
      <xdr:colOff>48578</xdr:colOff>
      <xdr:row>222</xdr:row>
      <xdr:rowOff>0</xdr:rowOff>
    </xdr:from>
    <xdr:to>
      <xdr:col>12</xdr:col>
      <xdr:colOff>275273</xdr:colOff>
      <xdr:row>222</xdr:row>
      <xdr:rowOff>0</xdr:rowOff>
    </xdr:to>
    <xdr:sp macro="" textlink="">
      <xdr:nvSpPr>
        <xdr:cNvPr id="253" name="IMP_TUN_9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>
          <a:off x="4353878" y="29991050"/>
          <a:ext cx="226695" cy="0"/>
        </a:xfrm>
        <a:prstGeom prst="rect">
          <a:avLst/>
        </a:prstGeom>
        <a:solidFill>
          <a:schemeClr val="accent6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48577</xdr:colOff>
      <xdr:row>220</xdr:row>
      <xdr:rowOff>69515</xdr:rowOff>
    </xdr:from>
    <xdr:to>
      <xdr:col>7</xdr:col>
      <xdr:colOff>275272</xdr:colOff>
      <xdr:row>222</xdr:row>
      <xdr:rowOff>1</xdr:rowOff>
    </xdr:to>
    <xdr:sp macro="" textlink="">
      <xdr:nvSpPr>
        <xdr:cNvPr id="254" name="IMP_TUN_4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>
          <a:off x="2734627" y="29692265"/>
          <a:ext cx="226695" cy="298786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8</xdr:col>
      <xdr:colOff>48577</xdr:colOff>
      <xdr:row>220</xdr:row>
      <xdr:rowOff>114722</xdr:rowOff>
    </xdr:from>
    <xdr:to>
      <xdr:col>8</xdr:col>
      <xdr:colOff>275272</xdr:colOff>
      <xdr:row>222</xdr:row>
      <xdr:rowOff>0</xdr:rowOff>
    </xdr:to>
    <xdr:sp macro="" textlink="">
      <xdr:nvSpPr>
        <xdr:cNvPr id="255" name="IMP_TUN_5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>
          <a:off x="3058477" y="29737472"/>
          <a:ext cx="226695" cy="253578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9</xdr:col>
      <xdr:colOff>48578</xdr:colOff>
      <xdr:row>220</xdr:row>
      <xdr:rowOff>80277</xdr:rowOff>
    </xdr:from>
    <xdr:to>
      <xdr:col>9</xdr:col>
      <xdr:colOff>275273</xdr:colOff>
      <xdr:row>221</xdr:row>
      <xdr:rowOff>184149</xdr:rowOff>
    </xdr:to>
    <xdr:sp macro="" textlink="">
      <xdr:nvSpPr>
        <xdr:cNvPr id="256" name="IMP_TUN_6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>
          <a:off x="3382328" y="29703027"/>
          <a:ext cx="226695" cy="288022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10</xdr:col>
      <xdr:colOff>48578</xdr:colOff>
      <xdr:row>220</xdr:row>
      <xdr:rowOff>66535</xdr:rowOff>
    </xdr:from>
    <xdr:to>
      <xdr:col>10</xdr:col>
      <xdr:colOff>275273</xdr:colOff>
      <xdr:row>222</xdr:row>
      <xdr:rowOff>0</xdr:rowOff>
    </xdr:to>
    <xdr:sp macro="" textlink="">
      <xdr:nvSpPr>
        <xdr:cNvPr id="257" name="IMP_TUN_7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>
          <a:off x="3706178" y="29689285"/>
          <a:ext cx="226695" cy="301765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48578</xdr:colOff>
      <xdr:row>222</xdr:row>
      <xdr:rowOff>0</xdr:rowOff>
    </xdr:from>
    <xdr:to>
      <xdr:col>13</xdr:col>
      <xdr:colOff>275273</xdr:colOff>
      <xdr:row>222</xdr:row>
      <xdr:rowOff>0</xdr:rowOff>
    </xdr:to>
    <xdr:sp macro="" textlink="">
      <xdr:nvSpPr>
        <xdr:cNvPr id="258" name="IMP_TUN_10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>
          <a:off x="4677728" y="29991050"/>
          <a:ext cx="226695" cy="0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6</xdr:col>
      <xdr:colOff>48577</xdr:colOff>
      <xdr:row>220</xdr:row>
      <xdr:rowOff>59379</xdr:rowOff>
    </xdr:from>
    <xdr:to>
      <xdr:col>6</xdr:col>
      <xdr:colOff>275272</xdr:colOff>
      <xdr:row>221</xdr:row>
      <xdr:rowOff>184149</xdr:rowOff>
    </xdr:to>
    <xdr:sp macro="" textlink="">
      <xdr:nvSpPr>
        <xdr:cNvPr id="259" name="IMP_TUN_3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>
          <a:off x="2410777" y="29682129"/>
          <a:ext cx="226695" cy="30892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17</xdr:col>
      <xdr:colOff>48578</xdr:colOff>
      <xdr:row>220</xdr:row>
      <xdr:rowOff>89781</xdr:rowOff>
    </xdr:from>
    <xdr:to>
      <xdr:col>17</xdr:col>
      <xdr:colOff>275273</xdr:colOff>
      <xdr:row>221</xdr:row>
      <xdr:rowOff>184149</xdr:rowOff>
    </xdr:to>
    <xdr:sp macro="" textlink="">
      <xdr:nvSpPr>
        <xdr:cNvPr id="260" name="IMP_TUN_14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>
          <a:off x="5973128" y="29712531"/>
          <a:ext cx="226695" cy="278518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20</xdr:col>
      <xdr:colOff>48578</xdr:colOff>
      <xdr:row>220</xdr:row>
      <xdr:rowOff>57572</xdr:rowOff>
    </xdr:from>
    <xdr:to>
      <xdr:col>20</xdr:col>
      <xdr:colOff>275273</xdr:colOff>
      <xdr:row>222</xdr:row>
      <xdr:rowOff>0</xdr:rowOff>
    </xdr:to>
    <xdr:sp macro="" textlink="">
      <xdr:nvSpPr>
        <xdr:cNvPr id="261" name="IMP_TUN_17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>
          <a:off x="6944678" y="29680322"/>
          <a:ext cx="226695" cy="310728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25</xdr:col>
      <xdr:colOff>47149</xdr:colOff>
      <xdr:row>222</xdr:row>
      <xdr:rowOff>0</xdr:rowOff>
    </xdr:from>
    <xdr:to>
      <xdr:col>25</xdr:col>
      <xdr:colOff>267177</xdr:colOff>
      <xdr:row>222</xdr:row>
      <xdr:rowOff>0</xdr:rowOff>
    </xdr:to>
    <xdr:sp macro="" textlink="">
      <xdr:nvSpPr>
        <xdr:cNvPr id="262" name="IMP_TUN_22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>
          <a:off x="8295799" y="34099500"/>
          <a:ext cx="220028" cy="0"/>
        </a:xfrm>
        <a:prstGeom prst="rect">
          <a:avLst/>
        </a:prstGeom>
        <a:solidFill>
          <a:schemeClr val="accent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48578</xdr:colOff>
      <xdr:row>220</xdr:row>
      <xdr:rowOff>58982</xdr:rowOff>
    </xdr:from>
    <xdr:to>
      <xdr:col>21</xdr:col>
      <xdr:colOff>275273</xdr:colOff>
      <xdr:row>221</xdr:row>
      <xdr:rowOff>184149</xdr:rowOff>
    </xdr:to>
    <xdr:sp macro="" textlink="">
      <xdr:nvSpPr>
        <xdr:cNvPr id="263" name="IMP_TUN_18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>
          <a:off x="7268528" y="29681732"/>
          <a:ext cx="226695" cy="309317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22</xdr:col>
      <xdr:colOff>48578</xdr:colOff>
      <xdr:row>220</xdr:row>
      <xdr:rowOff>80742</xdr:rowOff>
    </xdr:from>
    <xdr:to>
      <xdr:col>22</xdr:col>
      <xdr:colOff>275273</xdr:colOff>
      <xdr:row>221</xdr:row>
      <xdr:rowOff>184149</xdr:rowOff>
    </xdr:to>
    <xdr:sp macro="" textlink="">
      <xdr:nvSpPr>
        <xdr:cNvPr id="264" name="IMP_TUN_19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>
          <a:off x="7592378" y="29703492"/>
          <a:ext cx="226695" cy="287557"/>
        </a:xfrm>
        <a:prstGeom prst="rect">
          <a:avLst/>
        </a:prstGeom>
        <a:solidFill>
          <a:srgbClr val="F79646">
            <a:lumMod val="75000"/>
          </a:srgb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23</xdr:col>
      <xdr:colOff>48578</xdr:colOff>
      <xdr:row>220</xdr:row>
      <xdr:rowOff>43067</xdr:rowOff>
    </xdr:from>
    <xdr:to>
      <xdr:col>23</xdr:col>
      <xdr:colOff>275273</xdr:colOff>
      <xdr:row>222</xdr:row>
      <xdr:rowOff>1</xdr:rowOff>
    </xdr:to>
    <xdr:sp macro="" textlink="">
      <xdr:nvSpPr>
        <xdr:cNvPr id="265" name="IMP_TUN_20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>
          <a:off x="7916228" y="29665817"/>
          <a:ext cx="226695" cy="325234"/>
        </a:xfrm>
        <a:prstGeom prst="rect">
          <a:avLst/>
        </a:prstGeom>
        <a:solidFill>
          <a:schemeClr val="accent6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24</xdr:col>
      <xdr:colOff>47149</xdr:colOff>
      <xdr:row>222</xdr:row>
      <xdr:rowOff>0</xdr:rowOff>
    </xdr:from>
    <xdr:to>
      <xdr:col>24</xdr:col>
      <xdr:colOff>267177</xdr:colOff>
      <xdr:row>222</xdr:row>
      <xdr:rowOff>0</xdr:rowOff>
    </xdr:to>
    <xdr:sp macro="" textlink="">
      <xdr:nvSpPr>
        <xdr:cNvPr id="266" name="IMP_TUN_2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>
          <a:off x="7981474" y="340995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47149</xdr:colOff>
      <xdr:row>222</xdr:row>
      <xdr:rowOff>0</xdr:rowOff>
    </xdr:from>
    <xdr:to>
      <xdr:col>26</xdr:col>
      <xdr:colOff>267177</xdr:colOff>
      <xdr:row>222</xdr:row>
      <xdr:rowOff>0</xdr:rowOff>
    </xdr:to>
    <xdr:sp macro="" textlink="">
      <xdr:nvSpPr>
        <xdr:cNvPr id="267" name="IMP_TUN_23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>
          <a:off x="8610124" y="340995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27</xdr:col>
      <xdr:colOff>47149</xdr:colOff>
      <xdr:row>222</xdr:row>
      <xdr:rowOff>0</xdr:rowOff>
    </xdr:from>
    <xdr:to>
      <xdr:col>27</xdr:col>
      <xdr:colOff>267177</xdr:colOff>
      <xdr:row>222</xdr:row>
      <xdr:rowOff>0</xdr:rowOff>
    </xdr:to>
    <xdr:sp macro="" textlink="">
      <xdr:nvSpPr>
        <xdr:cNvPr id="268" name="IMP_TUN_24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>
          <a:off x="8924449" y="34099500"/>
          <a:ext cx="220028" cy="0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4</xdr:col>
      <xdr:colOff>48577</xdr:colOff>
      <xdr:row>255</xdr:row>
      <xdr:rowOff>178981</xdr:rowOff>
    </xdr:from>
    <xdr:to>
      <xdr:col>4</xdr:col>
      <xdr:colOff>275272</xdr:colOff>
      <xdr:row>256</xdr:row>
      <xdr:rowOff>1</xdr:rowOff>
    </xdr:to>
    <xdr:sp macro="" textlink="">
      <xdr:nvSpPr>
        <xdr:cNvPr id="269" name="IMP_PAN_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>
          <a:off x="1763077" y="36246981"/>
          <a:ext cx="226695" cy="51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5</xdr:col>
      <xdr:colOff>48577</xdr:colOff>
      <xdr:row>255</xdr:row>
      <xdr:rowOff>179288</xdr:rowOff>
    </xdr:from>
    <xdr:to>
      <xdr:col>5</xdr:col>
      <xdr:colOff>275272</xdr:colOff>
      <xdr:row>256</xdr:row>
      <xdr:rowOff>0</xdr:rowOff>
    </xdr:to>
    <xdr:sp macro="" textlink="">
      <xdr:nvSpPr>
        <xdr:cNvPr id="270" name="IMP_PAN_2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>
          <a:off x="2086927" y="36247288"/>
          <a:ext cx="226695" cy="486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18</xdr:col>
      <xdr:colOff>48578</xdr:colOff>
      <xdr:row>255</xdr:row>
      <xdr:rowOff>180280</xdr:rowOff>
    </xdr:from>
    <xdr:to>
      <xdr:col>18</xdr:col>
      <xdr:colOff>275273</xdr:colOff>
      <xdr:row>255</xdr:row>
      <xdr:rowOff>184148</xdr:rowOff>
    </xdr:to>
    <xdr:sp macro="" textlink="">
      <xdr:nvSpPr>
        <xdr:cNvPr id="271" name="IMP_PAN_15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>
          <a:off x="6296978" y="36248280"/>
          <a:ext cx="226695" cy="3868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48578</xdr:colOff>
      <xdr:row>256</xdr:row>
      <xdr:rowOff>0</xdr:rowOff>
    </xdr:from>
    <xdr:to>
      <xdr:col>15</xdr:col>
      <xdr:colOff>275273</xdr:colOff>
      <xdr:row>256</xdr:row>
      <xdr:rowOff>0</xdr:rowOff>
    </xdr:to>
    <xdr:sp macro="" textlink="">
      <xdr:nvSpPr>
        <xdr:cNvPr id="272" name="IMP_PAN_12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>
          <a:off x="5325428" y="3625215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14</xdr:col>
      <xdr:colOff>48578</xdr:colOff>
      <xdr:row>256</xdr:row>
      <xdr:rowOff>0</xdr:rowOff>
    </xdr:from>
    <xdr:to>
      <xdr:col>14</xdr:col>
      <xdr:colOff>275273</xdr:colOff>
      <xdr:row>256</xdr:row>
      <xdr:rowOff>0</xdr:rowOff>
    </xdr:to>
    <xdr:sp macro="" textlink="">
      <xdr:nvSpPr>
        <xdr:cNvPr id="273" name="IMP_PAN_1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>
          <a:off x="5001578" y="3625215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48578</xdr:colOff>
      <xdr:row>255</xdr:row>
      <xdr:rowOff>180243</xdr:rowOff>
    </xdr:from>
    <xdr:to>
      <xdr:col>16</xdr:col>
      <xdr:colOff>275273</xdr:colOff>
      <xdr:row>256</xdr:row>
      <xdr:rowOff>0</xdr:rowOff>
    </xdr:to>
    <xdr:sp macro="" textlink="">
      <xdr:nvSpPr>
        <xdr:cNvPr id="274" name="IMP_PAN_13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>
          <a:off x="5649278" y="36248243"/>
          <a:ext cx="226695" cy="3907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19</xdr:col>
      <xdr:colOff>48578</xdr:colOff>
      <xdr:row>255</xdr:row>
      <xdr:rowOff>180346</xdr:rowOff>
    </xdr:from>
    <xdr:to>
      <xdr:col>19</xdr:col>
      <xdr:colOff>275273</xdr:colOff>
      <xdr:row>256</xdr:row>
      <xdr:rowOff>1</xdr:rowOff>
    </xdr:to>
    <xdr:sp macro="" textlink="">
      <xdr:nvSpPr>
        <xdr:cNvPr id="275" name="IMP_PAN_16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>
          <a:off x="6620828" y="36248346"/>
          <a:ext cx="226695" cy="3805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11</xdr:col>
      <xdr:colOff>48578</xdr:colOff>
      <xdr:row>255</xdr:row>
      <xdr:rowOff>180206</xdr:rowOff>
    </xdr:from>
    <xdr:to>
      <xdr:col>11</xdr:col>
      <xdr:colOff>275273</xdr:colOff>
      <xdr:row>255</xdr:row>
      <xdr:rowOff>184148</xdr:rowOff>
    </xdr:to>
    <xdr:sp macro="" textlink="">
      <xdr:nvSpPr>
        <xdr:cNvPr id="276" name="IMP_PAN_8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>
          <a:off x="4030028" y="36248206"/>
          <a:ext cx="226695" cy="394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12</xdr:col>
      <xdr:colOff>48578</xdr:colOff>
      <xdr:row>256</xdr:row>
      <xdr:rowOff>0</xdr:rowOff>
    </xdr:from>
    <xdr:to>
      <xdr:col>12</xdr:col>
      <xdr:colOff>275273</xdr:colOff>
      <xdr:row>256</xdr:row>
      <xdr:rowOff>0</xdr:rowOff>
    </xdr:to>
    <xdr:sp macro="" textlink="">
      <xdr:nvSpPr>
        <xdr:cNvPr id="277" name="IMP_PAN_9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>
          <a:off x="4353878" y="3625215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48577</xdr:colOff>
      <xdr:row>255</xdr:row>
      <xdr:rowOff>180187</xdr:rowOff>
    </xdr:from>
    <xdr:to>
      <xdr:col>7</xdr:col>
      <xdr:colOff>275272</xdr:colOff>
      <xdr:row>256</xdr:row>
      <xdr:rowOff>0</xdr:rowOff>
    </xdr:to>
    <xdr:sp macro="" textlink="">
      <xdr:nvSpPr>
        <xdr:cNvPr id="278" name="IMP_PAN_4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>
          <a:off x="2734627" y="36248187"/>
          <a:ext cx="226695" cy="3963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8</xdr:col>
      <xdr:colOff>48577</xdr:colOff>
      <xdr:row>255</xdr:row>
      <xdr:rowOff>180194</xdr:rowOff>
    </xdr:from>
    <xdr:to>
      <xdr:col>8</xdr:col>
      <xdr:colOff>275272</xdr:colOff>
      <xdr:row>256</xdr:row>
      <xdr:rowOff>0</xdr:rowOff>
    </xdr:to>
    <xdr:sp macro="" textlink="">
      <xdr:nvSpPr>
        <xdr:cNvPr id="279" name="IMP_PAN_5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>
          <a:off x="3058477" y="36248194"/>
          <a:ext cx="226695" cy="395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9</xdr:col>
      <xdr:colOff>48578</xdr:colOff>
      <xdr:row>255</xdr:row>
      <xdr:rowOff>180194</xdr:rowOff>
    </xdr:from>
    <xdr:to>
      <xdr:col>9</xdr:col>
      <xdr:colOff>275273</xdr:colOff>
      <xdr:row>256</xdr:row>
      <xdr:rowOff>1</xdr:rowOff>
    </xdr:to>
    <xdr:sp macro="" textlink="">
      <xdr:nvSpPr>
        <xdr:cNvPr id="280" name="IMP_PAN_6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>
          <a:off x="3382328" y="36248194"/>
          <a:ext cx="226695" cy="3957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10</xdr:col>
      <xdr:colOff>48578</xdr:colOff>
      <xdr:row>233</xdr:row>
      <xdr:rowOff>150481</xdr:rowOff>
    </xdr:from>
    <xdr:to>
      <xdr:col>10</xdr:col>
      <xdr:colOff>275273</xdr:colOff>
      <xdr:row>238</xdr:row>
      <xdr:rowOff>184149</xdr:rowOff>
    </xdr:to>
    <xdr:sp macro="" textlink="">
      <xdr:nvSpPr>
        <xdr:cNvPr id="281" name="IMP_CAV_7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>
          <a:off x="3706178" y="32167181"/>
          <a:ext cx="226695" cy="95441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48578</xdr:colOff>
      <xdr:row>256</xdr:row>
      <xdr:rowOff>0</xdr:rowOff>
    </xdr:from>
    <xdr:to>
      <xdr:col>13</xdr:col>
      <xdr:colOff>275273</xdr:colOff>
      <xdr:row>256</xdr:row>
      <xdr:rowOff>0</xdr:rowOff>
    </xdr:to>
    <xdr:sp macro="" textlink="">
      <xdr:nvSpPr>
        <xdr:cNvPr id="282" name="IMP_PAN_10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>
          <a:off x="4677728" y="36252150"/>
          <a:ext cx="226695" cy="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6</xdr:col>
      <xdr:colOff>48577</xdr:colOff>
      <xdr:row>255</xdr:row>
      <xdr:rowOff>180178</xdr:rowOff>
    </xdr:from>
    <xdr:to>
      <xdr:col>6</xdr:col>
      <xdr:colOff>275272</xdr:colOff>
      <xdr:row>256</xdr:row>
      <xdr:rowOff>0</xdr:rowOff>
    </xdr:to>
    <xdr:sp macro="" textlink="">
      <xdr:nvSpPr>
        <xdr:cNvPr id="283" name="IMP_PAN_3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>
          <a:off x="2410777" y="36248178"/>
          <a:ext cx="226695" cy="3972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17</xdr:col>
      <xdr:colOff>48578</xdr:colOff>
      <xdr:row>255</xdr:row>
      <xdr:rowOff>180249</xdr:rowOff>
    </xdr:from>
    <xdr:to>
      <xdr:col>17</xdr:col>
      <xdr:colOff>275273</xdr:colOff>
      <xdr:row>255</xdr:row>
      <xdr:rowOff>184149</xdr:rowOff>
    </xdr:to>
    <xdr:sp macro="" textlink="">
      <xdr:nvSpPr>
        <xdr:cNvPr id="284" name="IMP_PAN_14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>
          <a:off x="5973128" y="36248249"/>
          <a:ext cx="226695" cy="390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20</xdr:col>
      <xdr:colOff>48578</xdr:colOff>
      <xdr:row>255</xdr:row>
      <xdr:rowOff>179775</xdr:rowOff>
    </xdr:from>
    <xdr:to>
      <xdr:col>20</xdr:col>
      <xdr:colOff>275273</xdr:colOff>
      <xdr:row>256</xdr:row>
      <xdr:rowOff>1</xdr:rowOff>
    </xdr:to>
    <xdr:sp macro="" textlink="">
      <xdr:nvSpPr>
        <xdr:cNvPr id="285" name="IMP_PAN_17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>
          <a:off x="6944678" y="36247775"/>
          <a:ext cx="226695" cy="4376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48578</xdr:colOff>
      <xdr:row>255</xdr:row>
      <xdr:rowOff>179149</xdr:rowOff>
    </xdr:from>
    <xdr:to>
      <xdr:col>21</xdr:col>
      <xdr:colOff>275273</xdr:colOff>
      <xdr:row>255</xdr:row>
      <xdr:rowOff>184149</xdr:rowOff>
    </xdr:to>
    <xdr:sp macro="" textlink="">
      <xdr:nvSpPr>
        <xdr:cNvPr id="286" name="IMP_PAN_18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>
          <a:off x="7268528" y="36247149"/>
          <a:ext cx="226695" cy="500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22</xdr:col>
      <xdr:colOff>48578</xdr:colOff>
      <xdr:row>255</xdr:row>
      <xdr:rowOff>180284</xdr:rowOff>
    </xdr:from>
    <xdr:to>
      <xdr:col>22</xdr:col>
      <xdr:colOff>275273</xdr:colOff>
      <xdr:row>256</xdr:row>
      <xdr:rowOff>1</xdr:rowOff>
    </xdr:to>
    <xdr:sp macro="" textlink="">
      <xdr:nvSpPr>
        <xdr:cNvPr id="287" name="IMP_PAN_19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>
          <a:off x="7592378" y="36248284"/>
          <a:ext cx="226695" cy="3867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23</xdr:col>
      <xdr:colOff>48578</xdr:colOff>
      <xdr:row>255</xdr:row>
      <xdr:rowOff>179260</xdr:rowOff>
    </xdr:from>
    <xdr:to>
      <xdr:col>23</xdr:col>
      <xdr:colOff>275273</xdr:colOff>
      <xdr:row>256</xdr:row>
      <xdr:rowOff>0</xdr:rowOff>
    </xdr:to>
    <xdr:sp macro="" textlink="">
      <xdr:nvSpPr>
        <xdr:cNvPr id="288" name="IMP_PAN_20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>
          <a:off x="7916228" y="36247260"/>
          <a:ext cx="226695" cy="489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24</xdr:col>
      <xdr:colOff>47149</xdr:colOff>
      <xdr:row>256</xdr:row>
      <xdr:rowOff>0</xdr:rowOff>
    </xdr:from>
    <xdr:to>
      <xdr:col>24</xdr:col>
      <xdr:colOff>267177</xdr:colOff>
      <xdr:row>256</xdr:row>
      <xdr:rowOff>0</xdr:rowOff>
    </xdr:to>
    <xdr:sp macro="" textlink="">
      <xdr:nvSpPr>
        <xdr:cNvPr id="289" name="IMP_PAN_2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>
          <a:off x="7981474" y="405765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25</xdr:col>
      <xdr:colOff>47149</xdr:colOff>
      <xdr:row>256</xdr:row>
      <xdr:rowOff>0</xdr:rowOff>
    </xdr:from>
    <xdr:to>
      <xdr:col>25</xdr:col>
      <xdr:colOff>267177</xdr:colOff>
      <xdr:row>256</xdr:row>
      <xdr:rowOff>0</xdr:rowOff>
    </xdr:to>
    <xdr:sp macro="" textlink="">
      <xdr:nvSpPr>
        <xdr:cNvPr id="290" name="IMP_PAN_22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>
          <a:off x="8295799" y="405765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47149</xdr:colOff>
      <xdr:row>256</xdr:row>
      <xdr:rowOff>0</xdr:rowOff>
    </xdr:from>
    <xdr:to>
      <xdr:col>26</xdr:col>
      <xdr:colOff>267177</xdr:colOff>
      <xdr:row>256</xdr:row>
      <xdr:rowOff>0</xdr:rowOff>
    </xdr:to>
    <xdr:sp macro="" textlink="">
      <xdr:nvSpPr>
        <xdr:cNvPr id="291" name="IMP_PAN_23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>
          <a:off x="8610124" y="405765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27</xdr:col>
      <xdr:colOff>47149</xdr:colOff>
      <xdr:row>256</xdr:row>
      <xdr:rowOff>0</xdr:rowOff>
    </xdr:from>
    <xdr:to>
      <xdr:col>27</xdr:col>
      <xdr:colOff>267177</xdr:colOff>
      <xdr:row>256</xdr:row>
      <xdr:rowOff>0</xdr:rowOff>
    </xdr:to>
    <xdr:sp macro="" textlink="">
      <xdr:nvSpPr>
        <xdr:cNvPr id="292" name="IMP_PAN_24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>
          <a:off x="8924449" y="40576500"/>
          <a:ext cx="220028" cy="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10</xdr:col>
      <xdr:colOff>48578</xdr:colOff>
      <xdr:row>273</xdr:row>
      <xdr:rowOff>0</xdr:rowOff>
    </xdr:from>
    <xdr:to>
      <xdr:col>10</xdr:col>
      <xdr:colOff>275273</xdr:colOff>
      <xdr:row>273</xdr:row>
      <xdr:rowOff>0</xdr:rowOff>
    </xdr:to>
    <xdr:sp macro="" textlink="">
      <xdr:nvSpPr>
        <xdr:cNvPr id="317" name="IMP_STRAT_7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>
          <a:off x="3706178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4</xdr:col>
      <xdr:colOff>48577</xdr:colOff>
      <xdr:row>273</xdr:row>
      <xdr:rowOff>0</xdr:rowOff>
    </xdr:from>
    <xdr:to>
      <xdr:col>4</xdr:col>
      <xdr:colOff>275272</xdr:colOff>
      <xdr:row>273</xdr:row>
      <xdr:rowOff>0</xdr:rowOff>
    </xdr:to>
    <xdr:sp macro="" textlink="">
      <xdr:nvSpPr>
        <xdr:cNvPr id="318" name="IMP_STRAT_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>
          <a:off x="1763077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5</xdr:col>
      <xdr:colOff>48577</xdr:colOff>
      <xdr:row>273</xdr:row>
      <xdr:rowOff>0</xdr:rowOff>
    </xdr:from>
    <xdr:to>
      <xdr:col>5</xdr:col>
      <xdr:colOff>275272</xdr:colOff>
      <xdr:row>273</xdr:row>
      <xdr:rowOff>0</xdr:rowOff>
    </xdr:to>
    <xdr:sp macro="" textlink="">
      <xdr:nvSpPr>
        <xdr:cNvPr id="319" name="IMP_STRAT_2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>
          <a:off x="2086927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18</xdr:col>
      <xdr:colOff>48578</xdr:colOff>
      <xdr:row>273</xdr:row>
      <xdr:rowOff>0</xdr:rowOff>
    </xdr:from>
    <xdr:to>
      <xdr:col>18</xdr:col>
      <xdr:colOff>275273</xdr:colOff>
      <xdr:row>273</xdr:row>
      <xdr:rowOff>0</xdr:rowOff>
    </xdr:to>
    <xdr:sp macro="" textlink="">
      <xdr:nvSpPr>
        <xdr:cNvPr id="320" name="IMP_STRAT_15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>
          <a:off x="629697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48578</xdr:colOff>
      <xdr:row>273</xdr:row>
      <xdr:rowOff>0</xdr:rowOff>
    </xdr:from>
    <xdr:to>
      <xdr:col>15</xdr:col>
      <xdr:colOff>275273</xdr:colOff>
      <xdr:row>273</xdr:row>
      <xdr:rowOff>0</xdr:rowOff>
    </xdr:to>
    <xdr:sp macro="" textlink="">
      <xdr:nvSpPr>
        <xdr:cNvPr id="321" name="IMP_STRAT_12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>
          <a:off x="532542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14</xdr:col>
      <xdr:colOff>48578</xdr:colOff>
      <xdr:row>273</xdr:row>
      <xdr:rowOff>0</xdr:rowOff>
    </xdr:from>
    <xdr:to>
      <xdr:col>14</xdr:col>
      <xdr:colOff>275273</xdr:colOff>
      <xdr:row>273</xdr:row>
      <xdr:rowOff>0</xdr:rowOff>
    </xdr:to>
    <xdr:sp macro="" textlink="">
      <xdr:nvSpPr>
        <xdr:cNvPr id="322" name="IMP_STRAT_1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>
          <a:off x="500157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48578</xdr:colOff>
      <xdr:row>273</xdr:row>
      <xdr:rowOff>0</xdr:rowOff>
    </xdr:from>
    <xdr:to>
      <xdr:col>16</xdr:col>
      <xdr:colOff>275273</xdr:colOff>
      <xdr:row>273</xdr:row>
      <xdr:rowOff>0</xdr:rowOff>
    </xdr:to>
    <xdr:sp macro="" textlink="">
      <xdr:nvSpPr>
        <xdr:cNvPr id="323" name="IMP_STRAT_13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>
          <a:off x="564927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19</xdr:col>
      <xdr:colOff>48578</xdr:colOff>
      <xdr:row>273</xdr:row>
      <xdr:rowOff>0</xdr:rowOff>
    </xdr:from>
    <xdr:to>
      <xdr:col>19</xdr:col>
      <xdr:colOff>275273</xdr:colOff>
      <xdr:row>273</xdr:row>
      <xdr:rowOff>0</xdr:rowOff>
    </xdr:to>
    <xdr:sp macro="" textlink="">
      <xdr:nvSpPr>
        <xdr:cNvPr id="324" name="IMP_STRAT_16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>
          <a:off x="662082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11</xdr:col>
      <xdr:colOff>48578</xdr:colOff>
      <xdr:row>273</xdr:row>
      <xdr:rowOff>0</xdr:rowOff>
    </xdr:from>
    <xdr:to>
      <xdr:col>11</xdr:col>
      <xdr:colOff>275273</xdr:colOff>
      <xdr:row>273</xdr:row>
      <xdr:rowOff>0</xdr:rowOff>
    </xdr:to>
    <xdr:sp macro="" textlink="">
      <xdr:nvSpPr>
        <xdr:cNvPr id="325" name="IMP_STRAT_8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>
          <a:off x="4030028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12</xdr:col>
      <xdr:colOff>48578</xdr:colOff>
      <xdr:row>273</xdr:row>
      <xdr:rowOff>0</xdr:rowOff>
    </xdr:from>
    <xdr:to>
      <xdr:col>12</xdr:col>
      <xdr:colOff>275273</xdr:colOff>
      <xdr:row>273</xdr:row>
      <xdr:rowOff>0</xdr:rowOff>
    </xdr:to>
    <xdr:sp macro="" textlink="">
      <xdr:nvSpPr>
        <xdr:cNvPr id="326" name="IMP_STRAT_9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>
          <a:off x="435387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48577</xdr:colOff>
      <xdr:row>273</xdr:row>
      <xdr:rowOff>0</xdr:rowOff>
    </xdr:from>
    <xdr:to>
      <xdr:col>7</xdr:col>
      <xdr:colOff>275272</xdr:colOff>
      <xdr:row>273</xdr:row>
      <xdr:rowOff>0</xdr:rowOff>
    </xdr:to>
    <xdr:sp macro="" textlink="">
      <xdr:nvSpPr>
        <xdr:cNvPr id="327" name="IMP_STRAT_4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>
          <a:off x="2734627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8</xdr:col>
      <xdr:colOff>48577</xdr:colOff>
      <xdr:row>273</xdr:row>
      <xdr:rowOff>0</xdr:rowOff>
    </xdr:from>
    <xdr:to>
      <xdr:col>8</xdr:col>
      <xdr:colOff>275272</xdr:colOff>
      <xdr:row>273</xdr:row>
      <xdr:rowOff>0</xdr:rowOff>
    </xdr:to>
    <xdr:sp macro="" textlink="">
      <xdr:nvSpPr>
        <xdr:cNvPr id="328" name="IMP_STRAT_5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>
          <a:off x="3058477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9</xdr:col>
      <xdr:colOff>48578</xdr:colOff>
      <xdr:row>273</xdr:row>
      <xdr:rowOff>0</xdr:rowOff>
    </xdr:from>
    <xdr:to>
      <xdr:col>9</xdr:col>
      <xdr:colOff>275273</xdr:colOff>
      <xdr:row>273</xdr:row>
      <xdr:rowOff>0</xdr:rowOff>
    </xdr:to>
    <xdr:sp macro="" textlink="">
      <xdr:nvSpPr>
        <xdr:cNvPr id="329" name="IMP_STRAT_6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>
          <a:off x="3382328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48578</xdr:colOff>
      <xdr:row>273</xdr:row>
      <xdr:rowOff>0</xdr:rowOff>
    </xdr:from>
    <xdr:to>
      <xdr:col>13</xdr:col>
      <xdr:colOff>275273</xdr:colOff>
      <xdr:row>273</xdr:row>
      <xdr:rowOff>0</xdr:rowOff>
    </xdr:to>
    <xdr:sp macro="" textlink="">
      <xdr:nvSpPr>
        <xdr:cNvPr id="330" name="IMP_STRAT_10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>
          <a:off x="467772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6</xdr:col>
      <xdr:colOff>48577</xdr:colOff>
      <xdr:row>273</xdr:row>
      <xdr:rowOff>0</xdr:rowOff>
    </xdr:from>
    <xdr:to>
      <xdr:col>6</xdr:col>
      <xdr:colOff>275272</xdr:colOff>
      <xdr:row>273</xdr:row>
      <xdr:rowOff>0</xdr:rowOff>
    </xdr:to>
    <xdr:sp macro="" textlink="">
      <xdr:nvSpPr>
        <xdr:cNvPr id="331" name="IMP_STRAT_3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>
          <a:off x="2410777" y="39382700"/>
          <a:ext cx="226695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17</xdr:col>
      <xdr:colOff>48578</xdr:colOff>
      <xdr:row>273</xdr:row>
      <xdr:rowOff>0</xdr:rowOff>
    </xdr:from>
    <xdr:to>
      <xdr:col>17</xdr:col>
      <xdr:colOff>275273</xdr:colOff>
      <xdr:row>273</xdr:row>
      <xdr:rowOff>0</xdr:rowOff>
    </xdr:to>
    <xdr:sp macro="" textlink="">
      <xdr:nvSpPr>
        <xdr:cNvPr id="332" name="IMP_STRAT_14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>
          <a:off x="597312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20</xdr:col>
      <xdr:colOff>48578</xdr:colOff>
      <xdr:row>273</xdr:row>
      <xdr:rowOff>0</xdr:rowOff>
    </xdr:from>
    <xdr:to>
      <xdr:col>20</xdr:col>
      <xdr:colOff>275273</xdr:colOff>
      <xdr:row>273</xdr:row>
      <xdr:rowOff>0</xdr:rowOff>
    </xdr:to>
    <xdr:sp macro="" textlink="">
      <xdr:nvSpPr>
        <xdr:cNvPr id="333" name="IMP_STRAT_17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>
          <a:off x="694467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48578</xdr:colOff>
      <xdr:row>273</xdr:row>
      <xdr:rowOff>0</xdr:rowOff>
    </xdr:from>
    <xdr:to>
      <xdr:col>21</xdr:col>
      <xdr:colOff>275273</xdr:colOff>
      <xdr:row>273</xdr:row>
      <xdr:rowOff>0</xdr:rowOff>
    </xdr:to>
    <xdr:sp macro="" textlink="">
      <xdr:nvSpPr>
        <xdr:cNvPr id="334" name="IMP_STRAT_18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>
          <a:off x="726852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22</xdr:col>
      <xdr:colOff>48578</xdr:colOff>
      <xdr:row>273</xdr:row>
      <xdr:rowOff>0</xdr:rowOff>
    </xdr:from>
    <xdr:to>
      <xdr:col>22</xdr:col>
      <xdr:colOff>275273</xdr:colOff>
      <xdr:row>273</xdr:row>
      <xdr:rowOff>0</xdr:rowOff>
    </xdr:to>
    <xdr:sp macro="" textlink="">
      <xdr:nvSpPr>
        <xdr:cNvPr id="335" name="IMP_STRAT_19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>
          <a:off x="759237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23</xdr:col>
      <xdr:colOff>48578</xdr:colOff>
      <xdr:row>273</xdr:row>
      <xdr:rowOff>0</xdr:rowOff>
    </xdr:from>
    <xdr:to>
      <xdr:col>23</xdr:col>
      <xdr:colOff>275273</xdr:colOff>
      <xdr:row>273</xdr:row>
      <xdr:rowOff>0</xdr:rowOff>
    </xdr:to>
    <xdr:sp macro="" textlink="">
      <xdr:nvSpPr>
        <xdr:cNvPr id="336" name="IMP_STRAT_20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>
          <a:off x="7916228" y="39382700"/>
          <a:ext cx="226695" cy="0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24</xdr:col>
      <xdr:colOff>47149</xdr:colOff>
      <xdr:row>273</xdr:row>
      <xdr:rowOff>0</xdr:rowOff>
    </xdr:from>
    <xdr:to>
      <xdr:col>24</xdr:col>
      <xdr:colOff>267177</xdr:colOff>
      <xdr:row>273</xdr:row>
      <xdr:rowOff>0</xdr:rowOff>
    </xdr:to>
    <xdr:sp macro="" textlink="">
      <xdr:nvSpPr>
        <xdr:cNvPr id="337" name="IMP_STRAT_2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>
          <a:off x="7981474" y="43815000"/>
          <a:ext cx="220028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25</xdr:col>
      <xdr:colOff>47149</xdr:colOff>
      <xdr:row>273</xdr:row>
      <xdr:rowOff>0</xdr:rowOff>
    </xdr:from>
    <xdr:to>
      <xdr:col>25</xdr:col>
      <xdr:colOff>267177</xdr:colOff>
      <xdr:row>273</xdr:row>
      <xdr:rowOff>0</xdr:rowOff>
    </xdr:to>
    <xdr:sp macro="" textlink="">
      <xdr:nvSpPr>
        <xdr:cNvPr id="338" name="IMP_STRAT_22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>
          <a:off x="8295799" y="43815000"/>
          <a:ext cx="220028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26</xdr:col>
      <xdr:colOff>47149</xdr:colOff>
      <xdr:row>273</xdr:row>
      <xdr:rowOff>0</xdr:rowOff>
    </xdr:from>
    <xdr:to>
      <xdr:col>26</xdr:col>
      <xdr:colOff>267177</xdr:colOff>
      <xdr:row>273</xdr:row>
      <xdr:rowOff>0</xdr:rowOff>
    </xdr:to>
    <xdr:sp macro="" textlink="">
      <xdr:nvSpPr>
        <xdr:cNvPr id="339" name="IMP_STRAT_23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>
          <a:off x="8610124" y="43815000"/>
          <a:ext cx="220028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27</xdr:col>
      <xdr:colOff>47149</xdr:colOff>
      <xdr:row>273</xdr:row>
      <xdr:rowOff>0</xdr:rowOff>
    </xdr:from>
    <xdr:to>
      <xdr:col>27</xdr:col>
      <xdr:colOff>267177</xdr:colOff>
      <xdr:row>273</xdr:row>
      <xdr:rowOff>0</xdr:rowOff>
    </xdr:to>
    <xdr:sp macro="" textlink="">
      <xdr:nvSpPr>
        <xdr:cNvPr id="340" name="IMP_STRAT_24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>
          <a:off x="8924449" y="43815000"/>
          <a:ext cx="220028" cy="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5</xdr:col>
      <xdr:colOff>48577</xdr:colOff>
      <xdr:row>80</xdr:row>
      <xdr:rowOff>68639</xdr:rowOff>
    </xdr:from>
    <xdr:to>
      <xdr:col>5</xdr:col>
      <xdr:colOff>275272</xdr:colOff>
      <xdr:row>82</xdr:row>
      <xdr:rowOff>0</xdr:rowOff>
    </xdr:to>
    <xdr:sp macro="" textlink="">
      <xdr:nvSpPr>
        <xdr:cNvPr id="342" name="CON_IND_2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>
          <a:off x="2086927" y="9434889"/>
          <a:ext cx="226695" cy="29966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48578</xdr:colOff>
      <xdr:row>80</xdr:row>
      <xdr:rowOff>92931</xdr:rowOff>
    </xdr:from>
    <xdr:to>
      <xdr:col>18</xdr:col>
      <xdr:colOff>275273</xdr:colOff>
      <xdr:row>82</xdr:row>
      <xdr:rowOff>0</xdr:rowOff>
    </xdr:to>
    <xdr:sp macro="" textlink="">
      <xdr:nvSpPr>
        <xdr:cNvPr id="343" name="CON_IND_15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>
          <a:off x="6296978" y="9459181"/>
          <a:ext cx="226695" cy="27536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48578</xdr:colOff>
      <xdr:row>82</xdr:row>
      <xdr:rowOff>0</xdr:rowOff>
    </xdr:from>
    <xdr:to>
      <xdr:col>15</xdr:col>
      <xdr:colOff>275273</xdr:colOff>
      <xdr:row>82</xdr:row>
      <xdr:rowOff>0</xdr:rowOff>
    </xdr:to>
    <xdr:sp macro="" textlink="">
      <xdr:nvSpPr>
        <xdr:cNvPr id="344" name="CON_IND_12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>
          <a:off x="5325428" y="9734550"/>
          <a:ext cx="226695" cy="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48578</xdr:colOff>
      <xdr:row>150</xdr:row>
      <xdr:rowOff>0</xdr:rowOff>
    </xdr:from>
    <xdr:to>
      <xdr:col>14</xdr:col>
      <xdr:colOff>275273</xdr:colOff>
      <xdr:row>150</xdr:row>
      <xdr:rowOff>0</xdr:rowOff>
    </xdr:to>
    <xdr:sp macro="" textlink="">
      <xdr:nvSpPr>
        <xdr:cNvPr id="345" name="CON_OTHER_1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>
          <a:off x="5001578" y="1673225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48578</xdr:colOff>
      <xdr:row>80</xdr:row>
      <xdr:rowOff>132836</xdr:rowOff>
    </xdr:from>
    <xdr:to>
      <xdr:col>16</xdr:col>
      <xdr:colOff>275273</xdr:colOff>
      <xdr:row>82</xdr:row>
      <xdr:rowOff>0</xdr:rowOff>
    </xdr:to>
    <xdr:sp macro="" textlink="">
      <xdr:nvSpPr>
        <xdr:cNvPr id="346" name="CON_IND_13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>
          <a:off x="5649278" y="9499086"/>
          <a:ext cx="226695" cy="23546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48578</xdr:colOff>
      <xdr:row>80</xdr:row>
      <xdr:rowOff>92479</xdr:rowOff>
    </xdr:from>
    <xdr:to>
      <xdr:col>19</xdr:col>
      <xdr:colOff>275273</xdr:colOff>
      <xdr:row>82</xdr:row>
      <xdr:rowOff>0</xdr:rowOff>
    </xdr:to>
    <xdr:sp macro="" textlink="">
      <xdr:nvSpPr>
        <xdr:cNvPr id="347" name="CON_IND_16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>
          <a:off x="6620828" y="9458729"/>
          <a:ext cx="226695" cy="27582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48578</xdr:colOff>
      <xdr:row>80</xdr:row>
      <xdr:rowOff>76889</xdr:rowOff>
    </xdr:from>
    <xdr:to>
      <xdr:col>11</xdr:col>
      <xdr:colOff>275273</xdr:colOff>
      <xdr:row>82</xdr:row>
      <xdr:rowOff>0</xdr:rowOff>
    </xdr:to>
    <xdr:sp macro="" textlink="">
      <xdr:nvSpPr>
        <xdr:cNvPr id="348" name="CON_IND_8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>
          <a:off x="4030028" y="9443139"/>
          <a:ext cx="226695" cy="29141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48578</xdr:colOff>
      <xdr:row>82</xdr:row>
      <xdr:rowOff>0</xdr:rowOff>
    </xdr:from>
    <xdr:to>
      <xdr:col>12</xdr:col>
      <xdr:colOff>275273</xdr:colOff>
      <xdr:row>82</xdr:row>
      <xdr:rowOff>0</xdr:rowOff>
    </xdr:to>
    <xdr:sp macro="" textlink="">
      <xdr:nvSpPr>
        <xdr:cNvPr id="349" name="CON_IND_9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>
          <a:off x="4353878" y="9734550"/>
          <a:ext cx="226695" cy="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48577</xdr:colOff>
      <xdr:row>80</xdr:row>
      <xdr:rowOff>126780</xdr:rowOff>
    </xdr:from>
    <xdr:to>
      <xdr:col>7</xdr:col>
      <xdr:colOff>275272</xdr:colOff>
      <xdr:row>82</xdr:row>
      <xdr:rowOff>0</xdr:rowOff>
    </xdr:to>
    <xdr:sp macro="" textlink="">
      <xdr:nvSpPr>
        <xdr:cNvPr id="350" name="CON_IND_4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>
          <a:off x="2734627" y="9493030"/>
          <a:ext cx="226695" cy="24152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48577</xdr:colOff>
      <xdr:row>80</xdr:row>
      <xdr:rowOff>145337</xdr:rowOff>
    </xdr:from>
    <xdr:to>
      <xdr:col>8</xdr:col>
      <xdr:colOff>275272</xdr:colOff>
      <xdr:row>82</xdr:row>
      <xdr:rowOff>0</xdr:rowOff>
    </xdr:to>
    <xdr:sp macro="" textlink="">
      <xdr:nvSpPr>
        <xdr:cNvPr id="351" name="CON_IND_5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>
          <a:off x="3058477" y="9511587"/>
          <a:ext cx="226695" cy="222963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48578</xdr:colOff>
      <xdr:row>80</xdr:row>
      <xdr:rowOff>75728</xdr:rowOff>
    </xdr:from>
    <xdr:to>
      <xdr:col>9</xdr:col>
      <xdr:colOff>275273</xdr:colOff>
      <xdr:row>82</xdr:row>
      <xdr:rowOff>0</xdr:rowOff>
    </xdr:to>
    <xdr:sp macro="" textlink="">
      <xdr:nvSpPr>
        <xdr:cNvPr id="352" name="CON_IND_6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>
          <a:off x="3382328" y="9441978"/>
          <a:ext cx="226695" cy="29257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48578</xdr:colOff>
      <xdr:row>80</xdr:row>
      <xdr:rowOff>74391</xdr:rowOff>
    </xdr:from>
    <xdr:to>
      <xdr:col>10</xdr:col>
      <xdr:colOff>275273</xdr:colOff>
      <xdr:row>82</xdr:row>
      <xdr:rowOff>0</xdr:rowOff>
    </xdr:to>
    <xdr:sp macro="" textlink="">
      <xdr:nvSpPr>
        <xdr:cNvPr id="353" name="CON_IND_7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>
          <a:off x="3706178" y="9440641"/>
          <a:ext cx="226695" cy="29390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48578</xdr:colOff>
      <xdr:row>82</xdr:row>
      <xdr:rowOff>0</xdr:rowOff>
    </xdr:from>
    <xdr:to>
      <xdr:col>13</xdr:col>
      <xdr:colOff>275273</xdr:colOff>
      <xdr:row>82</xdr:row>
      <xdr:rowOff>0</xdr:rowOff>
    </xdr:to>
    <xdr:sp macro="" textlink="">
      <xdr:nvSpPr>
        <xdr:cNvPr id="354" name="CON_IND_10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>
          <a:off x="4677728" y="9734550"/>
          <a:ext cx="226695" cy="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48577</xdr:colOff>
      <xdr:row>80</xdr:row>
      <xdr:rowOff>77300</xdr:rowOff>
    </xdr:from>
    <xdr:to>
      <xdr:col>6</xdr:col>
      <xdr:colOff>275272</xdr:colOff>
      <xdr:row>82</xdr:row>
      <xdr:rowOff>0</xdr:rowOff>
    </xdr:to>
    <xdr:sp macro="" textlink="">
      <xdr:nvSpPr>
        <xdr:cNvPr id="355" name="CON_IND_3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>
          <a:off x="2410777" y="9443550"/>
          <a:ext cx="226695" cy="29100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48578</xdr:colOff>
      <xdr:row>80</xdr:row>
      <xdr:rowOff>150221</xdr:rowOff>
    </xdr:from>
    <xdr:to>
      <xdr:col>17</xdr:col>
      <xdr:colOff>275273</xdr:colOff>
      <xdr:row>82</xdr:row>
      <xdr:rowOff>0</xdr:rowOff>
    </xdr:to>
    <xdr:sp macro="" textlink="">
      <xdr:nvSpPr>
        <xdr:cNvPr id="356" name="CON_IND_14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>
          <a:off x="5973128" y="9516471"/>
          <a:ext cx="226695" cy="21807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48578</xdr:colOff>
      <xdr:row>80</xdr:row>
      <xdr:rowOff>96398</xdr:rowOff>
    </xdr:from>
    <xdr:to>
      <xdr:col>20</xdr:col>
      <xdr:colOff>275273</xdr:colOff>
      <xdr:row>82</xdr:row>
      <xdr:rowOff>0</xdr:rowOff>
    </xdr:to>
    <xdr:sp macro="" textlink="">
      <xdr:nvSpPr>
        <xdr:cNvPr id="357" name="CON_IND_17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>
          <a:off x="6944678" y="9462648"/>
          <a:ext cx="226695" cy="271902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48578</xdr:colOff>
      <xdr:row>80</xdr:row>
      <xdr:rowOff>136182</xdr:rowOff>
    </xdr:from>
    <xdr:to>
      <xdr:col>21</xdr:col>
      <xdr:colOff>275273</xdr:colOff>
      <xdr:row>82</xdr:row>
      <xdr:rowOff>0</xdr:rowOff>
    </xdr:to>
    <xdr:sp macro="" textlink="">
      <xdr:nvSpPr>
        <xdr:cNvPr id="358" name="CON_IND_18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>
          <a:off x="7268528" y="9502432"/>
          <a:ext cx="226695" cy="23211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48578</xdr:colOff>
      <xdr:row>80</xdr:row>
      <xdr:rowOff>168844</xdr:rowOff>
    </xdr:from>
    <xdr:to>
      <xdr:col>22</xdr:col>
      <xdr:colOff>275273</xdr:colOff>
      <xdr:row>82</xdr:row>
      <xdr:rowOff>0</xdr:rowOff>
    </xdr:to>
    <xdr:sp macro="" textlink="">
      <xdr:nvSpPr>
        <xdr:cNvPr id="359" name="CON_IND_19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>
          <a:off x="7592378" y="9535094"/>
          <a:ext cx="226695" cy="19945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48578</xdr:colOff>
      <xdr:row>80</xdr:row>
      <xdr:rowOff>87632</xdr:rowOff>
    </xdr:from>
    <xdr:to>
      <xdr:col>23</xdr:col>
      <xdr:colOff>275273</xdr:colOff>
      <xdr:row>82</xdr:row>
      <xdr:rowOff>0</xdr:rowOff>
    </xdr:to>
    <xdr:sp macro="" textlink="">
      <xdr:nvSpPr>
        <xdr:cNvPr id="360" name="CON_IND_20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>
          <a:off x="7916228" y="9453882"/>
          <a:ext cx="226695" cy="280668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48578</xdr:colOff>
      <xdr:row>80</xdr:row>
      <xdr:rowOff>100131</xdr:rowOff>
    </xdr:from>
    <xdr:to>
      <xdr:col>24</xdr:col>
      <xdr:colOff>275273</xdr:colOff>
      <xdr:row>82</xdr:row>
      <xdr:rowOff>0</xdr:rowOff>
    </xdr:to>
    <xdr:sp macro="" textlink="">
      <xdr:nvSpPr>
        <xdr:cNvPr id="361" name="CON_IND_2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>
          <a:off x="8240078" y="9466381"/>
          <a:ext cx="226695" cy="268169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48578</xdr:colOff>
      <xdr:row>80</xdr:row>
      <xdr:rowOff>98630</xdr:rowOff>
    </xdr:from>
    <xdr:to>
      <xdr:col>25</xdr:col>
      <xdr:colOff>275273</xdr:colOff>
      <xdr:row>82</xdr:row>
      <xdr:rowOff>0</xdr:rowOff>
    </xdr:to>
    <xdr:sp macro="" textlink="">
      <xdr:nvSpPr>
        <xdr:cNvPr id="362" name="CON_IND_22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>
          <a:off x="8563928" y="9464880"/>
          <a:ext cx="226695" cy="26967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48578</xdr:colOff>
      <xdr:row>80</xdr:row>
      <xdr:rowOff>97527</xdr:rowOff>
    </xdr:from>
    <xdr:to>
      <xdr:col>26</xdr:col>
      <xdr:colOff>275273</xdr:colOff>
      <xdr:row>82</xdr:row>
      <xdr:rowOff>0</xdr:rowOff>
    </xdr:to>
    <xdr:sp macro="" textlink="">
      <xdr:nvSpPr>
        <xdr:cNvPr id="363" name="CON_IND_23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>
          <a:off x="8887778" y="9463777"/>
          <a:ext cx="226695" cy="270773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48578</xdr:colOff>
      <xdr:row>80</xdr:row>
      <xdr:rowOff>95877</xdr:rowOff>
    </xdr:from>
    <xdr:to>
      <xdr:col>27</xdr:col>
      <xdr:colOff>275273</xdr:colOff>
      <xdr:row>82</xdr:row>
      <xdr:rowOff>0</xdr:rowOff>
    </xdr:to>
    <xdr:sp macro="" textlink="">
      <xdr:nvSpPr>
        <xdr:cNvPr id="364" name="CON_IND_24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>
          <a:off x="9211628" y="9462127"/>
          <a:ext cx="226695" cy="272423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48578</xdr:colOff>
      <xdr:row>118</xdr:row>
      <xdr:rowOff>0</xdr:rowOff>
    </xdr:from>
    <xdr:to>
      <xdr:col>14</xdr:col>
      <xdr:colOff>275273</xdr:colOff>
      <xdr:row>118</xdr:row>
      <xdr:rowOff>0</xdr:rowOff>
    </xdr:to>
    <xdr:sp macro="" textlink="">
      <xdr:nvSpPr>
        <xdr:cNvPr id="389" name="CON_POW_1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>
          <a:off x="5001578" y="1323340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48577</xdr:colOff>
      <xdr:row>115</xdr:row>
      <xdr:rowOff>152155</xdr:rowOff>
    </xdr:from>
    <xdr:to>
      <xdr:col>4</xdr:col>
      <xdr:colOff>275272</xdr:colOff>
      <xdr:row>118</xdr:row>
      <xdr:rowOff>0</xdr:rowOff>
    </xdr:to>
    <xdr:sp macro="" textlink="">
      <xdr:nvSpPr>
        <xdr:cNvPr id="390" name="CON_POW_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>
          <a:off x="1763077" y="12833105"/>
          <a:ext cx="226695" cy="40029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48577</xdr:colOff>
      <xdr:row>116</xdr:row>
      <xdr:rowOff>5660</xdr:rowOff>
    </xdr:from>
    <xdr:to>
      <xdr:col>5</xdr:col>
      <xdr:colOff>275272</xdr:colOff>
      <xdr:row>118</xdr:row>
      <xdr:rowOff>0</xdr:rowOff>
    </xdr:to>
    <xdr:sp macro="" textlink="">
      <xdr:nvSpPr>
        <xdr:cNvPr id="391" name="CON_POW_2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>
          <a:off x="2086927" y="12870760"/>
          <a:ext cx="226695" cy="36264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48578</xdr:colOff>
      <xdr:row>115</xdr:row>
      <xdr:rowOff>138892</xdr:rowOff>
    </xdr:from>
    <xdr:to>
      <xdr:col>19</xdr:col>
      <xdr:colOff>275273</xdr:colOff>
      <xdr:row>118</xdr:row>
      <xdr:rowOff>0</xdr:rowOff>
    </xdr:to>
    <xdr:sp macro="" textlink="">
      <xdr:nvSpPr>
        <xdr:cNvPr id="392" name="CON_POW_16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>
          <a:off x="6620828" y="12819842"/>
          <a:ext cx="226695" cy="413558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48578</xdr:colOff>
      <xdr:row>118</xdr:row>
      <xdr:rowOff>0</xdr:rowOff>
    </xdr:from>
    <xdr:to>
      <xdr:col>15</xdr:col>
      <xdr:colOff>275273</xdr:colOff>
      <xdr:row>118</xdr:row>
      <xdr:rowOff>0</xdr:rowOff>
    </xdr:to>
    <xdr:sp macro="" textlink="">
      <xdr:nvSpPr>
        <xdr:cNvPr id="393" name="CON_POW_12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>
          <a:off x="5325428" y="1323340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48578</xdr:colOff>
      <xdr:row>116</xdr:row>
      <xdr:rowOff>79168</xdr:rowOff>
    </xdr:from>
    <xdr:to>
      <xdr:col>16</xdr:col>
      <xdr:colOff>275273</xdr:colOff>
      <xdr:row>118</xdr:row>
      <xdr:rowOff>0</xdr:rowOff>
    </xdr:to>
    <xdr:sp macro="" textlink="">
      <xdr:nvSpPr>
        <xdr:cNvPr id="394" name="CON_POW_13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>
          <a:off x="5649278" y="12944268"/>
          <a:ext cx="226695" cy="289132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48578</xdr:colOff>
      <xdr:row>116</xdr:row>
      <xdr:rowOff>40202</xdr:rowOff>
    </xdr:from>
    <xdr:to>
      <xdr:col>20</xdr:col>
      <xdr:colOff>275273</xdr:colOff>
      <xdr:row>118</xdr:row>
      <xdr:rowOff>0</xdr:rowOff>
    </xdr:to>
    <xdr:sp macro="" textlink="">
      <xdr:nvSpPr>
        <xdr:cNvPr id="395" name="CON_POW_17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>
          <a:off x="6944678" y="12905302"/>
          <a:ext cx="226695" cy="328098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48578</xdr:colOff>
      <xdr:row>116</xdr:row>
      <xdr:rowOff>39994</xdr:rowOff>
    </xdr:from>
    <xdr:to>
      <xdr:col>11</xdr:col>
      <xdr:colOff>275273</xdr:colOff>
      <xdr:row>117</xdr:row>
      <xdr:rowOff>184149</xdr:rowOff>
    </xdr:to>
    <xdr:sp macro="" textlink="">
      <xdr:nvSpPr>
        <xdr:cNvPr id="396" name="CON_POW_8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>
          <a:off x="4030028" y="12905094"/>
          <a:ext cx="226695" cy="32830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48578</xdr:colOff>
      <xdr:row>118</xdr:row>
      <xdr:rowOff>0</xdr:rowOff>
    </xdr:from>
    <xdr:to>
      <xdr:col>12</xdr:col>
      <xdr:colOff>275273</xdr:colOff>
      <xdr:row>118</xdr:row>
      <xdr:rowOff>0</xdr:rowOff>
    </xdr:to>
    <xdr:sp macro="" textlink="">
      <xdr:nvSpPr>
        <xdr:cNvPr id="397" name="CON_POW_9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>
          <a:off x="4353878" y="1323340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48577</xdr:colOff>
      <xdr:row>116</xdr:row>
      <xdr:rowOff>129670</xdr:rowOff>
    </xdr:from>
    <xdr:to>
      <xdr:col>7</xdr:col>
      <xdr:colOff>275272</xdr:colOff>
      <xdr:row>118</xdr:row>
      <xdr:rowOff>0</xdr:rowOff>
    </xdr:to>
    <xdr:sp macro="" textlink="">
      <xdr:nvSpPr>
        <xdr:cNvPr id="398" name="CON_POW_4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>
          <a:off x="2734627" y="12994770"/>
          <a:ext cx="226695" cy="23863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48577</xdr:colOff>
      <xdr:row>116</xdr:row>
      <xdr:rowOff>133350</xdr:rowOff>
    </xdr:from>
    <xdr:to>
      <xdr:col>8</xdr:col>
      <xdr:colOff>275272</xdr:colOff>
      <xdr:row>118</xdr:row>
      <xdr:rowOff>0</xdr:rowOff>
    </xdr:to>
    <xdr:sp macro="" textlink="">
      <xdr:nvSpPr>
        <xdr:cNvPr id="399" name="CON_POW_5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>
          <a:off x="3058477" y="12998450"/>
          <a:ext cx="226695" cy="2349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48578</xdr:colOff>
      <xdr:row>116</xdr:row>
      <xdr:rowOff>55009</xdr:rowOff>
    </xdr:from>
    <xdr:to>
      <xdr:col>9</xdr:col>
      <xdr:colOff>275273</xdr:colOff>
      <xdr:row>118</xdr:row>
      <xdr:rowOff>0</xdr:rowOff>
    </xdr:to>
    <xdr:sp macro="" textlink="">
      <xdr:nvSpPr>
        <xdr:cNvPr id="400" name="CON_POW_6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>
          <a:off x="3382328" y="12920109"/>
          <a:ext cx="226695" cy="313291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48578</xdr:colOff>
      <xdr:row>116</xdr:row>
      <xdr:rowOff>8186</xdr:rowOff>
    </xdr:from>
    <xdr:to>
      <xdr:col>10</xdr:col>
      <xdr:colOff>275273</xdr:colOff>
      <xdr:row>118</xdr:row>
      <xdr:rowOff>0</xdr:rowOff>
    </xdr:to>
    <xdr:sp macro="" textlink="">
      <xdr:nvSpPr>
        <xdr:cNvPr id="401" name="CON_POW_7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>
          <a:off x="3706178" y="12873286"/>
          <a:ext cx="226695" cy="360114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48578</xdr:colOff>
      <xdr:row>118</xdr:row>
      <xdr:rowOff>0</xdr:rowOff>
    </xdr:from>
    <xdr:to>
      <xdr:col>13</xdr:col>
      <xdr:colOff>275273</xdr:colOff>
      <xdr:row>118</xdr:row>
      <xdr:rowOff>0</xdr:rowOff>
    </xdr:to>
    <xdr:sp macro="" textlink="">
      <xdr:nvSpPr>
        <xdr:cNvPr id="402" name="CON_POW_1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>
          <a:off x="4677728" y="13233400"/>
          <a:ext cx="226695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48577</xdr:colOff>
      <xdr:row>116</xdr:row>
      <xdr:rowOff>31831</xdr:rowOff>
    </xdr:from>
    <xdr:to>
      <xdr:col>6</xdr:col>
      <xdr:colOff>275272</xdr:colOff>
      <xdr:row>118</xdr:row>
      <xdr:rowOff>0</xdr:rowOff>
    </xdr:to>
    <xdr:sp macro="" textlink="">
      <xdr:nvSpPr>
        <xdr:cNvPr id="403" name="CON_POW_3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>
          <a:off x="2410777" y="12896931"/>
          <a:ext cx="226695" cy="33646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48578</xdr:colOff>
      <xdr:row>116</xdr:row>
      <xdr:rowOff>119886</xdr:rowOff>
    </xdr:from>
    <xdr:to>
      <xdr:col>17</xdr:col>
      <xdr:colOff>275273</xdr:colOff>
      <xdr:row>118</xdr:row>
      <xdr:rowOff>0</xdr:rowOff>
    </xdr:to>
    <xdr:sp macro="" textlink="">
      <xdr:nvSpPr>
        <xdr:cNvPr id="404" name="CON_POW_14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>
          <a:off x="5973128" y="12984986"/>
          <a:ext cx="226695" cy="248414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48578</xdr:colOff>
      <xdr:row>116</xdr:row>
      <xdr:rowOff>8265</xdr:rowOff>
    </xdr:from>
    <xdr:to>
      <xdr:col>18</xdr:col>
      <xdr:colOff>275273</xdr:colOff>
      <xdr:row>118</xdr:row>
      <xdr:rowOff>1</xdr:rowOff>
    </xdr:to>
    <xdr:sp macro="" textlink="">
      <xdr:nvSpPr>
        <xdr:cNvPr id="405" name="CON_POW_15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>
          <a:off x="6296978" y="12873365"/>
          <a:ext cx="226695" cy="360036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48578</xdr:colOff>
      <xdr:row>116</xdr:row>
      <xdr:rowOff>50057</xdr:rowOff>
    </xdr:from>
    <xdr:to>
      <xdr:col>21</xdr:col>
      <xdr:colOff>275273</xdr:colOff>
      <xdr:row>117</xdr:row>
      <xdr:rowOff>184149</xdr:rowOff>
    </xdr:to>
    <xdr:sp macro="" textlink="">
      <xdr:nvSpPr>
        <xdr:cNvPr id="406" name="CON_POW_18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>
          <a:off x="7268528" y="12915157"/>
          <a:ext cx="226695" cy="318242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48578</xdr:colOff>
      <xdr:row>116</xdr:row>
      <xdr:rowOff>111898</xdr:rowOff>
    </xdr:from>
    <xdr:to>
      <xdr:col>22</xdr:col>
      <xdr:colOff>275273</xdr:colOff>
      <xdr:row>118</xdr:row>
      <xdr:rowOff>0</xdr:rowOff>
    </xdr:to>
    <xdr:sp macro="" textlink="">
      <xdr:nvSpPr>
        <xdr:cNvPr id="407" name="CON_POW_19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>
          <a:off x="7592378" y="12976998"/>
          <a:ext cx="226695" cy="256402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48578</xdr:colOff>
      <xdr:row>116</xdr:row>
      <xdr:rowOff>13565</xdr:rowOff>
    </xdr:from>
    <xdr:to>
      <xdr:col>23</xdr:col>
      <xdr:colOff>275273</xdr:colOff>
      <xdr:row>118</xdr:row>
      <xdr:rowOff>0</xdr:rowOff>
    </xdr:to>
    <xdr:sp macro="" textlink="">
      <xdr:nvSpPr>
        <xdr:cNvPr id="408" name="CON_POW_20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>
          <a:off x="7916228" y="12878665"/>
          <a:ext cx="226695" cy="354735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48578</xdr:colOff>
      <xdr:row>115</xdr:row>
      <xdr:rowOff>133929</xdr:rowOff>
    </xdr:from>
    <xdr:to>
      <xdr:col>24</xdr:col>
      <xdr:colOff>275273</xdr:colOff>
      <xdr:row>118</xdr:row>
      <xdr:rowOff>0</xdr:rowOff>
    </xdr:to>
    <xdr:sp macro="" textlink="">
      <xdr:nvSpPr>
        <xdr:cNvPr id="409" name="CON_POW_2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>
          <a:off x="8240078" y="12814879"/>
          <a:ext cx="226695" cy="418521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</xdr:col>
      <xdr:colOff>48578</xdr:colOff>
      <xdr:row>42</xdr:row>
      <xdr:rowOff>0</xdr:rowOff>
    </xdr:from>
    <xdr:to>
      <xdr:col>14</xdr:col>
      <xdr:colOff>275273</xdr:colOff>
      <xdr:row>42</xdr:row>
      <xdr:rowOff>0</xdr:rowOff>
    </xdr:to>
    <xdr:sp macro="" textlink="">
      <xdr:nvSpPr>
        <xdr:cNvPr id="6613" name="CO_11">
          <a:extLst>
            <a:ext uri="{FF2B5EF4-FFF2-40B4-BE49-F238E27FC236}">
              <a16:creationId xmlns:a16="http://schemas.microsoft.com/office/drawing/2014/main" id="{00000000-0008-0000-0000-0000D5190000}"/>
            </a:ext>
          </a:extLst>
        </xdr:cNvPr>
        <xdr:cNvSpPr/>
      </xdr:nvSpPr>
      <xdr:spPr>
        <a:xfrm>
          <a:off x="5001578" y="6235700"/>
          <a:ext cx="226695" cy="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47149</xdr:colOff>
      <xdr:row>42</xdr:row>
      <xdr:rowOff>0</xdr:rowOff>
    </xdr:from>
    <xdr:to>
      <xdr:col>15</xdr:col>
      <xdr:colOff>267177</xdr:colOff>
      <xdr:row>42</xdr:row>
      <xdr:rowOff>0</xdr:rowOff>
    </xdr:to>
    <xdr:sp macro="" textlink="">
      <xdr:nvSpPr>
        <xdr:cNvPr id="6617" name="PV_12">
          <a:extLst>
            <a:ext uri="{FF2B5EF4-FFF2-40B4-BE49-F238E27FC236}">
              <a16:creationId xmlns:a16="http://schemas.microsoft.com/office/drawing/2014/main" id="{00000000-0008-0000-0000-0000D9190000}"/>
            </a:ext>
          </a:extLst>
        </xdr:cNvPr>
        <xdr:cNvSpPr/>
      </xdr:nvSpPr>
      <xdr:spPr>
        <a:xfrm>
          <a:off x="5152549" y="14859000"/>
          <a:ext cx="220028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48578</xdr:colOff>
      <xdr:row>36</xdr:row>
      <xdr:rowOff>158528</xdr:rowOff>
    </xdr:from>
    <xdr:to>
      <xdr:col>11</xdr:col>
      <xdr:colOff>275273</xdr:colOff>
      <xdr:row>42</xdr:row>
      <xdr:rowOff>0</xdr:rowOff>
    </xdr:to>
    <xdr:sp macro="" textlink="">
      <xdr:nvSpPr>
        <xdr:cNvPr id="6620" name="CO_8">
          <a:extLst>
            <a:ext uri="{FF2B5EF4-FFF2-40B4-BE49-F238E27FC236}">
              <a16:creationId xmlns:a16="http://schemas.microsoft.com/office/drawing/2014/main" id="{00000000-0008-0000-0000-0000DC190000}"/>
            </a:ext>
          </a:extLst>
        </xdr:cNvPr>
        <xdr:cNvSpPr/>
      </xdr:nvSpPr>
      <xdr:spPr>
        <a:xfrm>
          <a:off x="4030028" y="5289328"/>
          <a:ext cx="226695" cy="94637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48578</xdr:colOff>
      <xdr:row>42</xdr:row>
      <xdr:rowOff>0</xdr:rowOff>
    </xdr:from>
    <xdr:to>
      <xdr:col>12</xdr:col>
      <xdr:colOff>275273</xdr:colOff>
      <xdr:row>42</xdr:row>
      <xdr:rowOff>0</xdr:rowOff>
    </xdr:to>
    <xdr:sp macro="" textlink="">
      <xdr:nvSpPr>
        <xdr:cNvPr id="6621" name="CO_9">
          <a:extLst>
            <a:ext uri="{FF2B5EF4-FFF2-40B4-BE49-F238E27FC236}">
              <a16:creationId xmlns:a16="http://schemas.microsoft.com/office/drawing/2014/main" id="{00000000-0008-0000-0000-0000DD190000}"/>
            </a:ext>
          </a:extLst>
        </xdr:cNvPr>
        <xdr:cNvSpPr/>
      </xdr:nvSpPr>
      <xdr:spPr>
        <a:xfrm>
          <a:off x="4353878" y="6235700"/>
          <a:ext cx="226695" cy="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48578</xdr:colOff>
      <xdr:row>42</xdr:row>
      <xdr:rowOff>0</xdr:rowOff>
    </xdr:from>
    <xdr:to>
      <xdr:col>13</xdr:col>
      <xdr:colOff>275273</xdr:colOff>
      <xdr:row>42</xdr:row>
      <xdr:rowOff>0</xdr:rowOff>
    </xdr:to>
    <xdr:sp macro="" textlink="">
      <xdr:nvSpPr>
        <xdr:cNvPr id="6626" name="CO_10">
          <a:extLst>
            <a:ext uri="{FF2B5EF4-FFF2-40B4-BE49-F238E27FC236}">
              <a16:creationId xmlns:a16="http://schemas.microsoft.com/office/drawing/2014/main" id="{00000000-0008-0000-0000-0000E2190000}"/>
            </a:ext>
          </a:extLst>
        </xdr:cNvPr>
        <xdr:cNvSpPr/>
      </xdr:nvSpPr>
      <xdr:spPr>
        <a:xfrm>
          <a:off x="4677728" y="6235700"/>
          <a:ext cx="226695" cy="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654844</xdr:colOff>
      <xdr:row>36</xdr:row>
      <xdr:rowOff>107156</xdr:rowOff>
    </xdr:from>
    <xdr:to>
      <xdr:col>3</xdr:col>
      <xdr:colOff>71437</xdr:colOff>
      <xdr:row>36</xdr:row>
      <xdr:rowOff>119063</xdr:rowOff>
    </xdr:to>
    <xdr:cxnSp macro="">
      <xdr:nvCxnSpPr>
        <xdr:cNvPr id="6661" name="Straight Connector 6660">
          <a:extLst>
            <a:ext uri="{FF2B5EF4-FFF2-40B4-BE49-F238E27FC236}">
              <a16:creationId xmlns:a16="http://schemas.microsoft.com/office/drawing/2014/main" id="{00000000-0008-0000-0000-0000051A0000}"/>
            </a:ext>
          </a:extLst>
        </xdr:cNvPr>
        <xdr:cNvCxnSpPr/>
      </xdr:nvCxnSpPr>
      <xdr:spPr>
        <a:xfrm flipV="1">
          <a:off x="988219" y="13823156"/>
          <a:ext cx="350043" cy="11907"/>
        </a:xfrm>
        <a:prstGeom prst="line">
          <a:avLst/>
        </a:prstGeom>
        <a:ln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48578</xdr:colOff>
      <xdr:row>42</xdr:row>
      <xdr:rowOff>0</xdr:rowOff>
    </xdr:from>
    <xdr:to>
      <xdr:col>15</xdr:col>
      <xdr:colOff>275273</xdr:colOff>
      <xdr:row>42</xdr:row>
      <xdr:rowOff>0</xdr:rowOff>
    </xdr:to>
    <xdr:sp macro="" textlink="">
      <xdr:nvSpPr>
        <xdr:cNvPr id="7303" name="CO_12">
          <a:extLst>
            <a:ext uri="{FF2B5EF4-FFF2-40B4-BE49-F238E27FC236}">
              <a16:creationId xmlns:a16="http://schemas.microsoft.com/office/drawing/2014/main" id="{00000000-0008-0000-0000-0000871C0000}"/>
            </a:ext>
          </a:extLst>
        </xdr:cNvPr>
        <xdr:cNvSpPr/>
      </xdr:nvSpPr>
      <xdr:spPr>
        <a:xfrm>
          <a:off x="5325428" y="6235700"/>
          <a:ext cx="226695" cy="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48578</xdr:colOff>
      <xdr:row>37</xdr:row>
      <xdr:rowOff>150363</xdr:rowOff>
    </xdr:from>
    <xdr:to>
      <xdr:col>16</xdr:col>
      <xdr:colOff>275273</xdr:colOff>
      <xdr:row>42</xdr:row>
      <xdr:rowOff>0</xdr:rowOff>
    </xdr:to>
    <xdr:sp macro="" textlink="">
      <xdr:nvSpPr>
        <xdr:cNvPr id="7304" name="CO_13">
          <a:extLst>
            <a:ext uri="{FF2B5EF4-FFF2-40B4-BE49-F238E27FC236}">
              <a16:creationId xmlns:a16="http://schemas.microsoft.com/office/drawing/2014/main" id="{00000000-0008-0000-0000-0000881C0000}"/>
            </a:ext>
          </a:extLst>
        </xdr:cNvPr>
        <xdr:cNvSpPr/>
      </xdr:nvSpPr>
      <xdr:spPr>
        <a:xfrm>
          <a:off x="5649278" y="5465313"/>
          <a:ext cx="226695" cy="770387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48578</xdr:colOff>
      <xdr:row>38</xdr:row>
      <xdr:rowOff>44022</xdr:rowOff>
    </xdr:from>
    <xdr:to>
      <xdr:col>17</xdr:col>
      <xdr:colOff>275273</xdr:colOff>
      <xdr:row>42</xdr:row>
      <xdr:rowOff>0</xdr:rowOff>
    </xdr:to>
    <xdr:sp macro="" textlink="">
      <xdr:nvSpPr>
        <xdr:cNvPr id="7305" name="CO_14">
          <a:extLst>
            <a:ext uri="{FF2B5EF4-FFF2-40B4-BE49-F238E27FC236}">
              <a16:creationId xmlns:a16="http://schemas.microsoft.com/office/drawing/2014/main" id="{00000000-0008-0000-0000-0000891C0000}"/>
            </a:ext>
          </a:extLst>
        </xdr:cNvPr>
        <xdr:cNvSpPr/>
      </xdr:nvSpPr>
      <xdr:spPr>
        <a:xfrm>
          <a:off x="5973128" y="5543122"/>
          <a:ext cx="226695" cy="692578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48578</xdr:colOff>
      <xdr:row>36</xdr:row>
      <xdr:rowOff>175979</xdr:rowOff>
    </xdr:from>
    <xdr:to>
      <xdr:col>18</xdr:col>
      <xdr:colOff>275273</xdr:colOff>
      <xdr:row>42</xdr:row>
      <xdr:rowOff>0</xdr:rowOff>
    </xdr:to>
    <xdr:sp macro="" textlink="">
      <xdr:nvSpPr>
        <xdr:cNvPr id="7306" name="CO_15">
          <a:extLst>
            <a:ext uri="{FF2B5EF4-FFF2-40B4-BE49-F238E27FC236}">
              <a16:creationId xmlns:a16="http://schemas.microsoft.com/office/drawing/2014/main" id="{00000000-0008-0000-0000-00008A1C0000}"/>
            </a:ext>
          </a:extLst>
        </xdr:cNvPr>
        <xdr:cNvSpPr/>
      </xdr:nvSpPr>
      <xdr:spPr>
        <a:xfrm>
          <a:off x="6296978" y="5306779"/>
          <a:ext cx="226695" cy="92892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48578</xdr:colOff>
      <xdr:row>36</xdr:row>
      <xdr:rowOff>113337</xdr:rowOff>
    </xdr:from>
    <xdr:to>
      <xdr:col>19</xdr:col>
      <xdr:colOff>275273</xdr:colOff>
      <xdr:row>42</xdr:row>
      <xdr:rowOff>0</xdr:rowOff>
    </xdr:to>
    <xdr:sp macro="" textlink="">
      <xdr:nvSpPr>
        <xdr:cNvPr id="7307" name="CO_16">
          <a:extLst>
            <a:ext uri="{FF2B5EF4-FFF2-40B4-BE49-F238E27FC236}">
              <a16:creationId xmlns:a16="http://schemas.microsoft.com/office/drawing/2014/main" id="{00000000-0008-0000-0000-00008B1C0000}"/>
            </a:ext>
          </a:extLst>
        </xdr:cNvPr>
        <xdr:cNvSpPr/>
      </xdr:nvSpPr>
      <xdr:spPr>
        <a:xfrm>
          <a:off x="6620828" y="5244137"/>
          <a:ext cx="226695" cy="991563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48578</xdr:colOff>
      <xdr:row>36</xdr:row>
      <xdr:rowOff>89045</xdr:rowOff>
    </xdr:from>
    <xdr:to>
      <xdr:col>20</xdr:col>
      <xdr:colOff>275273</xdr:colOff>
      <xdr:row>42</xdr:row>
      <xdr:rowOff>1</xdr:rowOff>
    </xdr:to>
    <xdr:sp macro="" textlink="">
      <xdr:nvSpPr>
        <xdr:cNvPr id="7308" name="CO_17">
          <a:extLst>
            <a:ext uri="{FF2B5EF4-FFF2-40B4-BE49-F238E27FC236}">
              <a16:creationId xmlns:a16="http://schemas.microsoft.com/office/drawing/2014/main" id="{00000000-0008-0000-0000-00008C1C0000}"/>
            </a:ext>
          </a:extLst>
        </xdr:cNvPr>
        <xdr:cNvSpPr/>
      </xdr:nvSpPr>
      <xdr:spPr>
        <a:xfrm>
          <a:off x="6944678" y="5219845"/>
          <a:ext cx="226695" cy="1015856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48578</xdr:colOff>
      <xdr:row>37</xdr:row>
      <xdr:rowOff>146420</xdr:rowOff>
    </xdr:from>
    <xdr:to>
      <xdr:col>21</xdr:col>
      <xdr:colOff>275273</xdr:colOff>
      <xdr:row>42</xdr:row>
      <xdr:rowOff>0</xdr:rowOff>
    </xdr:to>
    <xdr:sp macro="" textlink="">
      <xdr:nvSpPr>
        <xdr:cNvPr id="7309" name="CO_18">
          <a:extLst>
            <a:ext uri="{FF2B5EF4-FFF2-40B4-BE49-F238E27FC236}">
              <a16:creationId xmlns:a16="http://schemas.microsoft.com/office/drawing/2014/main" id="{00000000-0008-0000-0000-00008D1C0000}"/>
            </a:ext>
          </a:extLst>
        </xdr:cNvPr>
        <xdr:cNvSpPr/>
      </xdr:nvSpPr>
      <xdr:spPr>
        <a:xfrm>
          <a:off x="7268528" y="5461370"/>
          <a:ext cx="226695" cy="77433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48578</xdr:colOff>
      <xdr:row>38</xdr:row>
      <xdr:rowOff>72415</xdr:rowOff>
    </xdr:from>
    <xdr:to>
      <xdr:col>22</xdr:col>
      <xdr:colOff>275273</xdr:colOff>
      <xdr:row>42</xdr:row>
      <xdr:rowOff>0</xdr:rowOff>
    </xdr:to>
    <xdr:sp macro="" textlink="">
      <xdr:nvSpPr>
        <xdr:cNvPr id="7310" name="CO_19">
          <a:extLst>
            <a:ext uri="{FF2B5EF4-FFF2-40B4-BE49-F238E27FC236}">
              <a16:creationId xmlns:a16="http://schemas.microsoft.com/office/drawing/2014/main" id="{00000000-0008-0000-0000-00008E1C0000}"/>
            </a:ext>
          </a:extLst>
        </xdr:cNvPr>
        <xdr:cNvSpPr/>
      </xdr:nvSpPr>
      <xdr:spPr>
        <a:xfrm>
          <a:off x="7592378" y="5571515"/>
          <a:ext cx="226695" cy="66418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48578</xdr:colOff>
      <xdr:row>36</xdr:row>
      <xdr:rowOff>178229</xdr:rowOff>
    </xdr:from>
    <xdr:to>
      <xdr:col>23</xdr:col>
      <xdr:colOff>275273</xdr:colOff>
      <xdr:row>41</xdr:row>
      <xdr:rowOff>184149</xdr:rowOff>
    </xdr:to>
    <xdr:sp macro="" textlink="">
      <xdr:nvSpPr>
        <xdr:cNvPr id="7311" name="CO_20">
          <a:extLst>
            <a:ext uri="{FF2B5EF4-FFF2-40B4-BE49-F238E27FC236}">
              <a16:creationId xmlns:a16="http://schemas.microsoft.com/office/drawing/2014/main" id="{00000000-0008-0000-0000-00008F1C0000}"/>
            </a:ext>
          </a:extLst>
        </xdr:cNvPr>
        <xdr:cNvSpPr/>
      </xdr:nvSpPr>
      <xdr:spPr>
        <a:xfrm>
          <a:off x="7916228" y="5309029"/>
          <a:ext cx="226695" cy="92667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24</xdr:col>
      <xdr:colOff>48578</xdr:colOff>
      <xdr:row>36</xdr:row>
      <xdr:rowOff>155755</xdr:rowOff>
    </xdr:from>
    <xdr:to>
      <xdr:col>24</xdr:col>
      <xdr:colOff>275273</xdr:colOff>
      <xdr:row>42</xdr:row>
      <xdr:rowOff>0</xdr:rowOff>
    </xdr:to>
    <xdr:sp macro="" textlink="">
      <xdr:nvSpPr>
        <xdr:cNvPr id="7901" name="CO_21">
          <a:extLst>
            <a:ext uri="{FF2B5EF4-FFF2-40B4-BE49-F238E27FC236}">
              <a16:creationId xmlns:a16="http://schemas.microsoft.com/office/drawing/2014/main" id="{00000000-0008-0000-0000-0000DD1E0000}"/>
            </a:ext>
          </a:extLst>
        </xdr:cNvPr>
        <xdr:cNvSpPr/>
      </xdr:nvSpPr>
      <xdr:spPr>
        <a:xfrm>
          <a:off x="8240078" y="5286555"/>
          <a:ext cx="226695" cy="94914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48578</xdr:colOff>
      <xdr:row>36</xdr:row>
      <xdr:rowOff>130824</xdr:rowOff>
    </xdr:from>
    <xdr:to>
      <xdr:col>25</xdr:col>
      <xdr:colOff>275273</xdr:colOff>
      <xdr:row>42</xdr:row>
      <xdr:rowOff>0</xdr:rowOff>
    </xdr:to>
    <xdr:sp macro="" textlink="">
      <xdr:nvSpPr>
        <xdr:cNvPr id="7902" name="CO_22">
          <a:extLst>
            <a:ext uri="{FF2B5EF4-FFF2-40B4-BE49-F238E27FC236}">
              <a16:creationId xmlns:a16="http://schemas.microsoft.com/office/drawing/2014/main" id="{00000000-0008-0000-0000-0000DE1E0000}"/>
            </a:ext>
          </a:extLst>
        </xdr:cNvPr>
        <xdr:cNvSpPr/>
      </xdr:nvSpPr>
      <xdr:spPr>
        <a:xfrm>
          <a:off x="8563928" y="5261624"/>
          <a:ext cx="226695" cy="974076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48578</xdr:colOff>
      <xdr:row>36</xdr:row>
      <xdr:rowOff>114774</xdr:rowOff>
    </xdr:from>
    <xdr:to>
      <xdr:col>26</xdr:col>
      <xdr:colOff>275273</xdr:colOff>
      <xdr:row>42</xdr:row>
      <xdr:rowOff>0</xdr:rowOff>
    </xdr:to>
    <xdr:sp macro="" textlink="">
      <xdr:nvSpPr>
        <xdr:cNvPr id="7903" name="CO_23">
          <a:extLst>
            <a:ext uri="{FF2B5EF4-FFF2-40B4-BE49-F238E27FC236}">
              <a16:creationId xmlns:a16="http://schemas.microsoft.com/office/drawing/2014/main" id="{00000000-0008-0000-0000-0000DF1E0000}"/>
            </a:ext>
          </a:extLst>
        </xdr:cNvPr>
        <xdr:cNvSpPr/>
      </xdr:nvSpPr>
      <xdr:spPr>
        <a:xfrm>
          <a:off x="8887778" y="5245574"/>
          <a:ext cx="226695" cy="990126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48578</xdr:colOff>
      <xdr:row>36</xdr:row>
      <xdr:rowOff>131921</xdr:rowOff>
    </xdr:from>
    <xdr:to>
      <xdr:col>27</xdr:col>
      <xdr:colOff>275273</xdr:colOff>
      <xdr:row>41</xdr:row>
      <xdr:rowOff>184149</xdr:rowOff>
    </xdr:to>
    <xdr:sp macro="" textlink="">
      <xdr:nvSpPr>
        <xdr:cNvPr id="7904" name="CO_24">
          <a:extLst>
            <a:ext uri="{FF2B5EF4-FFF2-40B4-BE49-F238E27FC236}">
              <a16:creationId xmlns:a16="http://schemas.microsoft.com/office/drawing/2014/main" id="{00000000-0008-0000-0000-0000E01E0000}"/>
            </a:ext>
          </a:extLst>
        </xdr:cNvPr>
        <xdr:cNvSpPr/>
      </xdr:nvSpPr>
      <xdr:spPr>
        <a:xfrm>
          <a:off x="9211628" y="5262721"/>
          <a:ext cx="226695" cy="972978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48578</xdr:colOff>
      <xdr:row>36</xdr:row>
      <xdr:rowOff>119068</xdr:rowOff>
    </xdr:from>
    <xdr:to>
      <xdr:col>10</xdr:col>
      <xdr:colOff>275273</xdr:colOff>
      <xdr:row>42</xdr:row>
      <xdr:rowOff>0</xdr:rowOff>
    </xdr:to>
    <xdr:sp macro="" textlink="">
      <xdr:nvSpPr>
        <xdr:cNvPr id="8227" name="CO_7">
          <a:extLst>
            <a:ext uri="{FF2B5EF4-FFF2-40B4-BE49-F238E27FC236}">
              <a16:creationId xmlns:a16="http://schemas.microsoft.com/office/drawing/2014/main" id="{00000000-0008-0000-0000-000023200000}"/>
            </a:ext>
          </a:extLst>
        </xdr:cNvPr>
        <xdr:cNvSpPr/>
      </xdr:nvSpPr>
      <xdr:spPr>
        <a:xfrm>
          <a:off x="3706178" y="5249868"/>
          <a:ext cx="226695" cy="98583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48578</xdr:colOff>
      <xdr:row>36</xdr:row>
      <xdr:rowOff>178286</xdr:rowOff>
    </xdr:from>
    <xdr:to>
      <xdr:col>9</xdr:col>
      <xdr:colOff>275273</xdr:colOff>
      <xdr:row>42</xdr:row>
      <xdr:rowOff>0</xdr:rowOff>
    </xdr:to>
    <xdr:sp macro="" textlink="">
      <xdr:nvSpPr>
        <xdr:cNvPr id="9516" name="CO_6">
          <a:extLst>
            <a:ext uri="{FF2B5EF4-FFF2-40B4-BE49-F238E27FC236}">
              <a16:creationId xmlns:a16="http://schemas.microsoft.com/office/drawing/2014/main" id="{00000000-0008-0000-0000-00002C250000}"/>
            </a:ext>
          </a:extLst>
        </xdr:cNvPr>
        <xdr:cNvSpPr/>
      </xdr:nvSpPr>
      <xdr:spPr>
        <a:xfrm>
          <a:off x="3382328" y="5309086"/>
          <a:ext cx="226695" cy="92661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48577</xdr:colOff>
      <xdr:row>38</xdr:row>
      <xdr:rowOff>27570</xdr:rowOff>
    </xdr:from>
    <xdr:to>
      <xdr:col>8</xdr:col>
      <xdr:colOff>275272</xdr:colOff>
      <xdr:row>42</xdr:row>
      <xdr:rowOff>0</xdr:rowOff>
    </xdr:to>
    <xdr:sp macro="" textlink="">
      <xdr:nvSpPr>
        <xdr:cNvPr id="9517" name="CO_5">
          <a:extLst>
            <a:ext uri="{FF2B5EF4-FFF2-40B4-BE49-F238E27FC236}">
              <a16:creationId xmlns:a16="http://schemas.microsoft.com/office/drawing/2014/main" id="{00000000-0008-0000-0000-00002D250000}"/>
            </a:ext>
          </a:extLst>
        </xdr:cNvPr>
        <xdr:cNvSpPr/>
      </xdr:nvSpPr>
      <xdr:spPr>
        <a:xfrm>
          <a:off x="3058477" y="5526670"/>
          <a:ext cx="226695" cy="70903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48577</xdr:colOff>
      <xdr:row>37</xdr:row>
      <xdr:rowOff>164868</xdr:rowOff>
    </xdr:from>
    <xdr:to>
      <xdr:col>7</xdr:col>
      <xdr:colOff>275272</xdr:colOff>
      <xdr:row>42</xdr:row>
      <xdr:rowOff>0</xdr:rowOff>
    </xdr:to>
    <xdr:sp macro="" textlink="">
      <xdr:nvSpPr>
        <xdr:cNvPr id="9518" name="CO_4">
          <a:extLst>
            <a:ext uri="{FF2B5EF4-FFF2-40B4-BE49-F238E27FC236}">
              <a16:creationId xmlns:a16="http://schemas.microsoft.com/office/drawing/2014/main" id="{00000000-0008-0000-0000-00002E250000}"/>
            </a:ext>
          </a:extLst>
        </xdr:cNvPr>
        <xdr:cNvSpPr/>
      </xdr:nvSpPr>
      <xdr:spPr>
        <a:xfrm>
          <a:off x="2734627" y="5479818"/>
          <a:ext cx="226695" cy="755882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48577</xdr:colOff>
      <xdr:row>36</xdr:row>
      <xdr:rowOff>150401</xdr:rowOff>
    </xdr:from>
    <xdr:to>
      <xdr:col>6</xdr:col>
      <xdr:colOff>275272</xdr:colOff>
      <xdr:row>42</xdr:row>
      <xdr:rowOff>0</xdr:rowOff>
    </xdr:to>
    <xdr:sp macro="" textlink="">
      <xdr:nvSpPr>
        <xdr:cNvPr id="9519" name="CO_3">
          <a:extLst>
            <a:ext uri="{FF2B5EF4-FFF2-40B4-BE49-F238E27FC236}">
              <a16:creationId xmlns:a16="http://schemas.microsoft.com/office/drawing/2014/main" id="{00000000-0008-0000-0000-00002F250000}"/>
            </a:ext>
          </a:extLst>
        </xdr:cNvPr>
        <xdr:cNvSpPr/>
      </xdr:nvSpPr>
      <xdr:spPr>
        <a:xfrm>
          <a:off x="2410777" y="5281201"/>
          <a:ext cx="226695" cy="954499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48577</xdr:colOff>
      <xdr:row>36</xdr:row>
      <xdr:rowOff>113576</xdr:rowOff>
    </xdr:from>
    <xdr:to>
      <xdr:col>5</xdr:col>
      <xdr:colOff>275272</xdr:colOff>
      <xdr:row>42</xdr:row>
      <xdr:rowOff>0</xdr:rowOff>
    </xdr:to>
    <xdr:sp macro="" textlink="">
      <xdr:nvSpPr>
        <xdr:cNvPr id="9520" name="CO_2">
          <a:extLst>
            <a:ext uri="{FF2B5EF4-FFF2-40B4-BE49-F238E27FC236}">
              <a16:creationId xmlns:a16="http://schemas.microsoft.com/office/drawing/2014/main" id="{00000000-0008-0000-0000-000030250000}"/>
            </a:ext>
          </a:extLst>
        </xdr:cNvPr>
        <xdr:cNvSpPr/>
      </xdr:nvSpPr>
      <xdr:spPr>
        <a:xfrm>
          <a:off x="2086927" y="5244376"/>
          <a:ext cx="226695" cy="99132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48577</xdr:colOff>
      <xdr:row>36</xdr:row>
      <xdr:rowOff>101045</xdr:rowOff>
    </xdr:from>
    <xdr:to>
      <xdr:col>4</xdr:col>
      <xdr:colOff>275272</xdr:colOff>
      <xdr:row>42</xdr:row>
      <xdr:rowOff>0</xdr:rowOff>
    </xdr:to>
    <xdr:sp macro="" textlink="">
      <xdr:nvSpPr>
        <xdr:cNvPr id="9521" name="CO_1">
          <a:extLst>
            <a:ext uri="{FF2B5EF4-FFF2-40B4-BE49-F238E27FC236}">
              <a16:creationId xmlns:a16="http://schemas.microsoft.com/office/drawing/2014/main" id="{00000000-0008-0000-0000-000031250000}"/>
            </a:ext>
          </a:extLst>
        </xdr:cNvPr>
        <xdr:cNvSpPr/>
      </xdr:nvSpPr>
      <xdr:spPr>
        <a:xfrm>
          <a:off x="1763077" y="5231845"/>
          <a:ext cx="226695" cy="1003855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157163</xdr:colOff>
      <xdr:row>82</xdr:row>
      <xdr:rowOff>0</xdr:rowOff>
    </xdr:from>
    <xdr:to>
      <xdr:col>27</xdr:col>
      <xdr:colOff>157163</xdr:colOff>
      <xdr:row>82</xdr:row>
      <xdr:rowOff>0</xdr:rowOff>
    </xdr:to>
    <xdr:cxnSp macro="">
      <xdr:nvCxnSpPr>
        <xdr:cNvPr id="36543" name="Con1_674.25_1050">
          <a:extLst>
            <a:ext uri="{FF2B5EF4-FFF2-40B4-BE49-F238E27FC236}">
              <a16:creationId xmlns:a16="http://schemas.microsoft.com/office/drawing/2014/main" id="{00000000-0008-0000-0000-0000BF8E0000}"/>
            </a:ext>
          </a:extLst>
        </xdr:cNvPr>
        <xdr:cNvCxnSpPr/>
      </xdr:nvCxnSpPr>
      <xdr:spPr>
        <a:xfrm>
          <a:off x="8720138" y="1485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118</xdr:row>
      <xdr:rowOff>0</xdr:rowOff>
    </xdr:from>
    <xdr:to>
      <xdr:col>22</xdr:col>
      <xdr:colOff>157163</xdr:colOff>
      <xdr:row>118</xdr:row>
      <xdr:rowOff>0</xdr:rowOff>
    </xdr:to>
    <xdr:cxnSp macro="">
      <xdr:nvCxnSpPr>
        <xdr:cNvPr id="36567" name="Con1_550.5_1410">
          <a:extLst>
            <a:ext uri="{FF2B5EF4-FFF2-40B4-BE49-F238E27FC236}">
              <a16:creationId xmlns:a16="http://schemas.microsoft.com/office/drawing/2014/main" id="{00000000-0008-0000-0000-0000D78E0000}"/>
            </a:ext>
          </a:extLst>
        </xdr:cNvPr>
        <xdr:cNvCxnSpPr/>
      </xdr:nvCxnSpPr>
      <xdr:spPr>
        <a:xfrm>
          <a:off x="7148513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118</xdr:row>
      <xdr:rowOff>0</xdr:rowOff>
    </xdr:from>
    <xdr:to>
      <xdr:col>18</xdr:col>
      <xdr:colOff>157163</xdr:colOff>
      <xdr:row>118</xdr:row>
      <xdr:rowOff>0</xdr:rowOff>
    </xdr:to>
    <xdr:cxnSp macro="">
      <xdr:nvCxnSpPr>
        <xdr:cNvPr id="36568" name="Con1_451.5_1410">
          <a:extLst>
            <a:ext uri="{FF2B5EF4-FFF2-40B4-BE49-F238E27FC236}">
              <a16:creationId xmlns:a16="http://schemas.microsoft.com/office/drawing/2014/main" id="{00000000-0008-0000-0000-0000D88E0000}"/>
            </a:ext>
          </a:extLst>
        </xdr:cNvPr>
        <xdr:cNvCxnSpPr/>
      </xdr:nvCxnSpPr>
      <xdr:spPr>
        <a:xfrm>
          <a:off x="5891213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118</xdr:row>
      <xdr:rowOff>0</xdr:rowOff>
    </xdr:from>
    <xdr:to>
      <xdr:col>21</xdr:col>
      <xdr:colOff>157163</xdr:colOff>
      <xdr:row>118</xdr:row>
      <xdr:rowOff>0</xdr:rowOff>
    </xdr:to>
    <xdr:cxnSp macro="">
      <xdr:nvCxnSpPr>
        <xdr:cNvPr id="36573" name="Con1_525.75_1410">
          <a:extLst>
            <a:ext uri="{FF2B5EF4-FFF2-40B4-BE49-F238E27FC236}">
              <a16:creationId xmlns:a16="http://schemas.microsoft.com/office/drawing/2014/main" id="{00000000-0008-0000-0000-0000DD8E0000}"/>
            </a:ext>
          </a:extLst>
        </xdr:cNvPr>
        <xdr:cNvCxnSpPr/>
      </xdr:nvCxnSpPr>
      <xdr:spPr>
        <a:xfrm>
          <a:off x="6834188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118</xdr:row>
      <xdr:rowOff>0</xdr:rowOff>
    </xdr:from>
    <xdr:to>
      <xdr:col>17</xdr:col>
      <xdr:colOff>157163</xdr:colOff>
      <xdr:row>118</xdr:row>
      <xdr:rowOff>0</xdr:rowOff>
    </xdr:to>
    <xdr:cxnSp macro="">
      <xdr:nvCxnSpPr>
        <xdr:cNvPr id="36574" name="Con1_426.75_1410">
          <a:extLst>
            <a:ext uri="{FF2B5EF4-FFF2-40B4-BE49-F238E27FC236}">
              <a16:creationId xmlns:a16="http://schemas.microsoft.com/office/drawing/2014/main" id="{00000000-0008-0000-0000-0000DE8E0000}"/>
            </a:ext>
          </a:extLst>
        </xdr:cNvPr>
        <xdr:cNvCxnSpPr/>
      </xdr:nvCxnSpPr>
      <xdr:spPr>
        <a:xfrm>
          <a:off x="5576888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118</xdr:row>
      <xdr:rowOff>0</xdr:rowOff>
    </xdr:from>
    <xdr:to>
      <xdr:col>20</xdr:col>
      <xdr:colOff>157163</xdr:colOff>
      <xdr:row>118</xdr:row>
      <xdr:rowOff>0</xdr:rowOff>
    </xdr:to>
    <xdr:cxnSp macro="">
      <xdr:nvCxnSpPr>
        <xdr:cNvPr id="36579" name="Con1_501_1410">
          <a:extLst>
            <a:ext uri="{FF2B5EF4-FFF2-40B4-BE49-F238E27FC236}">
              <a16:creationId xmlns:a16="http://schemas.microsoft.com/office/drawing/2014/main" id="{00000000-0008-0000-0000-0000E38E0000}"/>
            </a:ext>
          </a:extLst>
        </xdr:cNvPr>
        <xdr:cNvCxnSpPr/>
      </xdr:nvCxnSpPr>
      <xdr:spPr>
        <a:xfrm>
          <a:off x="6519863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118</xdr:row>
      <xdr:rowOff>0</xdr:rowOff>
    </xdr:from>
    <xdr:to>
      <xdr:col>16</xdr:col>
      <xdr:colOff>157163</xdr:colOff>
      <xdr:row>118</xdr:row>
      <xdr:rowOff>0</xdr:rowOff>
    </xdr:to>
    <xdr:cxnSp macro="">
      <xdr:nvCxnSpPr>
        <xdr:cNvPr id="36580" name="Con1_402_1410">
          <a:extLst>
            <a:ext uri="{FF2B5EF4-FFF2-40B4-BE49-F238E27FC236}">
              <a16:creationId xmlns:a16="http://schemas.microsoft.com/office/drawing/2014/main" id="{00000000-0008-0000-0000-0000E48E0000}"/>
            </a:ext>
          </a:extLst>
        </xdr:cNvPr>
        <xdr:cNvCxnSpPr/>
      </xdr:nvCxnSpPr>
      <xdr:spPr>
        <a:xfrm>
          <a:off x="5262563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118</xdr:row>
      <xdr:rowOff>0</xdr:rowOff>
    </xdr:from>
    <xdr:to>
      <xdr:col>23</xdr:col>
      <xdr:colOff>157163</xdr:colOff>
      <xdr:row>118</xdr:row>
      <xdr:rowOff>0</xdr:rowOff>
    </xdr:to>
    <xdr:cxnSp macro="">
      <xdr:nvCxnSpPr>
        <xdr:cNvPr id="36584" name="Con1_575.25_1410">
          <a:extLst>
            <a:ext uri="{FF2B5EF4-FFF2-40B4-BE49-F238E27FC236}">
              <a16:creationId xmlns:a16="http://schemas.microsoft.com/office/drawing/2014/main" id="{00000000-0008-0000-0000-0000E88E0000}"/>
            </a:ext>
          </a:extLst>
        </xdr:cNvPr>
        <xdr:cNvCxnSpPr/>
      </xdr:nvCxnSpPr>
      <xdr:spPr>
        <a:xfrm>
          <a:off x="7462838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118</xdr:row>
      <xdr:rowOff>0</xdr:rowOff>
    </xdr:from>
    <xdr:to>
      <xdr:col>19</xdr:col>
      <xdr:colOff>157163</xdr:colOff>
      <xdr:row>118</xdr:row>
      <xdr:rowOff>0</xdr:rowOff>
    </xdr:to>
    <xdr:cxnSp macro="">
      <xdr:nvCxnSpPr>
        <xdr:cNvPr id="36585" name="Con1_476.25_1410">
          <a:extLst>
            <a:ext uri="{FF2B5EF4-FFF2-40B4-BE49-F238E27FC236}">
              <a16:creationId xmlns:a16="http://schemas.microsoft.com/office/drawing/2014/main" id="{00000000-0008-0000-0000-0000E98E0000}"/>
            </a:ext>
          </a:extLst>
        </xdr:cNvPr>
        <xdr:cNvCxnSpPr/>
      </xdr:nvCxnSpPr>
      <xdr:spPr>
        <a:xfrm>
          <a:off x="6205538" y="19431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118</xdr:row>
      <xdr:rowOff>0</xdr:rowOff>
    </xdr:from>
    <xdr:to>
      <xdr:col>22</xdr:col>
      <xdr:colOff>157163</xdr:colOff>
      <xdr:row>118</xdr:row>
      <xdr:rowOff>0</xdr:rowOff>
    </xdr:to>
    <xdr:cxnSp macro="">
      <xdr:nvCxnSpPr>
        <xdr:cNvPr id="36988" name="Con1_550.5_1395">
          <a:extLst>
            <a:ext uri="{FF2B5EF4-FFF2-40B4-BE49-F238E27FC236}">
              <a16:creationId xmlns:a16="http://schemas.microsoft.com/office/drawing/2014/main" id="{00000000-0008-0000-0000-00007C900000}"/>
            </a:ext>
          </a:extLst>
        </xdr:cNvPr>
        <xdr:cNvCxnSpPr/>
      </xdr:nvCxnSpPr>
      <xdr:spPr>
        <a:xfrm>
          <a:off x="7148513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118</xdr:row>
      <xdr:rowOff>0</xdr:rowOff>
    </xdr:from>
    <xdr:to>
      <xdr:col>18</xdr:col>
      <xdr:colOff>157163</xdr:colOff>
      <xdr:row>118</xdr:row>
      <xdr:rowOff>0</xdr:rowOff>
    </xdr:to>
    <xdr:cxnSp macro="">
      <xdr:nvCxnSpPr>
        <xdr:cNvPr id="36989" name="Con1_451.5_1395">
          <a:extLst>
            <a:ext uri="{FF2B5EF4-FFF2-40B4-BE49-F238E27FC236}">
              <a16:creationId xmlns:a16="http://schemas.microsoft.com/office/drawing/2014/main" id="{00000000-0008-0000-0000-00007D900000}"/>
            </a:ext>
          </a:extLst>
        </xdr:cNvPr>
        <xdr:cNvCxnSpPr/>
      </xdr:nvCxnSpPr>
      <xdr:spPr>
        <a:xfrm>
          <a:off x="5891213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118</xdr:row>
      <xdr:rowOff>0</xdr:rowOff>
    </xdr:from>
    <xdr:to>
      <xdr:col>21</xdr:col>
      <xdr:colOff>157163</xdr:colOff>
      <xdr:row>118</xdr:row>
      <xdr:rowOff>0</xdr:rowOff>
    </xdr:to>
    <xdr:cxnSp macro="">
      <xdr:nvCxnSpPr>
        <xdr:cNvPr id="36994" name="Con1_525.75_1395">
          <a:extLst>
            <a:ext uri="{FF2B5EF4-FFF2-40B4-BE49-F238E27FC236}">
              <a16:creationId xmlns:a16="http://schemas.microsoft.com/office/drawing/2014/main" id="{00000000-0008-0000-0000-000082900000}"/>
            </a:ext>
          </a:extLst>
        </xdr:cNvPr>
        <xdr:cNvCxnSpPr/>
      </xdr:nvCxnSpPr>
      <xdr:spPr>
        <a:xfrm>
          <a:off x="6834188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118</xdr:row>
      <xdr:rowOff>0</xdr:rowOff>
    </xdr:from>
    <xdr:to>
      <xdr:col>17</xdr:col>
      <xdr:colOff>157163</xdr:colOff>
      <xdr:row>118</xdr:row>
      <xdr:rowOff>0</xdr:rowOff>
    </xdr:to>
    <xdr:cxnSp macro="">
      <xdr:nvCxnSpPr>
        <xdr:cNvPr id="36995" name="Con1_426.75_1395">
          <a:extLst>
            <a:ext uri="{FF2B5EF4-FFF2-40B4-BE49-F238E27FC236}">
              <a16:creationId xmlns:a16="http://schemas.microsoft.com/office/drawing/2014/main" id="{00000000-0008-0000-0000-000083900000}"/>
            </a:ext>
          </a:extLst>
        </xdr:cNvPr>
        <xdr:cNvCxnSpPr/>
      </xdr:nvCxnSpPr>
      <xdr:spPr>
        <a:xfrm>
          <a:off x="5576888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118</xdr:row>
      <xdr:rowOff>0</xdr:rowOff>
    </xdr:from>
    <xdr:to>
      <xdr:col>20</xdr:col>
      <xdr:colOff>157163</xdr:colOff>
      <xdr:row>118</xdr:row>
      <xdr:rowOff>0</xdr:rowOff>
    </xdr:to>
    <xdr:cxnSp macro="">
      <xdr:nvCxnSpPr>
        <xdr:cNvPr id="37000" name="Con1_501_1395">
          <a:extLst>
            <a:ext uri="{FF2B5EF4-FFF2-40B4-BE49-F238E27FC236}">
              <a16:creationId xmlns:a16="http://schemas.microsoft.com/office/drawing/2014/main" id="{00000000-0008-0000-0000-000088900000}"/>
            </a:ext>
          </a:extLst>
        </xdr:cNvPr>
        <xdr:cNvCxnSpPr/>
      </xdr:nvCxnSpPr>
      <xdr:spPr>
        <a:xfrm>
          <a:off x="6519863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118</xdr:row>
      <xdr:rowOff>0</xdr:rowOff>
    </xdr:from>
    <xdr:to>
      <xdr:col>16</xdr:col>
      <xdr:colOff>157163</xdr:colOff>
      <xdr:row>118</xdr:row>
      <xdr:rowOff>0</xdr:rowOff>
    </xdr:to>
    <xdr:cxnSp macro="">
      <xdr:nvCxnSpPr>
        <xdr:cNvPr id="37001" name="Con1_402_1395">
          <a:extLst>
            <a:ext uri="{FF2B5EF4-FFF2-40B4-BE49-F238E27FC236}">
              <a16:creationId xmlns:a16="http://schemas.microsoft.com/office/drawing/2014/main" id="{00000000-0008-0000-0000-000089900000}"/>
            </a:ext>
          </a:extLst>
        </xdr:cNvPr>
        <xdr:cNvCxnSpPr/>
      </xdr:nvCxnSpPr>
      <xdr:spPr>
        <a:xfrm>
          <a:off x="5262563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118</xdr:row>
      <xdr:rowOff>0</xdr:rowOff>
    </xdr:from>
    <xdr:to>
      <xdr:col>23</xdr:col>
      <xdr:colOff>157163</xdr:colOff>
      <xdr:row>118</xdr:row>
      <xdr:rowOff>0</xdr:rowOff>
    </xdr:to>
    <xdr:cxnSp macro="">
      <xdr:nvCxnSpPr>
        <xdr:cNvPr id="37005" name="Con1_575.25_1395">
          <a:extLst>
            <a:ext uri="{FF2B5EF4-FFF2-40B4-BE49-F238E27FC236}">
              <a16:creationId xmlns:a16="http://schemas.microsoft.com/office/drawing/2014/main" id="{00000000-0008-0000-0000-00008D900000}"/>
            </a:ext>
          </a:extLst>
        </xdr:cNvPr>
        <xdr:cNvCxnSpPr/>
      </xdr:nvCxnSpPr>
      <xdr:spPr>
        <a:xfrm>
          <a:off x="7462838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118</xdr:row>
      <xdr:rowOff>0</xdr:rowOff>
    </xdr:from>
    <xdr:to>
      <xdr:col>19</xdr:col>
      <xdr:colOff>157163</xdr:colOff>
      <xdr:row>118</xdr:row>
      <xdr:rowOff>0</xdr:rowOff>
    </xdr:to>
    <xdr:cxnSp macro="">
      <xdr:nvCxnSpPr>
        <xdr:cNvPr id="37006" name="Con1_476.25_1395">
          <a:extLst>
            <a:ext uri="{FF2B5EF4-FFF2-40B4-BE49-F238E27FC236}">
              <a16:creationId xmlns:a16="http://schemas.microsoft.com/office/drawing/2014/main" id="{00000000-0008-0000-0000-00008E900000}"/>
            </a:ext>
          </a:extLst>
        </xdr:cNvPr>
        <xdr:cNvCxnSpPr/>
      </xdr:nvCxnSpPr>
      <xdr:spPr>
        <a:xfrm>
          <a:off x="6205538" y="19240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82</xdr:row>
      <xdr:rowOff>0</xdr:rowOff>
    </xdr:from>
    <xdr:to>
      <xdr:col>27</xdr:col>
      <xdr:colOff>157163</xdr:colOff>
      <xdr:row>82</xdr:row>
      <xdr:rowOff>0</xdr:rowOff>
    </xdr:to>
    <xdr:cxnSp macro="">
      <xdr:nvCxnSpPr>
        <xdr:cNvPr id="37263" name="Con1_674.25_885">
          <a:extLst>
            <a:ext uri="{FF2B5EF4-FFF2-40B4-BE49-F238E27FC236}">
              <a16:creationId xmlns:a16="http://schemas.microsoft.com/office/drawing/2014/main" id="{00000000-0008-0000-0000-00008F910000}"/>
            </a:ext>
          </a:extLst>
        </xdr:cNvPr>
        <xdr:cNvCxnSpPr/>
      </xdr:nvCxnSpPr>
      <xdr:spPr>
        <a:xfrm>
          <a:off x="8720138" y="1276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118</xdr:row>
      <xdr:rowOff>0</xdr:rowOff>
    </xdr:from>
    <xdr:to>
      <xdr:col>22</xdr:col>
      <xdr:colOff>157163</xdr:colOff>
      <xdr:row>118</xdr:row>
      <xdr:rowOff>0</xdr:rowOff>
    </xdr:to>
    <xdr:cxnSp macro="">
      <xdr:nvCxnSpPr>
        <xdr:cNvPr id="37517" name="Con1_550.5_1245">
          <a:extLst>
            <a:ext uri="{FF2B5EF4-FFF2-40B4-BE49-F238E27FC236}">
              <a16:creationId xmlns:a16="http://schemas.microsoft.com/office/drawing/2014/main" id="{00000000-0008-0000-0000-00008D920000}"/>
            </a:ext>
          </a:extLst>
        </xdr:cNvPr>
        <xdr:cNvCxnSpPr/>
      </xdr:nvCxnSpPr>
      <xdr:spPr>
        <a:xfrm>
          <a:off x="7148513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118</xdr:row>
      <xdr:rowOff>0</xdr:rowOff>
    </xdr:from>
    <xdr:to>
      <xdr:col>18</xdr:col>
      <xdr:colOff>157163</xdr:colOff>
      <xdr:row>118</xdr:row>
      <xdr:rowOff>0</xdr:rowOff>
    </xdr:to>
    <xdr:cxnSp macro="">
      <xdr:nvCxnSpPr>
        <xdr:cNvPr id="37518" name="Con1_451.5_1245">
          <a:extLst>
            <a:ext uri="{FF2B5EF4-FFF2-40B4-BE49-F238E27FC236}">
              <a16:creationId xmlns:a16="http://schemas.microsoft.com/office/drawing/2014/main" id="{00000000-0008-0000-0000-00008E920000}"/>
            </a:ext>
          </a:extLst>
        </xdr:cNvPr>
        <xdr:cNvCxnSpPr/>
      </xdr:nvCxnSpPr>
      <xdr:spPr>
        <a:xfrm>
          <a:off x="5891213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118</xdr:row>
      <xdr:rowOff>0</xdr:rowOff>
    </xdr:from>
    <xdr:to>
      <xdr:col>21</xdr:col>
      <xdr:colOff>157163</xdr:colOff>
      <xdr:row>118</xdr:row>
      <xdr:rowOff>0</xdr:rowOff>
    </xdr:to>
    <xdr:cxnSp macro="">
      <xdr:nvCxnSpPr>
        <xdr:cNvPr id="37523" name="Con1_525.75_1245">
          <a:extLst>
            <a:ext uri="{FF2B5EF4-FFF2-40B4-BE49-F238E27FC236}">
              <a16:creationId xmlns:a16="http://schemas.microsoft.com/office/drawing/2014/main" id="{00000000-0008-0000-0000-000093920000}"/>
            </a:ext>
          </a:extLst>
        </xdr:cNvPr>
        <xdr:cNvCxnSpPr/>
      </xdr:nvCxnSpPr>
      <xdr:spPr>
        <a:xfrm>
          <a:off x="6834188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118</xdr:row>
      <xdr:rowOff>0</xdr:rowOff>
    </xdr:from>
    <xdr:to>
      <xdr:col>17</xdr:col>
      <xdr:colOff>157163</xdr:colOff>
      <xdr:row>118</xdr:row>
      <xdr:rowOff>0</xdr:rowOff>
    </xdr:to>
    <xdr:cxnSp macro="">
      <xdr:nvCxnSpPr>
        <xdr:cNvPr id="37524" name="Con1_426.75_1245">
          <a:extLst>
            <a:ext uri="{FF2B5EF4-FFF2-40B4-BE49-F238E27FC236}">
              <a16:creationId xmlns:a16="http://schemas.microsoft.com/office/drawing/2014/main" id="{00000000-0008-0000-0000-000094920000}"/>
            </a:ext>
          </a:extLst>
        </xdr:cNvPr>
        <xdr:cNvCxnSpPr/>
      </xdr:nvCxnSpPr>
      <xdr:spPr>
        <a:xfrm>
          <a:off x="5576888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118</xdr:row>
      <xdr:rowOff>0</xdr:rowOff>
    </xdr:from>
    <xdr:to>
      <xdr:col>20</xdr:col>
      <xdr:colOff>157163</xdr:colOff>
      <xdr:row>118</xdr:row>
      <xdr:rowOff>0</xdr:rowOff>
    </xdr:to>
    <xdr:cxnSp macro="">
      <xdr:nvCxnSpPr>
        <xdr:cNvPr id="37529" name="Con1_501_1245">
          <a:extLst>
            <a:ext uri="{FF2B5EF4-FFF2-40B4-BE49-F238E27FC236}">
              <a16:creationId xmlns:a16="http://schemas.microsoft.com/office/drawing/2014/main" id="{00000000-0008-0000-0000-000099920000}"/>
            </a:ext>
          </a:extLst>
        </xdr:cNvPr>
        <xdr:cNvCxnSpPr/>
      </xdr:nvCxnSpPr>
      <xdr:spPr>
        <a:xfrm>
          <a:off x="6519863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118</xdr:row>
      <xdr:rowOff>0</xdr:rowOff>
    </xdr:from>
    <xdr:to>
      <xdr:col>16</xdr:col>
      <xdr:colOff>157163</xdr:colOff>
      <xdr:row>118</xdr:row>
      <xdr:rowOff>0</xdr:rowOff>
    </xdr:to>
    <xdr:cxnSp macro="">
      <xdr:nvCxnSpPr>
        <xdr:cNvPr id="37530" name="Con1_402_1245">
          <a:extLst>
            <a:ext uri="{FF2B5EF4-FFF2-40B4-BE49-F238E27FC236}">
              <a16:creationId xmlns:a16="http://schemas.microsoft.com/office/drawing/2014/main" id="{00000000-0008-0000-0000-00009A920000}"/>
            </a:ext>
          </a:extLst>
        </xdr:cNvPr>
        <xdr:cNvCxnSpPr/>
      </xdr:nvCxnSpPr>
      <xdr:spPr>
        <a:xfrm>
          <a:off x="5262563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118</xdr:row>
      <xdr:rowOff>0</xdr:rowOff>
    </xdr:from>
    <xdr:to>
      <xdr:col>23</xdr:col>
      <xdr:colOff>157163</xdr:colOff>
      <xdr:row>118</xdr:row>
      <xdr:rowOff>0</xdr:rowOff>
    </xdr:to>
    <xdr:cxnSp macro="">
      <xdr:nvCxnSpPr>
        <xdr:cNvPr id="37534" name="Con1_575.25_1245">
          <a:extLst>
            <a:ext uri="{FF2B5EF4-FFF2-40B4-BE49-F238E27FC236}">
              <a16:creationId xmlns:a16="http://schemas.microsoft.com/office/drawing/2014/main" id="{00000000-0008-0000-0000-00009E920000}"/>
            </a:ext>
          </a:extLst>
        </xdr:cNvPr>
        <xdr:cNvCxnSpPr/>
      </xdr:nvCxnSpPr>
      <xdr:spPr>
        <a:xfrm>
          <a:off x="7462838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118</xdr:row>
      <xdr:rowOff>0</xdr:rowOff>
    </xdr:from>
    <xdr:to>
      <xdr:col>19</xdr:col>
      <xdr:colOff>157163</xdr:colOff>
      <xdr:row>118</xdr:row>
      <xdr:rowOff>0</xdr:rowOff>
    </xdr:to>
    <xdr:cxnSp macro="">
      <xdr:nvCxnSpPr>
        <xdr:cNvPr id="37535" name="Con1_476.25_1245">
          <a:extLst>
            <a:ext uri="{FF2B5EF4-FFF2-40B4-BE49-F238E27FC236}">
              <a16:creationId xmlns:a16="http://schemas.microsoft.com/office/drawing/2014/main" id="{00000000-0008-0000-0000-00009F920000}"/>
            </a:ext>
          </a:extLst>
        </xdr:cNvPr>
        <xdr:cNvCxnSpPr/>
      </xdr:nvCxnSpPr>
      <xdr:spPr>
        <a:xfrm>
          <a:off x="6205538" y="17335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82</xdr:row>
      <xdr:rowOff>0</xdr:rowOff>
    </xdr:from>
    <xdr:to>
      <xdr:col>27</xdr:col>
      <xdr:colOff>157163</xdr:colOff>
      <xdr:row>82</xdr:row>
      <xdr:rowOff>0</xdr:rowOff>
    </xdr:to>
    <xdr:cxnSp macro="">
      <xdr:nvCxnSpPr>
        <xdr:cNvPr id="37723" name="Con1_674.25_825">
          <a:extLst>
            <a:ext uri="{FF2B5EF4-FFF2-40B4-BE49-F238E27FC236}">
              <a16:creationId xmlns:a16="http://schemas.microsoft.com/office/drawing/2014/main" id="{00000000-0008-0000-0000-00005B930000}"/>
            </a:ext>
          </a:extLst>
        </xdr:cNvPr>
        <xdr:cNvCxnSpPr/>
      </xdr:nvCxnSpPr>
      <xdr:spPr>
        <a:xfrm>
          <a:off x="8720138" y="12001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118</xdr:row>
      <xdr:rowOff>0</xdr:rowOff>
    </xdr:from>
    <xdr:to>
      <xdr:col>22</xdr:col>
      <xdr:colOff>157163</xdr:colOff>
      <xdr:row>118</xdr:row>
      <xdr:rowOff>0</xdr:rowOff>
    </xdr:to>
    <xdr:cxnSp macro="">
      <xdr:nvCxnSpPr>
        <xdr:cNvPr id="37977" name="Con1_550.5_1035">
          <a:extLst>
            <a:ext uri="{FF2B5EF4-FFF2-40B4-BE49-F238E27FC236}">
              <a16:creationId xmlns:a16="http://schemas.microsoft.com/office/drawing/2014/main" id="{00000000-0008-0000-0000-000059940000}"/>
            </a:ext>
          </a:extLst>
        </xdr:cNvPr>
        <xdr:cNvCxnSpPr/>
      </xdr:nvCxnSpPr>
      <xdr:spPr>
        <a:xfrm>
          <a:off x="7148513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118</xdr:row>
      <xdr:rowOff>0</xdr:rowOff>
    </xdr:from>
    <xdr:to>
      <xdr:col>18</xdr:col>
      <xdr:colOff>157163</xdr:colOff>
      <xdr:row>118</xdr:row>
      <xdr:rowOff>0</xdr:rowOff>
    </xdr:to>
    <xdr:cxnSp macro="">
      <xdr:nvCxnSpPr>
        <xdr:cNvPr id="37978" name="Con1_451.5_1035">
          <a:extLst>
            <a:ext uri="{FF2B5EF4-FFF2-40B4-BE49-F238E27FC236}">
              <a16:creationId xmlns:a16="http://schemas.microsoft.com/office/drawing/2014/main" id="{00000000-0008-0000-0000-00005A940000}"/>
            </a:ext>
          </a:extLst>
        </xdr:cNvPr>
        <xdr:cNvCxnSpPr/>
      </xdr:nvCxnSpPr>
      <xdr:spPr>
        <a:xfrm>
          <a:off x="5891213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118</xdr:row>
      <xdr:rowOff>0</xdr:rowOff>
    </xdr:from>
    <xdr:to>
      <xdr:col>21</xdr:col>
      <xdr:colOff>157163</xdr:colOff>
      <xdr:row>118</xdr:row>
      <xdr:rowOff>0</xdr:rowOff>
    </xdr:to>
    <xdr:cxnSp macro="">
      <xdr:nvCxnSpPr>
        <xdr:cNvPr id="37983" name="Con1_525.75_1035">
          <a:extLst>
            <a:ext uri="{FF2B5EF4-FFF2-40B4-BE49-F238E27FC236}">
              <a16:creationId xmlns:a16="http://schemas.microsoft.com/office/drawing/2014/main" id="{00000000-0008-0000-0000-00005F940000}"/>
            </a:ext>
          </a:extLst>
        </xdr:cNvPr>
        <xdr:cNvCxnSpPr/>
      </xdr:nvCxnSpPr>
      <xdr:spPr>
        <a:xfrm>
          <a:off x="6834188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118</xdr:row>
      <xdr:rowOff>0</xdr:rowOff>
    </xdr:from>
    <xdr:to>
      <xdr:col>17</xdr:col>
      <xdr:colOff>157163</xdr:colOff>
      <xdr:row>118</xdr:row>
      <xdr:rowOff>0</xdr:rowOff>
    </xdr:to>
    <xdr:cxnSp macro="">
      <xdr:nvCxnSpPr>
        <xdr:cNvPr id="37984" name="Con1_426.75_1035">
          <a:extLst>
            <a:ext uri="{FF2B5EF4-FFF2-40B4-BE49-F238E27FC236}">
              <a16:creationId xmlns:a16="http://schemas.microsoft.com/office/drawing/2014/main" id="{00000000-0008-0000-0000-000060940000}"/>
            </a:ext>
          </a:extLst>
        </xdr:cNvPr>
        <xdr:cNvCxnSpPr/>
      </xdr:nvCxnSpPr>
      <xdr:spPr>
        <a:xfrm>
          <a:off x="5576888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118</xdr:row>
      <xdr:rowOff>0</xdr:rowOff>
    </xdr:from>
    <xdr:to>
      <xdr:col>20</xdr:col>
      <xdr:colOff>157163</xdr:colOff>
      <xdr:row>118</xdr:row>
      <xdr:rowOff>0</xdr:rowOff>
    </xdr:to>
    <xdr:cxnSp macro="">
      <xdr:nvCxnSpPr>
        <xdr:cNvPr id="37989" name="Con1_501_1035">
          <a:extLst>
            <a:ext uri="{FF2B5EF4-FFF2-40B4-BE49-F238E27FC236}">
              <a16:creationId xmlns:a16="http://schemas.microsoft.com/office/drawing/2014/main" id="{00000000-0008-0000-0000-000065940000}"/>
            </a:ext>
          </a:extLst>
        </xdr:cNvPr>
        <xdr:cNvCxnSpPr/>
      </xdr:nvCxnSpPr>
      <xdr:spPr>
        <a:xfrm>
          <a:off x="6519863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118</xdr:row>
      <xdr:rowOff>0</xdr:rowOff>
    </xdr:from>
    <xdr:to>
      <xdr:col>16</xdr:col>
      <xdr:colOff>157163</xdr:colOff>
      <xdr:row>118</xdr:row>
      <xdr:rowOff>0</xdr:rowOff>
    </xdr:to>
    <xdr:cxnSp macro="">
      <xdr:nvCxnSpPr>
        <xdr:cNvPr id="37990" name="Con1_402_1035">
          <a:extLst>
            <a:ext uri="{FF2B5EF4-FFF2-40B4-BE49-F238E27FC236}">
              <a16:creationId xmlns:a16="http://schemas.microsoft.com/office/drawing/2014/main" id="{00000000-0008-0000-0000-000066940000}"/>
            </a:ext>
          </a:extLst>
        </xdr:cNvPr>
        <xdr:cNvCxnSpPr/>
      </xdr:nvCxnSpPr>
      <xdr:spPr>
        <a:xfrm>
          <a:off x="5262563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118</xdr:row>
      <xdr:rowOff>0</xdr:rowOff>
    </xdr:from>
    <xdr:to>
      <xdr:col>23</xdr:col>
      <xdr:colOff>157163</xdr:colOff>
      <xdr:row>118</xdr:row>
      <xdr:rowOff>0</xdr:rowOff>
    </xdr:to>
    <xdr:cxnSp macro="">
      <xdr:nvCxnSpPr>
        <xdr:cNvPr id="37994" name="Con1_575.25_1035">
          <a:extLst>
            <a:ext uri="{FF2B5EF4-FFF2-40B4-BE49-F238E27FC236}">
              <a16:creationId xmlns:a16="http://schemas.microsoft.com/office/drawing/2014/main" id="{00000000-0008-0000-0000-00006A940000}"/>
            </a:ext>
          </a:extLst>
        </xdr:cNvPr>
        <xdr:cNvCxnSpPr/>
      </xdr:nvCxnSpPr>
      <xdr:spPr>
        <a:xfrm>
          <a:off x="7462838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118</xdr:row>
      <xdr:rowOff>0</xdr:rowOff>
    </xdr:from>
    <xdr:to>
      <xdr:col>19</xdr:col>
      <xdr:colOff>157163</xdr:colOff>
      <xdr:row>118</xdr:row>
      <xdr:rowOff>0</xdr:rowOff>
    </xdr:to>
    <xdr:cxnSp macro="">
      <xdr:nvCxnSpPr>
        <xdr:cNvPr id="37995" name="Con1_476.25_1035">
          <a:extLst>
            <a:ext uri="{FF2B5EF4-FFF2-40B4-BE49-F238E27FC236}">
              <a16:creationId xmlns:a16="http://schemas.microsoft.com/office/drawing/2014/main" id="{00000000-0008-0000-0000-00006B940000}"/>
            </a:ext>
          </a:extLst>
        </xdr:cNvPr>
        <xdr:cNvCxnSpPr/>
      </xdr:nvCxnSpPr>
      <xdr:spPr>
        <a:xfrm>
          <a:off x="6205538" y="14668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82</xdr:row>
      <xdr:rowOff>0</xdr:rowOff>
    </xdr:from>
    <xdr:to>
      <xdr:col>27</xdr:col>
      <xdr:colOff>157163</xdr:colOff>
      <xdr:row>82</xdr:row>
      <xdr:rowOff>0</xdr:rowOff>
    </xdr:to>
    <xdr:cxnSp macro="">
      <xdr:nvCxnSpPr>
        <xdr:cNvPr id="39838" name="Con1_674.25_675">
          <a:extLst>
            <a:ext uri="{FF2B5EF4-FFF2-40B4-BE49-F238E27FC236}">
              <a16:creationId xmlns:a16="http://schemas.microsoft.com/office/drawing/2014/main" id="{00000000-0008-0000-0000-00009E9B0000}"/>
            </a:ext>
          </a:extLst>
        </xdr:cNvPr>
        <xdr:cNvCxnSpPr/>
      </xdr:nvCxnSpPr>
      <xdr:spPr>
        <a:xfrm>
          <a:off x="8720138" y="10096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118</xdr:row>
      <xdr:rowOff>0</xdr:rowOff>
    </xdr:from>
    <xdr:to>
      <xdr:col>22</xdr:col>
      <xdr:colOff>157163</xdr:colOff>
      <xdr:row>118</xdr:row>
      <xdr:rowOff>0</xdr:rowOff>
    </xdr:to>
    <xdr:cxnSp macro="">
      <xdr:nvCxnSpPr>
        <xdr:cNvPr id="39862" name="Con1_550.5_1185">
          <a:extLst>
            <a:ext uri="{FF2B5EF4-FFF2-40B4-BE49-F238E27FC236}">
              <a16:creationId xmlns:a16="http://schemas.microsoft.com/office/drawing/2014/main" id="{00000000-0008-0000-0000-0000B69B0000}"/>
            </a:ext>
          </a:extLst>
        </xdr:cNvPr>
        <xdr:cNvCxnSpPr/>
      </xdr:nvCxnSpPr>
      <xdr:spPr>
        <a:xfrm>
          <a:off x="7148513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118</xdr:row>
      <xdr:rowOff>0</xdr:rowOff>
    </xdr:from>
    <xdr:to>
      <xdr:col>18</xdr:col>
      <xdr:colOff>157163</xdr:colOff>
      <xdr:row>118</xdr:row>
      <xdr:rowOff>0</xdr:rowOff>
    </xdr:to>
    <xdr:cxnSp macro="">
      <xdr:nvCxnSpPr>
        <xdr:cNvPr id="39863" name="Con1_451.5_1185">
          <a:extLst>
            <a:ext uri="{FF2B5EF4-FFF2-40B4-BE49-F238E27FC236}">
              <a16:creationId xmlns:a16="http://schemas.microsoft.com/office/drawing/2014/main" id="{00000000-0008-0000-0000-0000B79B0000}"/>
            </a:ext>
          </a:extLst>
        </xdr:cNvPr>
        <xdr:cNvCxnSpPr/>
      </xdr:nvCxnSpPr>
      <xdr:spPr>
        <a:xfrm>
          <a:off x="5891213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118</xdr:row>
      <xdr:rowOff>0</xdr:rowOff>
    </xdr:from>
    <xdr:to>
      <xdr:col>21</xdr:col>
      <xdr:colOff>157163</xdr:colOff>
      <xdr:row>118</xdr:row>
      <xdr:rowOff>0</xdr:rowOff>
    </xdr:to>
    <xdr:cxnSp macro="">
      <xdr:nvCxnSpPr>
        <xdr:cNvPr id="39868" name="Con1_525.75_1185">
          <a:extLst>
            <a:ext uri="{FF2B5EF4-FFF2-40B4-BE49-F238E27FC236}">
              <a16:creationId xmlns:a16="http://schemas.microsoft.com/office/drawing/2014/main" id="{00000000-0008-0000-0000-0000BC9B0000}"/>
            </a:ext>
          </a:extLst>
        </xdr:cNvPr>
        <xdr:cNvCxnSpPr/>
      </xdr:nvCxnSpPr>
      <xdr:spPr>
        <a:xfrm>
          <a:off x="6834188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118</xdr:row>
      <xdr:rowOff>0</xdr:rowOff>
    </xdr:from>
    <xdr:to>
      <xdr:col>17</xdr:col>
      <xdr:colOff>157163</xdr:colOff>
      <xdr:row>118</xdr:row>
      <xdr:rowOff>0</xdr:rowOff>
    </xdr:to>
    <xdr:cxnSp macro="">
      <xdr:nvCxnSpPr>
        <xdr:cNvPr id="39869" name="Con1_426.75_1185">
          <a:extLst>
            <a:ext uri="{FF2B5EF4-FFF2-40B4-BE49-F238E27FC236}">
              <a16:creationId xmlns:a16="http://schemas.microsoft.com/office/drawing/2014/main" id="{00000000-0008-0000-0000-0000BD9B0000}"/>
            </a:ext>
          </a:extLst>
        </xdr:cNvPr>
        <xdr:cNvCxnSpPr/>
      </xdr:nvCxnSpPr>
      <xdr:spPr>
        <a:xfrm>
          <a:off x="5576888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118</xdr:row>
      <xdr:rowOff>0</xdr:rowOff>
    </xdr:from>
    <xdr:to>
      <xdr:col>20</xdr:col>
      <xdr:colOff>157163</xdr:colOff>
      <xdr:row>118</xdr:row>
      <xdr:rowOff>0</xdr:rowOff>
    </xdr:to>
    <xdr:cxnSp macro="">
      <xdr:nvCxnSpPr>
        <xdr:cNvPr id="39874" name="Con1_501_1185">
          <a:extLst>
            <a:ext uri="{FF2B5EF4-FFF2-40B4-BE49-F238E27FC236}">
              <a16:creationId xmlns:a16="http://schemas.microsoft.com/office/drawing/2014/main" id="{00000000-0008-0000-0000-0000C29B0000}"/>
            </a:ext>
          </a:extLst>
        </xdr:cNvPr>
        <xdr:cNvCxnSpPr/>
      </xdr:nvCxnSpPr>
      <xdr:spPr>
        <a:xfrm>
          <a:off x="6519863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118</xdr:row>
      <xdr:rowOff>0</xdr:rowOff>
    </xdr:from>
    <xdr:to>
      <xdr:col>16</xdr:col>
      <xdr:colOff>157163</xdr:colOff>
      <xdr:row>118</xdr:row>
      <xdr:rowOff>0</xdr:rowOff>
    </xdr:to>
    <xdr:cxnSp macro="">
      <xdr:nvCxnSpPr>
        <xdr:cNvPr id="39875" name="Con1_402_1185">
          <a:extLst>
            <a:ext uri="{FF2B5EF4-FFF2-40B4-BE49-F238E27FC236}">
              <a16:creationId xmlns:a16="http://schemas.microsoft.com/office/drawing/2014/main" id="{00000000-0008-0000-0000-0000C39B0000}"/>
            </a:ext>
          </a:extLst>
        </xdr:cNvPr>
        <xdr:cNvCxnSpPr/>
      </xdr:nvCxnSpPr>
      <xdr:spPr>
        <a:xfrm>
          <a:off x="5262563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118</xdr:row>
      <xdr:rowOff>0</xdr:rowOff>
    </xdr:from>
    <xdr:to>
      <xdr:col>23</xdr:col>
      <xdr:colOff>157163</xdr:colOff>
      <xdr:row>118</xdr:row>
      <xdr:rowOff>0</xdr:rowOff>
    </xdr:to>
    <xdr:cxnSp macro="">
      <xdr:nvCxnSpPr>
        <xdr:cNvPr id="39879" name="Con1_575.25_1185">
          <a:extLst>
            <a:ext uri="{FF2B5EF4-FFF2-40B4-BE49-F238E27FC236}">
              <a16:creationId xmlns:a16="http://schemas.microsoft.com/office/drawing/2014/main" id="{00000000-0008-0000-0000-0000C79B0000}"/>
            </a:ext>
          </a:extLst>
        </xdr:cNvPr>
        <xdr:cNvCxnSpPr/>
      </xdr:nvCxnSpPr>
      <xdr:spPr>
        <a:xfrm>
          <a:off x="7462838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118</xdr:row>
      <xdr:rowOff>0</xdr:rowOff>
    </xdr:from>
    <xdr:to>
      <xdr:col>19</xdr:col>
      <xdr:colOff>157163</xdr:colOff>
      <xdr:row>118</xdr:row>
      <xdr:rowOff>0</xdr:rowOff>
    </xdr:to>
    <xdr:cxnSp macro="">
      <xdr:nvCxnSpPr>
        <xdr:cNvPr id="39880" name="Con1_476.25_1185">
          <a:extLst>
            <a:ext uri="{FF2B5EF4-FFF2-40B4-BE49-F238E27FC236}">
              <a16:creationId xmlns:a16="http://schemas.microsoft.com/office/drawing/2014/main" id="{00000000-0008-0000-0000-0000C89B0000}"/>
            </a:ext>
          </a:extLst>
        </xdr:cNvPr>
        <xdr:cNvCxnSpPr/>
      </xdr:nvCxnSpPr>
      <xdr:spPr>
        <a:xfrm>
          <a:off x="6205538" y="165735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82</xdr:row>
      <xdr:rowOff>0</xdr:rowOff>
    </xdr:from>
    <xdr:to>
      <xdr:col>27</xdr:col>
      <xdr:colOff>157163</xdr:colOff>
      <xdr:row>82</xdr:row>
      <xdr:rowOff>0</xdr:rowOff>
    </xdr:to>
    <xdr:cxnSp macro="">
      <xdr:nvCxnSpPr>
        <xdr:cNvPr id="42081" name="Con1_674.25_600">
          <a:extLst>
            <a:ext uri="{FF2B5EF4-FFF2-40B4-BE49-F238E27FC236}">
              <a16:creationId xmlns:a16="http://schemas.microsoft.com/office/drawing/2014/main" id="{00000000-0008-0000-0000-000061A40000}"/>
            </a:ext>
          </a:extLst>
        </xdr:cNvPr>
        <xdr:cNvCxnSpPr/>
      </xdr:nvCxnSpPr>
      <xdr:spPr>
        <a:xfrm>
          <a:off x="8720138" y="9144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48578</xdr:colOff>
      <xdr:row>37</xdr:row>
      <xdr:rowOff>124381</xdr:rowOff>
    </xdr:from>
    <xdr:to>
      <xdr:col>28</xdr:col>
      <xdr:colOff>275273</xdr:colOff>
      <xdr:row>42</xdr:row>
      <xdr:rowOff>0</xdr:rowOff>
    </xdr:to>
    <xdr:sp macro="" textlink="">
      <xdr:nvSpPr>
        <xdr:cNvPr id="822" name="CO_25">
          <a:extLst>
            <a:ext uri="{FF2B5EF4-FFF2-40B4-BE49-F238E27FC236}">
              <a16:creationId xmlns:a16="http://schemas.microsoft.com/office/drawing/2014/main" id="{00000000-0008-0000-0000-000036030000}"/>
            </a:ext>
          </a:extLst>
        </xdr:cNvPr>
        <xdr:cNvSpPr/>
      </xdr:nvSpPr>
      <xdr:spPr>
        <a:xfrm>
          <a:off x="9535478" y="5439331"/>
          <a:ext cx="226695" cy="796369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29</xdr:col>
      <xdr:colOff>48578</xdr:colOff>
      <xdr:row>37</xdr:row>
      <xdr:rowOff>174867</xdr:rowOff>
    </xdr:from>
    <xdr:to>
      <xdr:col>29</xdr:col>
      <xdr:colOff>275273</xdr:colOff>
      <xdr:row>42</xdr:row>
      <xdr:rowOff>0</xdr:rowOff>
    </xdr:to>
    <xdr:sp macro="" textlink="">
      <xdr:nvSpPr>
        <xdr:cNvPr id="823" name="CO_26">
          <a:extLst>
            <a:ext uri="{FF2B5EF4-FFF2-40B4-BE49-F238E27FC236}">
              <a16:creationId xmlns:a16="http://schemas.microsoft.com/office/drawing/2014/main" id="{00000000-0008-0000-0000-000037030000}"/>
            </a:ext>
          </a:extLst>
        </xdr:cNvPr>
        <xdr:cNvSpPr/>
      </xdr:nvSpPr>
      <xdr:spPr>
        <a:xfrm>
          <a:off x="9859328" y="5489817"/>
          <a:ext cx="226695" cy="745883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48578</xdr:colOff>
      <xdr:row>36</xdr:row>
      <xdr:rowOff>118225</xdr:rowOff>
    </xdr:from>
    <xdr:to>
      <xdr:col>30</xdr:col>
      <xdr:colOff>275273</xdr:colOff>
      <xdr:row>42</xdr:row>
      <xdr:rowOff>0</xdr:rowOff>
    </xdr:to>
    <xdr:sp macro="" textlink="">
      <xdr:nvSpPr>
        <xdr:cNvPr id="824" name="CO_27">
          <a:extLst>
            <a:ext uri="{FF2B5EF4-FFF2-40B4-BE49-F238E27FC236}">
              <a16:creationId xmlns:a16="http://schemas.microsoft.com/office/drawing/2014/main" id="{00000000-0008-0000-0000-000038030000}"/>
            </a:ext>
          </a:extLst>
        </xdr:cNvPr>
        <xdr:cNvSpPr/>
      </xdr:nvSpPr>
      <xdr:spPr>
        <a:xfrm>
          <a:off x="10183178" y="5249025"/>
          <a:ext cx="226695" cy="986675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48578</xdr:colOff>
      <xdr:row>36</xdr:row>
      <xdr:rowOff>102675</xdr:rowOff>
    </xdr:from>
    <xdr:to>
      <xdr:col>31</xdr:col>
      <xdr:colOff>275273</xdr:colOff>
      <xdr:row>42</xdr:row>
      <xdr:rowOff>0</xdr:rowOff>
    </xdr:to>
    <xdr:sp macro="" textlink="">
      <xdr:nvSpPr>
        <xdr:cNvPr id="825" name="CO_28">
          <a:extLst>
            <a:ext uri="{FF2B5EF4-FFF2-40B4-BE49-F238E27FC236}">
              <a16:creationId xmlns:a16="http://schemas.microsoft.com/office/drawing/2014/main" id="{00000000-0008-0000-0000-000039030000}"/>
            </a:ext>
          </a:extLst>
        </xdr:cNvPr>
        <xdr:cNvSpPr/>
      </xdr:nvSpPr>
      <xdr:spPr>
        <a:xfrm>
          <a:off x="10507028" y="5233475"/>
          <a:ext cx="226695" cy="1002225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48578</xdr:colOff>
      <xdr:row>36</xdr:row>
      <xdr:rowOff>91984</xdr:rowOff>
    </xdr:from>
    <xdr:to>
      <xdr:col>32</xdr:col>
      <xdr:colOff>275273</xdr:colOff>
      <xdr:row>42</xdr:row>
      <xdr:rowOff>0</xdr:rowOff>
    </xdr:to>
    <xdr:sp macro="" textlink="">
      <xdr:nvSpPr>
        <xdr:cNvPr id="826" name="CO_29">
          <a:extLst>
            <a:ext uri="{FF2B5EF4-FFF2-40B4-BE49-F238E27FC236}">
              <a16:creationId xmlns:a16="http://schemas.microsoft.com/office/drawing/2014/main" id="{00000000-0008-0000-0000-00003A030000}"/>
            </a:ext>
          </a:extLst>
        </xdr:cNvPr>
        <xdr:cNvSpPr/>
      </xdr:nvSpPr>
      <xdr:spPr>
        <a:xfrm>
          <a:off x="10830878" y="5222784"/>
          <a:ext cx="226695" cy="1012916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48578</xdr:colOff>
      <xdr:row>36</xdr:row>
      <xdr:rowOff>84498</xdr:rowOff>
    </xdr:from>
    <xdr:to>
      <xdr:col>33</xdr:col>
      <xdr:colOff>275273</xdr:colOff>
      <xdr:row>42</xdr:row>
      <xdr:rowOff>0</xdr:rowOff>
    </xdr:to>
    <xdr:sp macro="" textlink="">
      <xdr:nvSpPr>
        <xdr:cNvPr id="827" name="CO_30">
          <a:extLst>
            <a:ext uri="{FF2B5EF4-FFF2-40B4-BE49-F238E27FC236}">
              <a16:creationId xmlns:a16="http://schemas.microsoft.com/office/drawing/2014/main" id="{00000000-0008-0000-0000-00003B030000}"/>
            </a:ext>
          </a:extLst>
        </xdr:cNvPr>
        <xdr:cNvSpPr/>
      </xdr:nvSpPr>
      <xdr:spPr>
        <a:xfrm>
          <a:off x="11154728" y="5215298"/>
          <a:ext cx="226695" cy="1020402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48578</xdr:colOff>
      <xdr:row>36</xdr:row>
      <xdr:rowOff>101015</xdr:rowOff>
    </xdr:from>
    <xdr:to>
      <xdr:col>34</xdr:col>
      <xdr:colOff>275273</xdr:colOff>
      <xdr:row>42</xdr:row>
      <xdr:rowOff>0</xdr:rowOff>
    </xdr:to>
    <xdr:sp macro="" textlink="">
      <xdr:nvSpPr>
        <xdr:cNvPr id="828" name="CO_31">
          <a:extLst>
            <a:ext uri="{FF2B5EF4-FFF2-40B4-BE49-F238E27FC236}">
              <a16:creationId xmlns:a16="http://schemas.microsoft.com/office/drawing/2014/main" id="{00000000-0008-0000-0000-00003C030000}"/>
            </a:ext>
          </a:extLst>
        </xdr:cNvPr>
        <xdr:cNvSpPr/>
      </xdr:nvSpPr>
      <xdr:spPr>
        <a:xfrm>
          <a:off x="11478578" y="5231815"/>
          <a:ext cx="226695" cy="1003885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48578</xdr:colOff>
      <xdr:row>37</xdr:row>
      <xdr:rowOff>101686</xdr:rowOff>
    </xdr:from>
    <xdr:to>
      <xdr:col>35</xdr:col>
      <xdr:colOff>275273</xdr:colOff>
      <xdr:row>42</xdr:row>
      <xdr:rowOff>0</xdr:rowOff>
    </xdr:to>
    <xdr:sp macro="" textlink="">
      <xdr:nvSpPr>
        <xdr:cNvPr id="829" name="CO_32">
          <a:extLst>
            <a:ext uri="{FF2B5EF4-FFF2-40B4-BE49-F238E27FC236}">
              <a16:creationId xmlns:a16="http://schemas.microsoft.com/office/drawing/2014/main" id="{00000000-0008-0000-0000-00003D030000}"/>
            </a:ext>
          </a:extLst>
        </xdr:cNvPr>
        <xdr:cNvSpPr/>
      </xdr:nvSpPr>
      <xdr:spPr>
        <a:xfrm>
          <a:off x="11802428" y="5416636"/>
          <a:ext cx="226695" cy="81906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48578</xdr:colOff>
      <xdr:row>37</xdr:row>
      <xdr:rowOff>155751</xdr:rowOff>
    </xdr:from>
    <xdr:to>
      <xdr:col>36</xdr:col>
      <xdr:colOff>275273</xdr:colOff>
      <xdr:row>42</xdr:row>
      <xdr:rowOff>0</xdr:rowOff>
    </xdr:to>
    <xdr:sp macro="" textlink="">
      <xdr:nvSpPr>
        <xdr:cNvPr id="830" name="CO_33">
          <a:extLst>
            <a:ext uri="{FF2B5EF4-FFF2-40B4-BE49-F238E27FC236}">
              <a16:creationId xmlns:a16="http://schemas.microsoft.com/office/drawing/2014/main" id="{00000000-0008-0000-0000-00003E030000}"/>
            </a:ext>
          </a:extLst>
        </xdr:cNvPr>
        <xdr:cNvSpPr/>
      </xdr:nvSpPr>
      <xdr:spPr>
        <a:xfrm>
          <a:off x="12126278" y="5470701"/>
          <a:ext cx="226695" cy="764999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37</xdr:col>
      <xdr:colOff>48578</xdr:colOff>
      <xdr:row>36</xdr:row>
      <xdr:rowOff>87364</xdr:rowOff>
    </xdr:from>
    <xdr:to>
      <xdr:col>37</xdr:col>
      <xdr:colOff>275273</xdr:colOff>
      <xdr:row>42</xdr:row>
      <xdr:rowOff>0</xdr:rowOff>
    </xdr:to>
    <xdr:sp macro="" textlink="">
      <xdr:nvSpPr>
        <xdr:cNvPr id="831" name="CO_34">
          <a:extLst>
            <a:ext uri="{FF2B5EF4-FFF2-40B4-BE49-F238E27FC236}">
              <a16:creationId xmlns:a16="http://schemas.microsoft.com/office/drawing/2014/main" id="{00000000-0008-0000-0000-00003F030000}"/>
            </a:ext>
          </a:extLst>
        </xdr:cNvPr>
        <xdr:cNvSpPr/>
      </xdr:nvSpPr>
      <xdr:spPr>
        <a:xfrm>
          <a:off x="12450128" y="5218164"/>
          <a:ext cx="226695" cy="1017536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157163</xdr:colOff>
      <xdr:row>82</xdr:row>
      <xdr:rowOff>0</xdr:rowOff>
    </xdr:from>
    <xdr:to>
      <xdr:col>27</xdr:col>
      <xdr:colOff>157163</xdr:colOff>
      <xdr:row>82</xdr:row>
      <xdr:rowOff>0</xdr:rowOff>
    </xdr:to>
    <xdr:cxnSp macro="">
      <xdr:nvCxnSpPr>
        <xdr:cNvPr id="50409" name="Con1_674.25_750">
          <a:extLst>
            <a:ext uri="{FF2B5EF4-FFF2-40B4-BE49-F238E27FC236}">
              <a16:creationId xmlns:a16="http://schemas.microsoft.com/office/drawing/2014/main" id="{00000000-0008-0000-0000-0000E9C40000}"/>
            </a:ext>
          </a:extLst>
        </xdr:cNvPr>
        <xdr:cNvCxnSpPr/>
      </xdr:nvCxnSpPr>
      <xdr:spPr>
        <a:xfrm>
          <a:off x="8720138" y="1104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48577</xdr:colOff>
      <xdr:row>80</xdr:row>
      <xdr:rowOff>79187</xdr:rowOff>
    </xdr:from>
    <xdr:to>
      <xdr:col>4</xdr:col>
      <xdr:colOff>275272</xdr:colOff>
      <xdr:row>82</xdr:row>
      <xdr:rowOff>0</xdr:rowOff>
    </xdr:to>
    <xdr:sp macro="" textlink="">
      <xdr:nvSpPr>
        <xdr:cNvPr id="8571" name="CON_IND_1">
          <a:extLst>
            <a:ext uri="{FF2B5EF4-FFF2-40B4-BE49-F238E27FC236}">
              <a16:creationId xmlns:a16="http://schemas.microsoft.com/office/drawing/2014/main" id="{00000000-0008-0000-0000-00007B210000}"/>
            </a:ext>
          </a:extLst>
        </xdr:cNvPr>
        <xdr:cNvSpPr/>
      </xdr:nvSpPr>
      <xdr:spPr>
        <a:xfrm>
          <a:off x="1763077" y="9445437"/>
          <a:ext cx="226695" cy="289113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48578</xdr:colOff>
      <xdr:row>80</xdr:row>
      <xdr:rowOff>140829</xdr:rowOff>
    </xdr:from>
    <xdr:to>
      <xdr:col>28</xdr:col>
      <xdr:colOff>275273</xdr:colOff>
      <xdr:row>82</xdr:row>
      <xdr:rowOff>1</xdr:rowOff>
    </xdr:to>
    <xdr:sp macro="" textlink="">
      <xdr:nvSpPr>
        <xdr:cNvPr id="8863" name="CON_IND_25">
          <a:extLst>
            <a:ext uri="{FF2B5EF4-FFF2-40B4-BE49-F238E27FC236}">
              <a16:creationId xmlns:a16="http://schemas.microsoft.com/office/drawing/2014/main" id="{00000000-0008-0000-0000-00009F220000}"/>
            </a:ext>
          </a:extLst>
        </xdr:cNvPr>
        <xdr:cNvSpPr/>
      </xdr:nvSpPr>
      <xdr:spPr>
        <a:xfrm>
          <a:off x="9535478" y="9507079"/>
          <a:ext cx="226695" cy="227472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29</xdr:col>
      <xdr:colOff>48578</xdr:colOff>
      <xdr:row>80</xdr:row>
      <xdr:rowOff>152867</xdr:rowOff>
    </xdr:from>
    <xdr:to>
      <xdr:col>29</xdr:col>
      <xdr:colOff>275273</xdr:colOff>
      <xdr:row>82</xdr:row>
      <xdr:rowOff>0</xdr:rowOff>
    </xdr:to>
    <xdr:sp macro="" textlink="">
      <xdr:nvSpPr>
        <xdr:cNvPr id="8864" name="CON_IND_26">
          <a:extLst>
            <a:ext uri="{FF2B5EF4-FFF2-40B4-BE49-F238E27FC236}">
              <a16:creationId xmlns:a16="http://schemas.microsoft.com/office/drawing/2014/main" id="{00000000-0008-0000-0000-0000A0220000}"/>
            </a:ext>
          </a:extLst>
        </xdr:cNvPr>
        <xdr:cNvSpPr/>
      </xdr:nvSpPr>
      <xdr:spPr>
        <a:xfrm>
          <a:off x="9859328" y="9519117"/>
          <a:ext cx="226695" cy="215433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48578</xdr:colOff>
      <xdr:row>80</xdr:row>
      <xdr:rowOff>88739</xdr:rowOff>
    </xdr:from>
    <xdr:to>
      <xdr:col>30</xdr:col>
      <xdr:colOff>275273</xdr:colOff>
      <xdr:row>82</xdr:row>
      <xdr:rowOff>0</xdr:rowOff>
    </xdr:to>
    <xdr:sp macro="" textlink="">
      <xdr:nvSpPr>
        <xdr:cNvPr id="8865" name="CON_IND_27">
          <a:extLst>
            <a:ext uri="{FF2B5EF4-FFF2-40B4-BE49-F238E27FC236}">
              <a16:creationId xmlns:a16="http://schemas.microsoft.com/office/drawing/2014/main" id="{00000000-0008-0000-0000-0000A1220000}"/>
            </a:ext>
          </a:extLst>
        </xdr:cNvPr>
        <xdr:cNvSpPr/>
      </xdr:nvSpPr>
      <xdr:spPr>
        <a:xfrm>
          <a:off x="10183178" y="9454989"/>
          <a:ext cx="226695" cy="279561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48578</xdr:colOff>
      <xdr:row>80</xdr:row>
      <xdr:rowOff>88955</xdr:rowOff>
    </xdr:from>
    <xdr:to>
      <xdr:col>31</xdr:col>
      <xdr:colOff>275273</xdr:colOff>
      <xdr:row>82</xdr:row>
      <xdr:rowOff>0</xdr:rowOff>
    </xdr:to>
    <xdr:sp macro="" textlink="">
      <xdr:nvSpPr>
        <xdr:cNvPr id="8866" name="CON_IND_28">
          <a:extLst>
            <a:ext uri="{FF2B5EF4-FFF2-40B4-BE49-F238E27FC236}">
              <a16:creationId xmlns:a16="http://schemas.microsoft.com/office/drawing/2014/main" id="{00000000-0008-0000-0000-0000A2220000}"/>
            </a:ext>
          </a:extLst>
        </xdr:cNvPr>
        <xdr:cNvSpPr/>
      </xdr:nvSpPr>
      <xdr:spPr>
        <a:xfrm>
          <a:off x="10507028" y="9455205"/>
          <a:ext cx="226695" cy="279345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48578</xdr:colOff>
      <xdr:row>80</xdr:row>
      <xdr:rowOff>88886</xdr:rowOff>
    </xdr:from>
    <xdr:to>
      <xdr:col>32</xdr:col>
      <xdr:colOff>275273</xdr:colOff>
      <xdr:row>82</xdr:row>
      <xdr:rowOff>0</xdr:rowOff>
    </xdr:to>
    <xdr:sp macro="" textlink="">
      <xdr:nvSpPr>
        <xdr:cNvPr id="8867" name="CON_IND_29">
          <a:extLst>
            <a:ext uri="{FF2B5EF4-FFF2-40B4-BE49-F238E27FC236}">
              <a16:creationId xmlns:a16="http://schemas.microsoft.com/office/drawing/2014/main" id="{00000000-0008-0000-0000-0000A3220000}"/>
            </a:ext>
          </a:extLst>
        </xdr:cNvPr>
        <xdr:cNvSpPr/>
      </xdr:nvSpPr>
      <xdr:spPr>
        <a:xfrm>
          <a:off x="10830878" y="9455136"/>
          <a:ext cx="226695" cy="279414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48578</xdr:colOff>
      <xdr:row>80</xdr:row>
      <xdr:rowOff>88745</xdr:rowOff>
    </xdr:from>
    <xdr:to>
      <xdr:col>33</xdr:col>
      <xdr:colOff>275273</xdr:colOff>
      <xdr:row>82</xdr:row>
      <xdr:rowOff>0</xdr:rowOff>
    </xdr:to>
    <xdr:sp macro="" textlink="">
      <xdr:nvSpPr>
        <xdr:cNvPr id="8868" name="CON_IND_30">
          <a:extLst>
            <a:ext uri="{FF2B5EF4-FFF2-40B4-BE49-F238E27FC236}">
              <a16:creationId xmlns:a16="http://schemas.microsoft.com/office/drawing/2014/main" id="{00000000-0008-0000-0000-0000A4220000}"/>
            </a:ext>
          </a:extLst>
        </xdr:cNvPr>
        <xdr:cNvSpPr/>
      </xdr:nvSpPr>
      <xdr:spPr>
        <a:xfrm>
          <a:off x="11154728" y="9454995"/>
          <a:ext cx="226695" cy="279555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48578</xdr:colOff>
      <xdr:row>80</xdr:row>
      <xdr:rowOff>88385</xdr:rowOff>
    </xdr:from>
    <xdr:to>
      <xdr:col>34</xdr:col>
      <xdr:colOff>275273</xdr:colOff>
      <xdr:row>81</xdr:row>
      <xdr:rowOff>184149</xdr:rowOff>
    </xdr:to>
    <xdr:sp macro="" textlink="">
      <xdr:nvSpPr>
        <xdr:cNvPr id="8869" name="CON_IND_31">
          <a:extLst>
            <a:ext uri="{FF2B5EF4-FFF2-40B4-BE49-F238E27FC236}">
              <a16:creationId xmlns:a16="http://schemas.microsoft.com/office/drawing/2014/main" id="{00000000-0008-0000-0000-0000A5220000}"/>
            </a:ext>
          </a:extLst>
        </xdr:cNvPr>
        <xdr:cNvSpPr/>
      </xdr:nvSpPr>
      <xdr:spPr>
        <a:xfrm>
          <a:off x="11478578" y="9454635"/>
          <a:ext cx="226695" cy="279914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48578</xdr:colOff>
      <xdr:row>80</xdr:row>
      <xdr:rowOff>135128</xdr:rowOff>
    </xdr:from>
    <xdr:to>
      <xdr:col>35</xdr:col>
      <xdr:colOff>275273</xdr:colOff>
      <xdr:row>81</xdr:row>
      <xdr:rowOff>184149</xdr:rowOff>
    </xdr:to>
    <xdr:sp macro="" textlink="">
      <xdr:nvSpPr>
        <xdr:cNvPr id="8870" name="CON_IND_32">
          <a:extLst>
            <a:ext uri="{FF2B5EF4-FFF2-40B4-BE49-F238E27FC236}">
              <a16:creationId xmlns:a16="http://schemas.microsoft.com/office/drawing/2014/main" id="{00000000-0008-0000-0000-0000A6220000}"/>
            </a:ext>
          </a:extLst>
        </xdr:cNvPr>
        <xdr:cNvSpPr/>
      </xdr:nvSpPr>
      <xdr:spPr>
        <a:xfrm>
          <a:off x="11802428" y="9501378"/>
          <a:ext cx="226695" cy="233171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48578</xdr:colOff>
      <xdr:row>80</xdr:row>
      <xdr:rowOff>148127</xdr:rowOff>
    </xdr:from>
    <xdr:to>
      <xdr:col>36</xdr:col>
      <xdr:colOff>275273</xdr:colOff>
      <xdr:row>82</xdr:row>
      <xdr:rowOff>0</xdr:rowOff>
    </xdr:to>
    <xdr:sp macro="" textlink="">
      <xdr:nvSpPr>
        <xdr:cNvPr id="8871" name="CON_IND_33">
          <a:extLst>
            <a:ext uri="{FF2B5EF4-FFF2-40B4-BE49-F238E27FC236}">
              <a16:creationId xmlns:a16="http://schemas.microsoft.com/office/drawing/2014/main" id="{00000000-0008-0000-0000-0000A7220000}"/>
            </a:ext>
          </a:extLst>
        </xdr:cNvPr>
        <xdr:cNvSpPr/>
      </xdr:nvSpPr>
      <xdr:spPr>
        <a:xfrm>
          <a:off x="12126278" y="9514377"/>
          <a:ext cx="226695" cy="220173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37</xdr:col>
      <xdr:colOff>48578</xdr:colOff>
      <xdr:row>80</xdr:row>
      <xdr:rowOff>82965</xdr:rowOff>
    </xdr:from>
    <xdr:to>
      <xdr:col>37</xdr:col>
      <xdr:colOff>275273</xdr:colOff>
      <xdr:row>81</xdr:row>
      <xdr:rowOff>184149</xdr:rowOff>
    </xdr:to>
    <xdr:sp macro="" textlink="">
      <xdr:nvSpPr>
        <xdr:cNvPr id="8872" name="CON_IND_34">
          <a:extLst>
            <a:ext uri="{FF2B5EF4-FFF2-40B4-BE49-F238E27FC236}">
              <a16:creationId xmlns:a16="http://schemas.microsoft.com/office/drawing/2014/main" id="{00000000-0008-0000-0000-0000A8220000}"/>
            </a:ext>
          </a:extLst>
        </xdr:cNvPr>
        <xdr:cNvSpPr/>
      </xdr:nvSpPr>
      <xdr:spPr>
        <a:xfrm>
          <a:off x="12450128" y="9449215"/>
          <a:ext cx="226695" cy="285334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25</xdr:col>
      <xdr:colOff>48578</xdr:colOff>
      <xdr:row>115</xdr:row>
      <xdr:rowOff>109014</xdr:rowOff>
    </xdr:from>
    <xdr:to>
      <xdr:col>25</xdr:col>
      <xdr:colOff>275273</xdr:colOff>
      <xdr:row>117</xdr:row>
      <xdr:rowOff>184149</xdr:rowOff>
    </xdr:to>
    <xdr:sp macro="" textlink="">
      <xdr:nvSpPr>
        <xdr:cNvPr id="9230" name="CON_POW_22">
          <a:extLst>
            <a:ext uri="{FF2B5EF4-FFF2-40B4-BE49-F238E27FC236}">
              <a16:creationId xmlns:a16="http://schemas.microsoft.com/office/drawing/2014/main" id="{00000000-0008-0000-0000-00000E240000}"/>
            </a:ext>
          </a:extLst>
        </xdr:cNvPr>
        <xdr:cNvSpPr/>
      </xdr:nvSpPr>
      <xdr:spPr>
        <a:xfrm>
          <a:off x="8563928" y="12789964"/>
          <a:ext cx="226695" cy="443435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26</xdr:col>
      <xdr:colOff>48578</xdr:colOff>
      <xdr:row>115</xdr:row>
      <xdr:rowOff>91784</xdr:rowOff>
    </xdr:from>
    <xdr:to>
      <xdr:col>26</xdr:col>
      <xdr:colOff>275273</xdr:colOff>
      <xdr:row>117</xdr:row>
      <xdr:rowOff>184149</xdr:rowOff>
    </xdr:to>
    <xdr:sp macro="" textlink="">
      <xdr:nvSpPr>
        <xdr:cNvPr id="9231" name="CON_POW_23">
          <a:extLst>
            <a:ext uri="{FF2B5EF4-FFF2-40B4-BE49-F238E27FC236}">
              <a16:creationId xmlns:a16="http://schemas.microsoft.com/office/drawing/2014/main" id="{00000000-0008-0000-0000-00000F240000}"/>
            </a:ext>
          </a:extLst>
        </xdr:cNvPr>
        <xdr:cNvSpPr/>
      </xdr:nvSpPr>
      <xdr:spPr>
        <a:xfrm>
          <a:off x="8887778" y="12772734"/>
          <a:ext cx="226695" cy="460665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48578</xdr:colOff>
      <xdr:row>115</xdr:row>
      <xdr:rowOff>114215</xdr:rowOff>
    </xdr:from>
    <xdr:to>
      <xdr:col>27</xdr:col>
      <xdr:colOff>275273</xdr:colOff>
      <xdr:row>118</xdr:row>
      <xdr:rowOff>1</xdr:rowOff>
    </xdr:to>
    <xdr:sp macro="" textlink="">
      <xdr:nvSpPr>
        <xdr:cNvPr id="9232" name="CON_POW_24">
          <a:extLst>
            <a:ext uri="{FF2B5EF4-FFF2-40B4-BE49-F238E27FC236}">
              <a16:creationId xmlns:a16="http://schemas.microsoft.com/office/drawing/2014/main" id="{00000000-0008-0000-0000-000010240000}"/>
            </a:ext>
          </a:extLst>
        </xdr:cNvPr>
        <xdr:cNvSpPr/>
      </xdr:nvSpPr>
      <xdr:spPr>
        <a:xfrm>
          <a:off x="9211628" y="12795165"/>
          <a:ext cx="226695" cy="438236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48578</xdr:colOff>
      <xdr:row>116</xdr:row>
      <xdr:rowOff>37764</xdr:rowOff>
    </xdr:from>
    <xdr:to>
      <xdr:col>28</xdr:col>
      <xdr:colOff>275273</xdr:colOff>
      <xdr:row>118</xdr:row>
      <xdr:rowOff>1</xdr:rowOff>
    </xdr:to>
    <xdr:sp macro="" textlink="">
      <xdr:nvSpPr>
        <xdr:cNvPr id="9233" name="CON_POW_25">
          <a:extLst>
            <a:ext uri="{FF2B5EF4-FFF2-40B4-BE49-F238E27FC236}">
              <a16:creationId xmlns:a16="http://schemas.microsoft.com/office/drawing/2014/main" id="{00000000-0008-0000-0000-000011240000}"/>
            </a:ext>
          </a:extLst>
        </xdr:cNvPr>
        <xdr:cNvSpPr/>
      </xdr:nvSpPr>
      <xdr:spPr>
        <a:xfrm>
          <a:off x="9535478" y="12902864"/>
          <a:ext cx="226695" cy="330537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29</xdr:col>
      <xdr:colOff>48578</xdr:colOff>
      <xdr:row>116</xdr:row>
      <xdr:rowOff>70687</xdr:rowOff>
    </xdr:from>
    <xdr:to>
      <xdr:col>29</xdr:col>
      <xdr:colOff>275273</xdr:colOff>
      <xdr:row>118</xdr:row>
      <xdr:rowOff>0</xdr:rowOff>
    </xdr:to>
    <xdr:sp macro="" textlink="">
      <xdr:nvSpPr>
        <xdr:cNvPr id="9234" name="CON_POW_26">
          <a:extLst>
            <a:ext uri="{FF2B5EF4-FFF2-40B4-BE49-F238E27FC236}">
              <a16:creationId xmlns:a16="http://schemas.microsoft.com/office/drawing/2014/main" id="{00000000-0008-0000-0000-000012240000}"/>
            </a:ext>
          </a:extLst>
        </xdr:cNvPr>
        <xdr:cNvSpPr/>
      </xdr:nvSpPr>
      <xdr:spPr>
        <a:xfrm>
          <a:off x="9859328" y="12935787"/>
          <a:ext cx="226695" cy="297613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48578</xdr:colOff>
      <xdr:row>115</xdr:row>
      <xdr:rowOff>114029</xdr:rowOff>
    </xdr:from>
    <xdr:to>
      <xdr:col>30</xdr:col>
      <xdr:colOff>275273</xdr:colOff>
      <xdr:row>118</xdr:row>
      <xdr:rowOff>0</xdr:rowOff>
    </xdr:to>
    <xdr:sp macro="" textlink="">
      <xdr:nvSpPr>
        <xdr:cNvPr id="9235" name="CON_POW_27">
          <a:extLst>
            <a:ext uri="{FF2B5EF4-FFF2-40B4-BE49-F238E27FC236}">
              <a16:creationId xmlns:a16="http://schemas.microsoft.com/office/drawing/2014/main" id="{00000000-0008-0000-0000-000013240000}"/>
            </a:ext>
          </a:extLst>
        </xdr:cNvPr>
        <xdr:cNvSpPr/>
      </xdr:nvSpPr>
      <xdr:spPr>
        <a:xfrm>
          <a:off x="10183178" y="12794979"/>
          <a:ext cx="226695" cy="438421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48578</xdr:colOff>
      <xdr:row>115</xdr:row>
      <xdr:rowOff>95812</xdr:rowOff>
    </xdr:from>
    <xdr:to>
      <xdr:col>31</xdr:col>
      <xdr:colOff>275273</xdr:colOff>
      <xdr:row>118</xdr:row>
      <xdr:rowOff>0</xdr:rowOff>
    </xdr:to>
    <xdr:sp macro="" textlink="">
      <xdr:nvSpPr>
        <xdr:cNvPr id="9236" name="CON_POW_28">
          <a:extLst>
            <a:ext uri="{FF2B5EF4-FFF2-40B4-BE49-F238E27FC236}">
              <a16:creationId xmlns:a16="http://schemas.microsoft.com/office/drawing/2014/main" id="{00000000-0008-0000-0000-000014240000}"/>
            </a:ext>
          </a:extLst>
        </xdr:cNvPr>
        <xdr:cNvSpPr/>
      </xdr:nvSpPr>
      <xdr:spPr>
        <a:xfrm>
          <a:off x="10507028" y="12776762"/>
          <a:ext cx="226695" cy="456638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48578</xdr:colOff>
      <xdr:row>115</xdr:row>
      <xdr:rowOff>83010</xdr:rowOff>
    </xdr:from>
    <xdr:to>
      <xdr:col>32</xdr:col>
      <xdr:colOff>275273</xdr:colOff>
      <xdr:row>118</xdr:row>
      <xdr:rowOff>0</xdr:rowOff>
    </xdr:to>
    <xdr:sp macro="" textlink="">
      <xdr:nvSpPr>
        <xdr:cNvPr id="9237" name="CON_POW_29">
          <a:extLst>
            <a:ext uri="{FF2B5EF4-FFF2-40B4-BE49-F238E27FC236}">
              <a16:creationId xmlns:a16="http://schemas.microsoft.com/office/drawing/2014/main" id="{00000000-0008-0000-0000-000015240000}"/>
            </a:ext>
          </a:extLst>
        </xdr:cNvPr>
        <xdr:cNvSpPr/>
      </xdr:nvSpPr>
      <xdr:spPr>
        <a:xfrm>
          <a:off x="10830878" y="12763960"/>
          <a:ext cx="226695" cy="46944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33</xdr:col>
      <xdr:colOff>48578</xdr:colOff>
      <xdr:row>115</xdr:row>
      <xdr:rowOff>74047</xdr:rowOff>
    </xdr:from>
    <xdr:to>
      <xdr:col>33</xdr:col>
      <xdr:colOff>275273</xdr:colOff>
      <xdr:row>118</xdr:row>
      <xdr:rowOff>1</xdr:rowOff>
    </xdr:to>
    <xdr:sp macro="" textlink="">
      <xdr:nvSpPr>
        <xdr:cNvPr id="9238" name="CON_POW_30">
          <a:extLst>
            <a:ext uri="{FF2B5EF4-FFF2-40B4-BE49-F238E27FC236}">
              <a16:creationId xmlns:a16="http://schemas.microsoft.com/office/drawing/2014/main" id="{00000000-0008-0000-0000-000016240000}"/>
            </a:ext>
          </a:extLst>
        </xdr:cNvPr>
        <xdr:cNvSpPr/>
      </xdr:nvSpPr>
      <xdr:spPr>
        <a:xfrm>
          <a:off x="11154728" y="12754997"/>
          <a:ext cx="226695" cy="478404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48578</xdr:colOff>
      <xdr:row>115</xdr:row>
      <xdr:rowOff>87833</xdr:rowOff>
    </xdr:from>
    <xdr:to>
      <xdr:col>34</xdr:col>
      <xdr:colOff>275273</xdr:colOff>
      <xdr:row>118</xdr:row>
      <xdr:rowOff>0</xdr:rowOff>
    </xdr:to>
    <xdr:sp macro="" textlink="">
      <xdr:nvSpPr>
        <xdr:cNvPr id="9239" name="CON_POW_31">
          <a:extLst>
            <a:ext uri="{FF2B5EF4-FFF2-40B4-BE49-F238E27FC236}">
              <a16:creationId xmlns:a16="http://schemas.microsoft.com/office/drawing/2014/main" id="{00000000-0008-0000-0000-000017240000}"/>
            </a:ext>
          </a:extLst>
        </xdr:cNvPr>
        <xdr:cNvSpPr/>
      </xdr:nvSpPr>
      <xdr:spPr>
        <a:xfrm>
          <a:off x="11478578" y="12768783"/>
          <a:ext cx="226695" cy="464617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48578</xdr:colOff>
      <xdr:row>116</xdr:row>
      <xdr:rowOff>16839</xdr:rowOff>
    </xdr:from>
    <xdr:to>
      <xdr:col>35</xdr:col>
      <xdr:colOff>275273</xdr:colOff>
      <xdr:row>117</xdr:row>
      <xdr:rowOff>184149</xdr:rowOff>
    </xdr:to>
    <xdr:sp macro="" textlink="">
      <xdr:nvSpPr>
        <xdr:cNvPr id="9240" name="CON_POW_32">
          <a:extLst>
            <a:ext uri="{FF2B5EF4-FFF2-40B4-BE49-F238E27FC236}">
              <a16:creationId xmlns:a16="http://schemas.microsoft.com/office/drawing/2014/main" id="{00000000-0008-0000-0000-000018240000}"/>
            </a:ext>
          </a:extLst>
        </xdr:cNvPr>
        <xdr:cNvSpPr/>
      </xdr:nvSpPr>
      <xdr:spPr>
        <a:xfrm>
          <a:off x="11802428" y="12881939"/>
          <a:ext cx="226695" cy="35146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48578</xdr:colOff>
      <xdr:row>116</xdr:row>
      <xdr:rowOff>52780</xdr:rowOff>
    </xdr:from>
    <xdr:to>
      <xdr:col>36</xdr:col>
      <xdr:colOff>275273</xdr:colOff>
      <xdr:row>118</xdr:row>
      <xdr:rowOff>0</xdr:rowOff>
    </xdr:to>
    <xdr:sp macro="" textlink="">
      <xdr:nvSpPr>
        <xdr:cNvPr id="9241" name="CON_POW_33">
          <a:extLst>
            <a:ext uri="{FF2B5EF4-FFF2-40B4-BE49-F238E27FC236}">
              <a16:creationId xmlns:a16="http://schemas.microsoft.com/office/drawing/2014/main" id="{00000000-0008-0000-0000-000019240000}"/>
            </a:ext>
          </a:extLst>
        </xdr:cNvPr>
        <xdr:cNvSpPr/>
      </xdr:nvSpPr>
      <xdr:spPr>
        <a:xfrm>
          <a:off x="12126278" y="12917880"/>
          <a:ext cx="226695" cy="31552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37</xdr:col>
      <xdr:colOff>48578</xdr:colOff>
      <xdr:row>115</xdr:row>
      <xdr:rowOff>85630</xdr:rowOff>
    </xdr:from>
    <xdr:to>
      <xdr:col>37</xdr:col>
      <xdr:colOff>275273</xdr:colOff>
      <xdr:row>117</xdr:row>
      <xdr:rowOff>184149</xdr:rowOff>
    </xdr:to>
    <xdr:sp macro="" textlink="">
      <xdr:nvSpPr>
        <xdr:cNvPr id="9242" name="CON_POW_34">
          <a:extLst>
            <a:ext uri="{FF2B5EF4-FFF2-40B4-BE49-F238E27FC236}">
              <a16:creationId xmlns:a16="http://schemas.microsoft.com/office/drawing/2014/main" id="{00000000-0008-0000-0000-00001A240000}"/>
            </a:ext>
          </a:extLst>
        </xdr:cNvPr>
        <xdr:cNvSpPr/>
      </xdr:nvSpPr>
      <xdr:spPr>
        <a:xfrm>
          <a:off x="12450128" y="12766580"/>
          <a:ext cx="226695" cy="466819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199549</xdr:colOff>
      <xdr:row>150</xdr:row>
      <xdr:rowOff>152400</xdr:rowOff>
    </xdr:from>
    <xdr:to>
      <xdr:col>28</xdr:col>
      <xdr:colOff>105252</xdr:colOff>
      <xdr:row>150</xdr:row>
      <xdr:rowOff>152400</xdr:rowOff>
    </xdr:to>
    <xdr:sp macro="" textlink="">
      <xdr:nvSpPr>
        <xdr:cNvPr id="9243" name="CON_OTHER_24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/>
      </xdr:nvSpPr>
      <xdr:spPr>
        <a:xfrm>
          <a:off x="9076849" y="20154900"/>
          <a:ext cx="220028" cy="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28</xdr:col>
      <xdr:colOff>48578</xdr:colOff>
      <xdr:row>148</xdr:row>
      <xdr:rowOff>129939</xdr:rowOff>
    </xdr:from>
    <xdr:to>
      <xdr:col>28</xdr:col>
      <xdr:colOff>275273</xdr:colOff>
      <xdr:row>149</xdr:row>
      <xdr:rowOff>184149</xdr:rowOff>
    </xdr:to>
    <xdr:sp macro="" textlink="">
      <xdr:nvSpPr>
        <xdr:cNvPr id="9244" name="CON_OTHER_25">
          <a:extLst>
            <a:ext uri="{FF2B5EF4-FFF2-40B4-BE49-F238E27FC236}">
              <a16:creationId xmlns:a16="http://schemas.microsoft.com/office/drawing/2014/main" id="{00000000-0008-0000-0000-00001C240000}"/>
            </a:ext>
          </a:extLst>
        </xdr:cNvPr>
        <xdr:cNvSpPr/>
      </xdr:nvSpPr>
      <xdr:spPr>
        <a:xfrm>
          <a:off x="9535478" y="16493889"/>
          <a:ext cx="226695" cy="23836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29</xdr:col>
      <xdr:colOff>48578</xdr:colOff>
      <xdr:row>148</xdr:row>
      <xdr:rowOff>135463</xdr:rowOff>
    </xdr:from>
    <xdr:to>
      <xdr:col>29</xdr:col>
      <xdr:colOff>275273</xdr:colOff>
      <xdr:row>150</xdr:row>
      <xdr:rowOff>0</xdr:rowOff>
    </xdr:to>
    <xdr:sp macro="" textlink="">
      <xdr:nvSpPr>
        <xdr:cNvPr id="9245" name="CON_OTHER_26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/>
      </xdr:nvSpPr>
      <xdr:spPr>
        <a:xfrm>
          <a:off x="9859328" y="16499413"/>
          <a:ext cx="226695" cy="232837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30</xdr:col>
      <xdr:colOff>48578</xdr:colOff>
      <xdr:row>148</xdr:row>
      <xdr:rowOff>99608</xdr:rowOff>
    </xdr:from>
    <xdr:to>
      <xdr:col>30</xdr:col>
      <xdr:colOff>275273</xdr:colOff>
      <xdr:row>150</xdr:row>
      <xdr:rowOff>0</xdr:rowOff>
    </xdr:to>
    <xdr:sp macro="" textlink="">
      <xdr:nvSpPr>
        <xdr:cNvPr id="9246" name="CON_OTHER_27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SpPr/>
      </xdr:nvSpPr>
      <xdr:spPr>
        <a:xfrm>
          <a:off x="10183178" y="16463558"/>
          <a:ext cx="226695" cy="268692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48578</xdr:colOff>
      <xdr:row>148</xdr:row>
      <xdr:rowOff>102057</xdr:rowOff>
    </xdr:from>
    <xdr:to>
      <xdr:col>31</xdr:col>
      <xdr:colOff>275273</xdr:colOff>
      <xdr:row>149</xdr:row>
      <xdr:rowOff>184149</xdr:rowOff>
    </xdr:to>
    <xdr:sp macro="" textlink="">
      <xdr:nvSpPr>
        <xdr:cNvPr id="9247" name="CON_OTHER_28">
          <a:extLst>
            <a:ext uri="{FF2B5EF4-FFF2-40B4-BE49-F238E27FC236}">
              <a16:creationId xmlns:a16="http://schemas.microsoft.com/office/drawing/2014/main" id="{00000000-0008-0000-0000-00001F240000}"/>
            </a:ext>
          </a:extLst>
        </xdr:cNvPr>
        <xdr:cNvSpPr/>
      </xdr:nvSpPr>
      <xdr:spPr>
        <a:xfrm>
          <a:off x="10507028" y="16466007"/>
          <a:ext cx="226695" cy="266242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32</xdr:col>
      <xdr:colOff>48578</xdr:colOff>
      <xdr:row>148</xdr:row>
      <xdr:rowOff>104239</xdr:rowOff>
    </xdr:from>
    <xdr:to>
      <xdr:col>32</xdr:col>
      <xdr:colOff>275273</xdr:colOff>
      <xdr:row>150</xdr:row>
      <xdr:rowOff>1</xdr:rowOff>
    </xdr:to>
    <xdr:sp macro="" textlink="">
      <xdr:nvSpPr>
        <xdr:cNvPr id="9248" name="CON_OTHER_29">
          <a:extLst>
            <a:ext uri="{FF2B5EF4-FFF2-40B4-BE49-F238E27FC236}">
              <a16:creationId xmlns:a16="http://schemas.microsoft.com/office/drawing/2014/main" id="{00000000-0008-0000-0000-000020240000}"/>
            </a:ext>
          </a:extLst>
        </xdr:cNvPr>
        <xdr:cNvSpPr/>
      </xdr:nvSpPr>
      <xdr:spPr>
        <a:xfrm>
          <a:off x="10830878" y="16468189"/>
          <a:ext cx="226695" cy="264062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48577</xdr:colOff>
      <xdr:row>164</xdr:row>
      <xdr:rowOff>163105</xdr:rowOff>
    </xdr:from>
    <xdr:to>
      <xdr:col>4</xdr:col>
      <xdr:colOff>275272</xdr:colOff>
      <xdr:row>171</xdr:row>
      <xdr:rowOff>0</xdr:rowOff>
    </xdr:to>
    <xdr:sp macro="" textlink="">
      <xdr:nvSpPr>
        <xdr:cNvPr id="501" name="IMP_AU_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>
          <a:off x="1763077" y="19473455"/>
          <a:ext cx="226695" cy="1125945"/>
        </a:xfrm>
        <a:prstGeom prst="rect">
          <a:avLst/>
        </a:prstGeom>
        <a:solidFill>
          <a:srgbClr val="F79646"/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16</xdr:col>
      <xdr:colOff>157163</xdr:colOff>
      <xdr:row>42</xdr:row>
      <xdr:rowOff>0</xdr:rowOff>
    </xdr:from>
    <xdr:to>
      <xdr:col>17</xdr:col>
      <xdr:colOff>157163</xdr:colOff>
      <xdr:row>42</xdr:row>
      <xdr:rowOff>0</xdr:rowOff>
    </xdr:to>
    <xdr:cxnSp macro="">
      <xdr:nvCxnSpPr>
        <xdr:cNvPr id="229" name="Con1_426.75_60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CxnSpPr/>
      </xdr:nvCxnSpPr>
      <xdr:spPr>
        <a:xfrm>
          <a:off x="557688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42</xdr:row>
      <xdr:rowOff>0</xdr:rowOff>
    </xdr:from>
    <xdr:to>
      <xdr:col>26</xdr:col>
      <xdr:colOff>157163</xdr:colOff>
      <xdr:row>42</xdr:row>
      <xdr:rowOff>0</xdr:rowOff>
    </xdr:to>
    <xdr:cxnSp macro="">
      <xdr:nvCxnSpPr>
        <xdr:cNvPr id="230" name="Con1_649.5_60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CxnSpPr/>
      </xdr:nvCxnSpPr>
      <xdr:spPr>
        <a:xfrm>
          <a:off x="840581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42</xdr:row>
      <xdr:rowOff>0</xdr:rowOff>
    </xdr:from>
    <xdr:to>
      <xdr:col>20</xdr:col>
      <xdr:colOff>157163</xdr:colOff>
      <xdr:row>42</xdr:row>
      <xdr:rowOff>0</xdr:rowOff>
    </xdr:to>
    <xdr:cxnSp macro="">
      <xdr:nvCxnSpPr>
        <xdr:cNvPr id="231" name="Con1_501_6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CxnSpPr/>
      </xdr:nvCxnSpPr>
      <xdr:spPr>
        <a:xfrm>
          <a:off x="651986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42</xdr:row>
      <xdr:rowOff>0</xdr:rowOff>
    </xdr:from>
    <xdr:to>
      <xdr:col>13</xdr:col>
      <xdr:colOff>157163</xdr:colOff>
      <xdr:row>42</xdr:row>
      <xdr:rowOff>0</xdr:rowOff>
    </xdr:to>
    <xdr:cxnSp macro="">
      <xdr:nvCxnSpPr>
        <xdr:cNvPr id="232" name="Con1_327.75_60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CxnSpPr/>
      </xdr:nvCxnSpPr>
      <xdr:spPr>
        <a:xfrm>
          <a:off x="431958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42</xdr:row>
      <xdr:rowOff>0</xdr:rowOff>
    </xdr:from>
    <xdr:to>
      <xdr:col>16</xdr:col>
      <xdr:colOff>157163</xdr:colOff>
      <xdr:row>42</xdr:row>
      <xdr:rowOff>0</xdr:rowOff>
    </xdr:to>
    <xdr:cxnSp macro="">
      <xdr:nvCxnSpPr>
        <xdr:cNvPr id="233" name="Con1_402_60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CxnSpPr/>
      </xdr:nvCxnSpPr>
      <xdr:spPr>
        <a:xfrm>
          <a:off x="526256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42</xdr:row>
      <xdr:rowOff>0</xdr:rowOff>
    </xdr:from>
    <xdr:to>
      <xdr:col>5</xdr:col>
      <xdr:colOff>157163</xdr:colOff>
      <xdr:row>42</xdr:row>
      <xdr:rowOff>0</xdr:rowOff>
    </xdr:to>
    <xdr:cxnSp macro="">
      <xdr:nvCxnSpPr>
        <xdr:cNvPr id="234" name="Con1_129.75_60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CxnSpPr/>
      </xdr:nvCxnSpPr>
      <xdr:spPr>
        <a:xfrm>
          <a:off x="180498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42</xdr:row>
      <xdr:rowOff>0</xdr:rowOff>
    </xdr:from>
    <xdr:to>
      <xdr:col>19</xdr:col>
      <xdr:colOff>157163</xdr:colOff>
      <xdr:row>42</xdr:row>
      <xdr:rowOff>0</xdr:rowOff>
    </xdr:to>
    <xdr:cxnSp macro="">
      <xdr:nvCxnSpPr>
        <xdr:cNvPr id="235" name="Con1_476.25_6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CxnSpPr/>
      </xdr:nvCxnSpPr>
      <xdr:spPr>
        <a:xfrm>
          <a:off x="620553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157163</xdr:colOff>
      <xdr:row>42</xdr:row>
      <xdr:rowOff>0</xdr:rowOff>
    </xdr:from>
    <xdr:to>
      <xdr:col>10</xdr:col>
      <xdr:colOff>157163</xdr:colOff>
      <xdr:row>42</xdr:row>
      <xdr:rowOff>0</xdr:rowOff>
    </xdr:to>
    <xdr:cxnSp macro="">
      <xdr:nvCxnSpPr>
        <xdr:cNvPr id="236" name="Con1_253.5_60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CxnSpPr/>
      </xdr:nvCxnSpPr>
      <xdr:spPr>
        <a:xfrm>
          <a:off x="337661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42</xdr:row>
      <xdr:rowOff>0</xdr:rowOff>
    </xdr:from>
    <xdr:to>
      <xdr:col>9</xdr:col>
      <xdr:colOff>157163</xdr:colOff>
      <xdr:row>42</xdr:row>
      <xdr:rowOff>0</xdr:rowOff>
    </xdr:to>
    <xdr:cxnSp macro="">
      <xdr:nvCxnSpPr>
        <xdr:cNvPr id="237" name="Con1_228.75_60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CxnSpPr/>
      </xdr:nvCxnSpPr>
      <xdr:spPr>
        <a:xfrm>
          <a:off x="306228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42</xdr:row>
      <xdr:rowOff>0</xdr:rowOff>
    </xdr:from>
    <xdr:to>
      <xdr:col>12</xdr:col>
      <xdr:colOff>157163</xdr:colOff>
      <xdr:row>42</xdr:row>
      <xdr:rowOff>0</xdr:rowOff>
    </xdr:to>
    <xdr:cxnSp macro="">
      <xdr:nvCxnSpPr>
        <xdr:cNvPr id="238" name="Con1_303_60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CxnSpPr/>
      </xdr:nvCxnSpPr>
      <xdr:spPr>
        <a:xfrm>
          <a:off x="400526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157163</xdr:colOff>
      <xdr:row>42</xdr:row>
      <xdr:rowOff>0</xdr:rowOff>
    </xdr:from>
    <xdr:to>
      <xdr:col>8</xdr:col>
      <xdr:colOff>157163</xdr:colOff>
      <xdr:row>42</xdr:row>
      <xdr:rowOff>0</xdr:rowOff>
    </xdr:to>
    <xdr:cxnSp macro="">
      <xdr:nvCxnSpPr>
        <xdr:cNvPr id="239" name="Con1_204_60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CxnSpPr/>
      </xdr:nvCxnSpPr>
      <xdr:spPr>
        <a:xfrm>
          <a:off x="274796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42</xdr:row>
      <xdr:rowOff>0</xdr:rowOff>
    </xdr:from>
    <xdr:to>
      <xdr:col>7</xdr:col>
      <xdr:colOff>157163</xdr:colOff>
      <xdr:row>42</xdr:row>
      <xdr:rowOff>0</xdr:rowOff>
    </xdr:to>
    <xdr:cxnSp macro="">
      <xdr:nvCxnSpPr>
        <xdr:cNvPr id="240" name="Con1_179.25_60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CxnSpPr/>
      </xdr:nvCxnSpPr>
      <xdr:spPr>
        <a:xfrm>
          <a:off x="243363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42</xdr:row>
      <xdr:rowOff>0</xdr:rowOff>
    </xdr:from>
    <xdr:to>
      <xdr:col>6</xdr:col>
      <xdr:colOff>157163</xdr:colOff>
      <xdr:row>42</xdr:row>
      <xdr:rowOff>0</xdr:rowOff>
    </xdr:to>
    <xdr:cxnSp macro="">
      <xdr:nvCxnSpPr>
        <xdr:cNvPr id="241" name="Con1_154.5_6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CxnSpPr/>
      </xdr:nvCxnSpPr>
      <xdr:spPr>
        <a:xfrm>
          <a:off x="211931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42</xdr:row>
      <xdr:rowOff>0</xdr:rowOff>
    </xdr:from>
    <xdr:to>
      <xdr:col>24</xdr:col>
      <xdr:colOff>157163</xdr:colOff>
      <xdr:row>42</xdr:row>
      <xdr:rowOff>0</xdr:rowOff>
    </xdr:to>
    <xdr:cxnSp macro="">
      <xdr:nvCxnSpPr>
        <xdr:cNvPr id="242" name="Con1_600_60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CxnSpPr/>
      </xdr:nvCxnSpPr>
      <xdr:spPr>
        <a:xfrm>
          <a:off x="777716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157163</xdr:colOff>
      <xdr:row>42</xdr:row>
      <xdr:rowOff>0</xdr:rowOff>
    </xdr:from>
    <xdr:to>
      <xdr:col>25</xdr:col>
      <xdr:colOff>157163</xdr:colOff>
      <xdr:row>42</xdr:row>
      <xdr:rowOff>0</xdr:rowOff>
    </xdr:to>
    <xdr:cxnSp macro="">
      <xdr:nvCxnSpPr>
        <xdr:cNvPr id="243" name="Con1_624.75_60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CxnSpPr/>
      </xdr:nvCxnSpPr>
      <xdr:spPr>
        <a:xfrm>
          <a:off x="809148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42</xdr:row>
      <xdr:rowOff>0</xdr:rowOff>
    </xdr:from>
    <xdr:to>
      <xdr:col>21</xdr:col>
      <xdr:colOff>157163</xdr:colOff>
      <xdr:row>42</xdr:row>
      <xdr:rowOff>0</xdr:rowOff>
    </xdr:to>
    <xdr:cxnSp macro="">
      <xdr:nvCxnSpPr>
        <xdr:cNvPr id="244" name="Con1_525.75_60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CxnSpPr/>
      </xdr:nvCxnSpPr>
      <xdr:spPr>
        <a:xfrm>
          <a:off x="683418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42</xdr:row>
      <xdr:rowOff>0</xdr:rowOff>
    </xdr:from>
    <xdr:to>
      <xdr:col>15</xdr:col>
      <xdr:colOff>157163</xdr:colOff>
      <xdr:row>42</xdr:row>
      <xdr:rowOff>0</xdr:rowOff>
    </xdr:to>
    <xdr:cxnSp macro="">
      <xdr:nvCxnSpPr>
        <xdr:cNvPr id="293" name="Con1_377.25_60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CxnSpPr/>
      </xdr:nvCxnSpPr>
      <xdr:spPr>
        <a:xfrm>
          <a:off x="494823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42</xdr:row>
      <xdr:rowOff>0</xdr:rowOff>
    </xdr:from>
    <xdr:to>
      <xdr:col>23</xdr:col>
      <xdr:colOff>157163</xdr:colOff>
      <xdr:row>42</xdr:row>
      <xdr:rowOff>0</xdr:rowOff>
    </xdr:to>
    <xdr:cxnSp macro="">
      <xdr:nvCxnSpPr>
        <xdr:cNvPr id="294" name="Con1_575.25_60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CxnSpPr/>
      </xdr:nvCxnSpPr>
      <xdr:spPr>
        <a:xfrm>
          <a:off x="746283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42</xdr:row>
      <xdr:rowOff>0</xdr:rowOff>
    </xdr:from>
    <xdr:to>
      <xdr:col>22</xdr:col>
      <xdr:colOff>157163</xdr:colOff>
      <xdr:row>42</xdr:row>
      <xdr:rowOff>0</xdr:rowOff>
    </xdr:to>
    <xdr:cxnSp macro="">
      <xdr:nvCxnSpPr>
        <xdr:cNvPr id="295" name="Con1_550.5_60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CxnSpPr/>
      </xdr:nvCxnSpPr>
      <xdr:spPr>
        <a:xfrm>
          <a:off x="714851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42</xdr:row>
      <xdr:rowOff>0</xdr:rowOff>
    </xdr:from>
    <xdr:to>
      <xdr:col>27</xdr:col>
      <xdr:colOff>157163</xdr:colOff>
      <xdr:row>42</xdr:row>
      <xdr:rowOff>0</xdr:rowOff>
    </xdr:to>
    <xdr:cxnSp macro="">
      <xdr:nvCxnSpPr>
        <xdr:cNvPr id="296" name="Con1_674.25_60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CxnSpPr/>
      </xdr:nvCxnSpPr>
      <xdr:spPr>
        <a:xfrm>
          <a:off x="872013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42</xdr:row>
      <xdr:rowOff>0</xdr:rowOff>
    </xdr:from>
    <xdr:to>
      <xdr:col>11</xdr:col>
      <xdr:colOff>157163</xdr:colOff>
      <xdr:row>42</xdr:row>
      <xdr:rowOff>0</xdr:rowOff>
    </xdr:to>
    <xdr:cxnSp macro="">
      <xdr:nvCxnSpPr>
        <xdr:cNvPr id="297" name="Con1_278.25_60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CxnSpPr/>
      </xdr:nvCxnSpPr>
      <xdr:spPr>
        <a:xfrm>
          <a:off x="3690938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42</xdr:row>
      <xdr:rowOff>0</xdr:rowOff>
    </xdr:from>
    <xdr:to>
      <xdr:col>14</xdr:col>
      <xdr:colOff>157163</xdr:colOff>
      <xdr:row>42</xdr:row>
      <xdr:rowOff>0</xdr:rowOff>
    </xdr:to>
    <xdr:cxnSp macro="">
      <xdr:nvCxnSpPr>
        <xdr:cNvPr id="298" name="Con1_352.5_60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CxnSpPr/>
      </xdr:nvCxnSpPr>
      <xdr:spPr>
        <a:xfrm>
          <a:off x="463391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42</xdr:row>
      <xdr:rowOff>0</xdr:rowOff>
    </xdr:from>
    <xdr:to>
      <xdr:col>18</xdr:col>
      <xdr:colOff>157163</xdr:colOff>
      <xdr:row>42</xdr:row>
      <xdr:rowOff>0</xdr:rowOff>
    </xdr:to>
    <xdr:cxnSp macro="">
      <xdr:nvCxnSpPr>
        <xdr:cNvPr id="299" name="Con1_451.5_60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CxnSpPr/>
      </xdr:nvCxnSpPr>
      <xdr:spPr>
        <a:xfrm>
          <a:off x="5891213" y="2286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48578</xdr:colOff>
      <xdr:row>9</xdr:row>
      <xdr:rowOff>61383</xdr:rowOff>
    </xdr:from>
    <xdr:to>
      <xdr:col>14</xdr:col>
      <xdr:colOff>275273</xdr:colOff>
      <xdr:row>9</xdr:row>
      <xdr:rowOff>61383</xdr:rowOff>
    </xdr:to>
    <xdr:sp macro="" textlink="">
      <xdr:nvSpPr>
        <xdr:cNvPr id="653" name="BA_11">
          <a:extLst>
            <a:ext uri="{FF2B5EF4-FFF2-40B4-BE49-F238E27FC236}">
              <a16:creationId xmlns:a16="http://schemas.microsoft.com/office/drawing/2014/main" id="{00000000-0008-0000-0000-00008D020000}"/>
            </a:ext>
          </a:extLst>
        </xdr:cNvPr>
        <xdr:cNvSpPr/>
      </xdr:nvSpPr>
      <xdr:spPr>
        <a:xfrm>
          <a:off x="5001578" y="1718733"/>
          <a:ext cx="226695" cy="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47149</xdr:colOff>
      <xdr:row>12</xdr:row>
      <xdr:rowOff>0</xdr:rowOff>
    </xdr:from>
    <xdr:to>
      <xdr:col>15</xdr:col>
      <xdr:colOff>267177</xdr:colOff>
      <xdr:row>12</xdr:row>
      <xdr:rowOff>0</xdr:rowOff>
    </xdr:to>
    <xdr:sp macro="" textlink="">
      <xdr:nvSpPr>
        <xdr:cNvPr id="654" name="PV_12">
          <a:extLst>
            <a:ext uri="{FF2B5EF4-FFF2-40B4-BE49-F238E27FC236}">
              <a16:creationId xmlns:a16="http://schemas.microsoft.com/office/drawing/2014/main" id="{00000000-0008-0000-0000-00008E020000}"/>
            </a:ext>
          </a:extLst>
        </xdr:cNvPr>
        <xdr:cNvSpPr/>
      </xdr:nvSpPr>
      <xdr:spPr>
        <a:xfrm>
          <a:off x="5152549" y="7239000"/>
          <a:ext cx="220028" cy="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48578</xdr:colOff>
      <xdr:row>7</xdr:row>
      <xdr:rowOff>18451</xdr:rowOff>
    </xdr:from>
    <xdr:to>
      <xdr:col>11</xdr:col>
      <xdr:colOff>275273</xdr:colOff>
      <xdr:row>7</xdr:row>
      <xdr:rowOff>25489</xdr:rowOff>
    </xdr:to>
    <xdr:sp macro="" textlink="">
      <xdr:nvSpPr>
        <xdr:cNvPr id="655" name="BA_8">
          <a:extLst>
            <a:ext uri="{FF2B5EF4-FFF2-40B4-BE49-F238E27FC236}">
              <a16:creationId xmlns:a16="http://schemas.microsoft.com/office/drawing/2014/main" id="{00000000-0008-0000-0000-00008F020000}"/>
            </a:ext>
          </a:extLst>
        </xdr:cNvPr>
        <xdr:cNvSpPr/>
      </xdr:nvSpPr>
      <xdr:spPr>
        <a:xfrm>
          <a:off x="4030028" y="1307501"/>
          <a:ext cx="226695" cy="7038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48578</xdr:colOff>
      <xdr:row>7</xdr:row>
      <xdr:rowOff>18451</xdr:rowOff>
    </xdr:from>
    <xdr:to>
      <xdr:col>12</xdr:col>
      <xdr:colOff>275273</xdr:colOff>
      <xdr:row>9</xdr:row>
      <xdr:rowOff>61383</xdr:rowOff>
    </xdr:to>
    <xdr:sp macro="" textlink="">
      <xdr:nvSpPr>
        <xdr:cNvPr id="656" name="BA_9">
          <a:extLs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>
        <a:xfrm>
          <a:off x="4353878" y="1307501"/>
          <a:ext cx="226695" cy="411232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48578</xdr:colOff>
      <xdr:row>9</xdr:row>
      <xdr:rowOff>61383</xdr:rowOff>
    </xdr:from>
    <xdr:to>
      <xdr:col>13</xdr:col>
      <xdr:colOff>275273</xdr:colOff>
      <xdr:row>9</xdr:row>
      <xdr:rowOff>61383</xdr:rowOff>
    </xdr:to>
    <xdr:sp macro="" textlink="">
      <xdr:nvSpPr>
        <xdr:cNvPr id="657" name="BA_10">
          <a:extLs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>
        <a:xfrm>
          <a:off x="4677728" y="1718733"/>
          <a:ext cx="226695" cy="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48578</xdr:colOff>
      <xdr:row>6</xdr:row>
      <xdr:rowOff>172835</xdr:rowOff>
    </xdr:from>
    <xdr:to>
      <xdr:col>15</xdr:col>
      <xdr:colOff>275273</xdr:colOff>
      <xdr:row>9</xdr:row>
      <xdr:rowOff>61383</xdr:rowOff>
    </xdr:to>
    <xdr:sp macro="" textlink="">
      <xdr:nvSpPr>
        <xdr:cNvPr id="659" name="BA_12">
          <a:extLs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>
        <a:xfrm>
          <a:off x="5325428" y="1277735"/>
          <a:ext cx="226695" cy="440998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48578</xdr:colOff>
      <xdr:row>6</xdr:row>
      <xdr:rowOff>165738</xdr:rowOff>
    </xdr:from>
    <xdr:to>
      <xdr:col>16</xdr:col>
      <xdr:colOff>275273</xdr:colOff>
      <xdr:row>6</xdr:row>
      <xdr:rowOff>172835</xdr:rowOff>
    </xdr:to>
    <xdr:sp macro="" textlink="">
      <xdr:nvSpPr>
        <xdr:cNvPr id="660" name="BA_13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SpPr/>
      </xdr:nvSpPr>
      <xdr:spPr>
        <a:xfrm>
          <a:off x="5649278" y="1270638"/>
          <a:ext cx="226695" cy="7097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17</xdr:col>
      <xdr:colOff>48578</xdr:colOff>
      <xdr:row>6</xdr:row>
      <xdr:rowOff>158194</xdr:rowOff>
    </xdr:from>
    <xdr:to>
      <xdr:col>17</xdr:col>
      <xdr:colOff>275273</xdr:colOff>
      <xdr:row>6</xdr:row>
      <xdr:rowOff>165738</xdr:rowOff>
    </xdr:to>
    <xdr:sp macro="" textlink="">
      <xdr:nvSpPr>
        <xdr:cNvPr id="661" name="BA_14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SpPr/>
      </xdr:nvSpPr>
      <xdr:spPr>
        <a:xfrm>
          <a:off x="5973128" y="1263094"/>
          <a:ext cx="226695" cy="7544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18</xdr:col>
      <xdr:colOff>48578</xdr:colOff>
      <xdr:row>6</xdr:row>
      <xdr:rowOff>153575</xdr:rowOff>
    </xdr:from>
    <xdr:to>
      <xdr:col>18</xdr:col>
      <xdr:colOff>275273</xdr:colOff>
      <xdr:row>6</xdr:row>
      <xdr:rowOff>158194</xdr:rowOff>
    </xdr:to>
    <xdr:sp macro="" textlink="">
      <xdr:nvSpPr>
        <xdr:cNvPr id="662" name="BA_15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SpPr/>
      </xdr:nvSpPr>
      <xdr:spPr>
        <a:xfrm>
          <a:off x="6296978" y="1258475"/>
          <a:ext cx="226695" cy="4619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48578</xdr:colOff>
      <xdr:row>6</xdr:row>
      <xdr:rowOff>148566</xdr:rowOff>
    </xdr:from>
    <xdr:to>
      <xdr:col>19</xdr:col>
      <xdr:colOff>275273</xdr:colOff>
      <xdr:row>6</xdr:row>
      <xdr:rowOff>153576</xdr:rowOff>
    </xdr:to>
    <xdr:sp macro="" textlink="">
      <xdr:nvSpPr>
        <xdr:cNvPr id="663" name="BA_16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SpPr/>
      </xdr:nvSpPr>
      <xdr:spPr>
        <a:xfrm>
          <a:off x="6620828" y="1253466"/>
          <a:ext cx="226695" cy="5010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48578</xdr:colOff>
      <xdr:row>6</xdr:row>
      <xdr:rowOff>142659</xdr:rowOff>
    </xdr:from>
    <xdr:to>
      <xdr:col>20</xdr:col>
      <xdr:colOff>275273</xdr:colOff>
      <xdr:row>6</xdr:row>
      <xdr:rowOff>148566</xdr:rowOff>
    </xdr:to>
    <xdr:sp macro="" textlink="">
      <xdr:nvSpPr>
        <xdr:cNvPr id="664" name="BA_17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SpPr/>
      </xdr:nvSpPr>
      <xdr:spPr>
        <a:xfrm>
          <a:off x="6944678" y="1247559"/>
          <a:ext cx="226695" cy="5907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21</xdr:col>
      <xdr:colOff>48578</xdr:colOff>
      <xdr:row>6</xdr:row>
      <xdr:rowOff>135794</xdr:rowOff>
    </xdr:from>
    <xdr:to>
      <xdr:col>21</xdr:col>
      <xdr:colOff>275273</xdr:colOff>
      <xdr:row>6</xdr:row>
      <xdr:rowOff>142660</xdr:rowOff>
    </xdr:to>
    <xdr:sp macro="" textlink="">
      <xdr:nvSpPr>
        <xdr:cNvPr id="665" name="BA_18">
          <a:extLst>
            <a:ext uri="{FF2B5EF4-FFF2-40B4-BE49-F238E27FC236}">
              <a16:creationId xmlns:a16="http://schemas.microsoft.com/office/drawing/2014/main" id="{00000000-0008-0000-0000-000099020000}"/>
            </a:ext>
          </a:extLst>
        </xdr:cNvPr>
        <xdr:cNvSpPr/>
      </xdr:nvSpPr>
      <xdr:spPr>
        <a:xfrm>
          <a:off x="7268528" y="1240694"/>
          <a:ext cx="226695" cy="6866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22</xdr:col>
      <xdr:colOff>48578</xdr:colOff>
      <xdr:row>6</xdr:row>
      <xdr:rowOff>128329</xdr:rowOff>
    </xdr:from>
    <xdr:to>
      <xdr:col>22</xdr:col>
      <xdr:colOff>275273</xdr:colOff>
      <xdr:row>6</xdr:row>
      <xdr:rowOff>135794</xdr:rowOff>
    </xdr:to>
    <xdr:sp macro="" textlink="">
      <xdr:nvSpPr>
        <xdr:cNvPr id="666" name="BA_19">
          <a:extLst>
            <a:ext uri="{FF2B5EF4-FFF2-40B4-BE49-F238E27FC236}">
              <a16:creationId xmlns:a16="http://schemas.microsoft.com/office/drawing/2014/main" id="{00000000-0008-0000-0000-00009A020000}"/>
            </a:ext>
          </a:extLst>
        </xdr:cNvPr>
        <xdr:cNvSpPr/>
      </xdr:nvSpPr>
      <xdr:spPr>
        <a:xfrm>
          <a:off x="7592378" y="1233229"/>
          <a:ext cx="226695" cy="7465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48578</xdr:colOff>
      <xdr:row>6</xdr:row>
      <xdr:rowOff>122767</xdr:rowOff>
    </xdr:from>
    <xdr:to>
      <xdr:col>23</xdr:col>
      <xdr:colOff>275273</xdr:colOff>
      <xdr:row>6</xdr:row>
      <xdr:rowOff>128329</xdr:rowOff>
    </xdr:to>
    <xdr:sp macro="" textlink="">
      <xdr:nvSpPr>
        <xdr:cNvPr id="667" name="BA_20">
          <a:extLst>
            <a:ext uri="{FF2B5EF4-FFF2-40B4-BE49-F238E27FC236}">
              <a16:creationId xmlns:a16="http://schemas.microsoft.com/office/drawing/2014/main" id="{00000000-0008-0000-0000-00009B020000}"/>
            </a:ext>
          </a:extLst>
        </xdr:cNvPr>
        <xdr:cNvSpPr/>
      </xdr:nvSpPr>
      <xdr:spPr>
        <a:xfrm>
          <a:off x="7916228" y="1227667"/>
          <a:ext cx="226695" cy="5562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48578</xdr:colOff>
      <xdr:row>7</xdr:row>
      <xdr:rowOff>25490</xdr:rowOff>
    </xdr:from>
    <xdr:to>
      <xdr:col>10</xdr:col>
      <xdr:colOff>275273</xdr:colOff>
      <xdr:row>7</xdr:row>
      <xdr:rowOff>32614</xdr:rowOff>
    </xdr:to>
    <xdr:sp macro="" textlink="">
      <xdr:nvSpPr>
        <xdr:cNvPr id="672" name="BA_7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/>
      </xdr:nvSpPr>
      <xdr:spPr>
        <a:xfrm>
          <a:off x="3706178" y="1314540"/>
          <a:ext cx="226695" cy="7124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48578</xdr:colOff>
      <xdr:row>7</xdr:row>
      <xdr:rowOff>32614</xdr:rowOff>
    </xdr:from>
    <xdr:to>
      <xdr:col>9</xdr:col>
      <xdr:colOff>275273</xdr:colOff>
      <xdr:row>7</xdr:row>
      <xdr:rowOff>40351</xdr:rowOff>
    </xdr:to>
    <xdr:sp macro="" textlink="">
      <xdr:nvSpPr>
        <xdr:cNvPr id="673" name="BA_6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/>
      </xdr:nvSpPr>
      <xdr:spPr>
        <a:xfrm>
          <a:off x="3382328" y="1321664"/>
          <a:ext cx="226695" cy="7737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48577</xdr:colOff>
      <xdr:row>7</xdr:row>
      <xdr:rowOff>40350</xdr:rowOff>
    </xdr:from>
    <xdr:to>
      <xdr:col>8</xdr:col>
      <xdr:colOff>275272</xdr:colOff>
      <xdr:row>7</xdr:row>
      <xdr:rowOff>48255</xdr:rowOff>
    </xdr:to>
    <xdr:sp macro="" textlink="">
      <xdr:nvSpPr>
        <xdr:cNvPr id="674" name="BA_5">
          <a:extLst>
            <a:ext uri="{FF2B5EF4-FFF2-40B4-BE49-F238E27FC236}">
              <a16:creationId xmlns:a16="http://schemas.microsoft.com/office/drawing/2014/main" id="{00000000-0008-0000-0000-0000A2020000}"/>
            </a:ext>
          </a:extLst>
        </xdr:cNvPr>
        <xdr:cNvSpPr/>
      </xdr:nvSpPr>
      <xdr:spPr>
        <a:xfrm>
          <a:off x="3058477" y="1329400"/>
          <a:ext cx="226695" cy="7905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48577</xdr:colOff>
      <xdr:row>7</xdr:row>
      <xdr:rowOff>48255</xdr:rowOff>
    </xdr:from>
    <xdr:to>
      <xdr:col>7</xdr:col>
      <xdr:colOff>275272</xdr:colOff>
      <xdr:row>7</xdr:row>
      <xdr:rowOff>56083</xdr:rowOff>
    </xdr:to>
    <xdr:sp macro="" textlink="">
      <xdr:nvSpPr>
        <xdr:cNvPr id="675" name="BA_4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/>
      </xdr:nvSpPr>
      <xdr:spPr>
        <a:xfrm>
          <a:off x="2734627" y="1337305"/>
          <a:ext cx="226695" cy="7828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48577</xdr:colOff>
      <xdr:row>7</xdr:row>
      <xdr:rowOff>56083</xdr:rowOff>
    </xdr:from>
    <xdr:to>
      <xdr:col>6</xdr:col>
      <xdr:colOff>275272</xdr:colOff>
      <xdr:row>7</xdr:row>
      <xdr:rowOff>62371</xdr:rowOff>
    </xdr:to>
    <xdr:sp macro="" textlink="">
      <xdr:nvSpPr>
        <xdr:cNvPr id="676" name="BA_3">
          <a:extLst>
            <a:ext uri="{FF2B5EF4-FFF2-40B4-BE49-F238E27FC236}">
              <a16:creationId xmlns:a16="http://schemas.microsoft.com/office/drawing/2014/main" id="{00000000-0008-0000-0000-0000A4020000}"/>
            </a:ext>
          </a:extLst>
        </xdr:cNvPr>
        <xdr:cNvSpPr/>
      </xdr:nvSpPr>
      <xdr:spPr>
        <a:xfrm>
          <a:off x="2410777" y="1345133"/>
          <a:ext cx="226695" cy="6288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48577</xdr:colOff>
      <xdr:row>7</xdr:row>
      <xdr:rowOff>62371</xdr:rowOff>
    </xdr:from>
    <xdr:to>
      <xdr:col>5</xdr:col>
      <xdr:colOff>275272</xdr:colOff>
      <xdr:row>7</xdr:row>
      <xdr:rowOff>68401</xdr:rowOff>
    </xdr:to>
    <xdr:sp macro="" textlink="">
      <xdr:nvSpPr>
        <xdr:cNvPr id="677" name="BA_2">
          <a:extLst>
            <a:ext uri="{FF2B5EF4-FFF2-40B4-BE49-F238E27FC236}">
              <a16:creationId xmlns:a16="http://schemas.microsoft.com/office/drawing/2014/main" id="{00000000-0008-0000-0000-0000A5020000}"/>
            </a:ext>
          </a:extLst>
        </xdr:cNvPr>
        <xdr:cNvSpPr/>
      </xdr:nvSpPr>
      <xdr:spPr>
        <a:xfrm>
          <a:off x="2086927" y="1351421"/>
          <a:ext cx="226695" cy="6030"/>
        </a:xfrm>
        <a:prstGeom prst="rect">
          <a:avLst/>
        </a:prstGeom>
        <a:solidFill>
          <a:srgbClr val="BFBF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48577</xdr:colOff>
      <xdr:row>7</xdr:row>
      <xdr:rowOff>68401</xdr:rowOff>
    </xdr:from>
    <xdr:to>
      <xdr:col>4</xdr:col>
      <xdr:colOff>275272</xdr:colOff>
      <xdr:row>12</xdr:row>
      <xdr:rowOff>0</xdr:rowOff>
    </xdr:to>
    <xdr:sp macro="" textlink="">
      <xdr:nvSpPr>
        <xdr:cNvPr id="678" name="BA_1">
          <a:extLst>
            <a:ext uri="{FF2B5EF4-FFF2-40B4-BE49-F238E27FC236}">
              <a16:creationId xmlns:a16="http://schemas.microsoft.com/office/drawing/2014/main" id="{00000000-0008-0000-0000-0000A6020000}"/>
            </a:ext>
          </a:extLst>
        </xdr:cNvPr>
        <xdr:cNvSpPr/>
      </xdr:nvSpPr>
      <xdr:spPr>
        <a:xfrm>
          <a:off x="1763077" y="1357451"/>
          <a:ext cx="226695" cy="852349"/>
        </a:xfrm>
        <a:prstGeom prst="rect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157163</xdr:colOff>
      <xdr:row>42</xdr:row>
      <xdr:rowOff>0</xdr:rowOff>
    </xdr:from>
    <xdr:to>
      <xdr:col>16</xdr:col>
      <xdr:colOff>157163</xdr:colOff>
      <xdr:row>42</xdr:row>
      <xdr:rowOff>0</xdr:rowOff>
    </xdr:to>
    <xdr:cxnSp macro="">
      <xdr:nvCxnSpPr>
        <xdr:cNvPr id="39830" name="Con1_402_450">
          <a:extLst>
            <a:ext uri="{FF2B5EF4-FFF2-40B4-BE49-F238E27FC236}">
              <a16:creationId xmlns:a16="http://schemas.microsoft.com/office/drawing/2014/main" id="{00000000-0008-0000-0000-0000969B0000}"/>
            </a:ext>
          </a:extLst>
        </xdr:cNvPr>
        <xdr:cNvCxnSpPr/>
      </xdr:nvCxnSpPr>
      <xdr:spPr>
        <a:xfrm>
          <a:off x="52625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42</xdr:row>
      <xdr:rowOff>0</xdr:rowOff>
    </xdr:from>
    <xdr:to>
      <xdr:col>9</xdr:col>
      <xdr:colOff>157163</xdr:colOff>
      <xdr:row>42</xdr:row>
      <xdr:rowOff>0</xdr:rowOff>
    </xdr:to>
    <xdr:cxnSp macro="">
      <xdr:nvCxnSpPr>
        <xdr:cNvPr id="39831" name="Con1_228.75_450">
          <a:extLst>
            <a:ext uri="{FF2B5EF4-FFF2-40B4-BE49-F238E27FC236}">
              <a16:creationId xmlns:a16="http://schemas.microsoft.com/office/drawing/2014/main" id="{00000000-0008-0000-0000-0000979B0000}"/>
            </a:ext>
          </a:extLst>
        </xdr:cNvPr>
        <xdr:cNvCxnSpPr/>
      </xdr:nvCxnSpPr>
      <xdr:spPr>
        <a:xfrm>
          <a:off x="30622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157163</xdr:colOff>
      <xdr:row>42</xdr:row>
      <xdr:rowOff>0</xdr:rowOff>
    </xdr:from>
    <xdr:to>
      <xdr:col>25</xdr:col>
      <xdr:colOff>157163</xdr:colOff>
      <xdr:row>42</xdr:row>
      <xdr:rowOff>0</xdr:rowOff>
    </xdr:to>
    <xdr:cxnSp macro="">
      <xdr:nvCxnSpPr>
        <xdr:cNvPr id="39832" name="Con1_624.75_450">
          <a:extLst>
            <a:ext uri="{FF2B5EF4-FFF2-40B4-BE49-F238E27FC236}">
              <a16:creationId xmlns:a16="http://schemas.microsoft.com/office/drawing/2014/main" id="{00000000-0008-0000-0000-0000989B0000}"/>
            </a:ext>
          </a:extLst>
        </xdr:cNvPr>
        <xdr:cNvCxnSpPr/>
      </xdr:nvCxnSpPr>
      <xdr:spPr>
        <a:xfrm>
          <a:off x="80914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42</xdr:row>
      <xdr:rowOff>0</xdr:rowOff>
    </xdr:from>
    <xdr:to>
      <xdr:col>26</xdr:col>
      <xdr:colOff>157163</xdr:colOff>
      <xdr:row>42</xdr:row>
      <xdr:rowOff>0</xdr:rowOff>
    </xdr:to>
    <xdr:cxnSp macro="">
      <xdr:nvCxnSpPr>
        <xdr:cNvPr id="39833" name="Con1_649.5_450">
          <a:extLst>
            <a:ext uri="{FF2B5EF4-FFF2-40B4-BE49-F238E27FC236}">
              <a16:creationId xmlns:a16="http://schemas.microsoft.com/office/drawing/2014/main" id="{00000000-0008-0000-0000-0000999B0000}"/>
            </a:ext>
          </a:extLst>
        </xdr:cNvPr>
        <xdr:cNvCxnSpPr/>
      </xdr:nvCxnSpPr>
      <xdr:spPr>
        <a:xfrm>
          <a:off x="84058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42</xdr:row>
      <xdr:rowOff>0</xdr:rowOff>
    </xdr:from>
    <xdr:to>
      <xdr:col>6</xdr:col>
      <xdr:colOff>157163</xdr:colOff>
      <xdr:row>42</xdr:row>
      <xdr:rowOff>0</xdr:rowOff>
    </xdr:to>
    <xdr:cxnSp macro="">
      <xdr:nvCxnSpPr>
        <xdr:cNvPr id="39834" name="Con1_154.5_450">
          <a:extLst>
            <a:ext uri="{FF2B5EF4-FFF2-40B4-BE49-F238E27FC236}">
              <a16:creationId xmlns:a16="http://schemas.microsoft.com/office/drawing/2014/main" id="{00000000-0008-0000-0000-00009A9B0000}"/>
            </a:ext>
          </a:extLst>
        </xdr:cNvPr>
        <xdr:cNvCxnSpPr/>
      </xdr:nvCxnSpPr>
      <xdr:spPr>
        <a:xfrm>
          <a:off x="21193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42</xdr:row>
      <xdr:rowOff>0</xdr:rowOff>
    </xdr:from>
    <xdr:to>
      <xdr:col>23</xdr:col>
      <xdr:colOff>157163</xdr:colOff>
      <xdr:row>42</xdr:row>
      <xdr:rowOff>0</xdr:rowOff>
    </xdr:to>
    <xdr:cxnSp macro="">
      <xdr:nvCxnSpPr>
        <xdr:cNvPr id="39835" name="Con1_575.25_450">
          <a:extLst>
            <a:ext uri="{FF2B5EF4-FFF2-40B4-BE49-F238E27FC236}">
              <a16:creationId xmlns:a16="http://schemas.microsoft.com/office/drawing/2014/main" id="{00000000-0008-0000-0000-00009B9B0000}"/>
            </a:ext>
          </a:extLst>
        </xdr:cNvPr>
        <xdr:cNvCxnSpPr/>
      </xdr:nvCxnSpPr>
      <xdr:spPr>
        <a:xfrm>
          <a:off x="74628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42</xdr:row>
      <xdr:rowOff>0</xdr:rowOff>
    </xdr:from>
    <xdr:to>
      <xdr:col>11</xdr:col>
      <xdr:colOff>157163</xdr:colOff>
      <xdr:row>42</xdr:row>
      <xdr:rowOff>0</xdr:rowOff>
    </xdr:to>
    <xdr:cxnSp macro="">
      <xdr:nvCxnSpPr>
        <xdr:cNvPr id="39836" name="Con1_278.25_450">
          <a:extLst>
            <a:ext uri="{FF2B5EF4-FFF2-40B4-BE49-F238E27FC236}">
              <a16:creationId xmlns:a16="http://schemas.microsoft.com/office/drawing/2014/main" id="{00000000-0008-0000-0000-00009C9B0000}"/>
            </a:ext>
          </a:extLst>
        </xdr:cNvPr>
        <xdr:cNvCxnSpPr/>
      </xdr:nvCxnSpPr>
      <xdr:spPr>
        <a:xfrm>
          <a:off x="36909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42</xdr:row>
      <xdr:rowOff>0</xdr:rowOff>
    </xdr:from>
    <xdr:to>
      <xdr:col>20</xdr:col>
      <xdr:colOff>157163</xdr:colOff>
      <xdr:row>42</xdr:row>
      <xdr:rowOff>0</xdr:rowOff>
    </xdr:to>
    <xdr:cxnSp macro="">
      <xdr:nvCxnSpPr>
        <xdr:cNvPr id="39837" name="Con1_501_450">
          <a:extLst>
            <a:ext uri="{FF2B5EF4-FFF2-40B4-BE49-F238E27FC236}">
              <a16:creationId xmlns:a16="http://schemas.microsoft.com/office/drawing/2014/main" id="{00000000-0008-0000-0000-00009D9B0000}"/>
            </a:ext>
          </a:extLst>
        </xdr:cNvPr>
        <xdr:cNvCxnSpPr/>
      </xdr:nvCxnSpPr>
      <xdr:spPr>
        <a:xfrm>
          <a:off x="65198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42</xdr:row>
      <xdr:rowOff>0</xdr:rowOff>
    </xdr:from>
    <xdr:to>
      <xdr:col>19</xdr:col>
      <xdr:colOff>157163</xdr:colOff>
      <xdr:row>42</xdr:row>
      <xdr:rowOff>0</xdr:rowOff>
    </xdr:to>
    <xdr:cxnSp macro="">
      <xdr:nvCxnSpPr>
        <xdr:cNvPr id="39839" name="Con1_476.25_450">
          <a:extLst>
            <a:ext uri="{FF2B5EF4-FFF2-40B4-BE49-F238E27FC236}">
              <a16:creationId xmlns:a16="http://schemas.microsoft.com/office/drawing/2014/main" id="{00000000-0008-0000-0000-00009F9B0000}"/>
            </a:ext>
          </a:extLst>
        </xdr:cNvPr>
        <xdr:cNvCxnSpPr/>
      </xdr:nvCxnSpPr>
      <xdr:spPr>
        <a:xfrm>
          <a:off x="62055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42</xdr:row>
      <xdr:rowOff>0</xdr:rowOff>
    </xdr:from>
    <xdr:to>
      <xdr:col>17</xdr:col>
      <xdr:colOff>157163</xdr:colOff>
      <xdr:row>42</xdr:row>
      <xdr:rowOff>0</xdr:rowOff>
    </xdr:to>
    <xdr:cxnSp macro="">
      <xdr:nvCxnSpPr>
        <xdr:cNvPr id="39840" name="Con1_426.75_450">
          <a:extLst>
            <a:ext uri="{FF2B5EF4-FFF2-40B4-BE49-F238E27FC236}">
              <a16:creationId xmlns:a16="http://schemas.microsoft.com/office/drawing/2014/main" id="{00000000-0008-0000-0000-0000A09B0000}"/>
            </a:ext>
          </a:extLst>
        </xdr:cNvPr>
        <xdr:cNvCxnSpPr/>
      </xdr:nvCxnSpPr>
      <xdr:spPr>
        <a:xfrm>
          <a:off x="55768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42</xdr:row>
      <xdr:rowOff>0</xdr:rowOff>
    </xdr:from>
    <xdr:to>
      <xdr:col>7</xdr:col>
      <xdr:colOff>157163</xdr:colOff>
      <xdr:row>42</xdr:row>
      <xdr:rowOff>0</xdr:rowOff>
    </xdr:to>
    <xdr:cxnSp macro="">
      <xdr:nvCxnSpPr>
        <xdr:cNvPr id="39841" name="Con1_179.25_450">
          <a:extLst>
            <a:ext uri="{FF2B5EF4-FFF2-40B4-BE49-F238E27FC236}">
              <a16:creationId xmlns:a16="http://schemas.microsoft.com/office/drawing/2014/main" id="{00000000-0008-0000-0000-0000A19B0000}"/>
            </a:ext>
          </a:extLst>
        </xdr:cNvPr>
        <xdr:cNvCxnSpPr/>
      </xdr:nvCxnSpPr>
      <xdr:spPr>
        <a:xfrm>
          <a:off x="24336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42</xdr:row>
      <xdr:rowOff>0</xdr:rowOff>
    </xdr:from>
    <xdr:to>
      <xdr:col>18</xdr:col>
      <xdr:colOff>157163</xdr:colOff>
      <xdr:row>42</xdr:row>
      <xdr:rowOff>0</xdr:rowOff>
    </xdr:to>
    <xdr:cxnSp macro="">
      <xdr:nvCxnSpPr>
        <xdr:cNvPr id="39842" name="Con1_451.5_450">
          <a:extLst>
            <a:ext uri="{FF2B5EF4-FFF2-40B4-BE49-F238E27FC236}">
              <a16:creationId xmlns:a16="http://schemas.microsoft.com/office/drawing/2014/main" id="{00000000-0008-0000-0000-0000A29B0000}"/>
            </a:ext>
          </a:extLst>
        </xdr:cNvPr>
        <xdr:cNvCxnSpPr/>
      </xdr:nvCxnSpPr>
      <xdr:spPr>
        <a:xfrm>
          <a:off x="58912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42</xdr:row>
      <xdr:rowOff>0</xdr:rowOff>
    </xdr:from>
    <xdr:to>
      <xdr:col>27</xdr:col>
      <xdr:colOff>157163</xdr:colOff>
      <xdr:row>42</xdr:row>
      <xdr:rowOff>0</xdr:rowOff>
    </xdr:to>
    <xdr:cxnSp macro="">
      <xdr:nvCxnSpPr>
        <xdr:cNvPr id="39843" name="Con1_674.25_450">
          <a:extLst>
            <a:ext uri="{FF2B5EF4-FFF2-40B4-BE49-F238E27FC236}">
              <a16:creationId xmlns:a16="http://schemas.microsoft.com/office/drawing/2014/main" id="{00000000-0008-0000-0000-0000A39B0000}"/>
            </a:ext>
          </a:extLst>
        </xdr:cNvPr>
        <xdr:cNvCxnSpPr/>
      </xdr:nvCxnSpPr>
      <xdr:spPr>
        <a:xfrm>
          <a:off x="87201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157163</xdr:colOff>
      <xdr:row>42</xdr:row>
      <xdr:rowOff>0</xdr:rowOff>
    </xdr:from>
    <xdr:to>
      <xdr:col>8</xdr:col>
      <xdr:colOff>157163</xdr:colOff>
      <xdr:row>42</xdr:row>
      <xdr:rowOff>0</xdr:rowOff>
    </xdr:to>
    <xdr:cxnSp macro="">
      <xdr:nvCxnSpPr>
        <xdr:cNvPr id="39844" name="Con1_204_450">
          <a:extLst>
            <a:ext uri="{FF2B5EF4-FFF2-40B4-BE49-F238E27FC236}">
              <a16:creationId xmlns:a16="http://schemas.microsoft.com/office/drawing/2014/main" id="{00000000-0008-0000-0000-0000A49B0000}"/>
            </a:ext>
          </a:extLst>
        </xdr:cNvPr>
        <xdr:cNvCxnSpPr/>
      </xdr:nvCxnSpPr>
      <xdr:spPr>
        <a:xfrm>
          <a:off x="27479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42</xdr:row>
      <xdr:rowOff>0</xdr:rowOff>
    </xdr:from>
    <xdr:to>
      <xdr:col>15</xdr:col>
      <xdr:colOff>157163</xdr:colOff>
      <xdr:row>42</xdr:row>
      <xdr:rowOff>0</xdr:rowOff>
    </xdr:to>
    <xdr:cxnSp macro="">
      <xdr:nvCxnSpPr>
        <xdr:cNvPr id="39845" name="Con1_377.25_450">
          <a:extLst>
            <a:ext uri="{FF2B5EF4-FFF2-40B4-BE49-F238E27FC236}">
              <a16:creationId xmlns:a16="http://schemas.microsoft.com/office/drawing/2014/main" id="{00000000-0008-0000-0000-0000A59B0000}"/>
            </a:ext>
          </a:extLst>
        </xdr:cNvPr>
        <xdr:cNvCxnSpPr/>
      </xdr:nvCxnSpPr>
      <xdr:spPr>
        <a:xfrm>
          <a:off x="49482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42</xdr:row>
      <xdr:rowOff>0</xdr:rowOff>
    </xdr:from>
    <xdr:to>
      <xdr:col>14</xdr:col>
      <xdr:colOff>157163</xdr:colOff>
      <xdr:row>42</xdr:row>
      <xdr:rowOff>0</xdr:rowOff>
    </xdr:to>
    <xdr:cxnSp macro="">
      <xdr:nvCxnSpPr>
        <xdr:cNvPr id="39846" name="Con1_352.5_450">
          <a:extLst>
            <a:ext uri="{FF2B5EF4-FFF2-40B4-BE49-F238E27FC236}">
              <a16:creationId xmlns:a16="http://schemas.microsoft.com/office/drawing/2014/main" id="{00000000-0008-0000-0000-0000A69B0000}"/>
            </a:ext>
          </a:extLst>
        </xdr:cNvPr>
        <xdr:cNvCxnSpPr/>
      </xdr:nvCxnSpPr>
      <xdr:spPr>
        <a:xfrm>
          <a:off x="46339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42</xdr:row>
      <xdr:rowOff>0</xdr:rowOff>
    </xdr:from>
    <xdr:to>
      <xdr:col>5</xdr:col>
      <xdr:colOff>157163</xdr:colOff>
      <xdr:row>42</xdr:row>
      <xdr:rowOff>0</xdr:rowOff>
    </xdr:to>
    <xdr:cxnSp macro="">
      <xdr:nvCxnSpPr>
        <xdr:cNvPr id="39847" name="Con1_129.75_450">
          <a:extLst>
            <a:ext uri="{FF2B5EF4-FFF2-40B4-BE49-F238E27FC236}">
              <a16:creationId xmlns:a16="http://schemas.microsoft.com/office/drawing/2014/main" id="{00000000-0008-0000-0000-0000A79B0000}"/>
            </a:ext>
          </a:extLst>
        </xdr:cNvPr>
        <xdr:cNvCxnSpPr/>
      </xdr:nvCxnSpPr>
      <xdr:spPr>
        <a:xfrm>
          <a:off x="18049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42</xdr:row>
      <xdr:rowOff>0</xdr:rowOff>
    </xdr:from>
    <xdr:to>
      <xdr:col>12</xdr:col>
      <xdr:colOff>157163</xdr:colOff>
      <xdr:row>42</xdr:row>
      <xdr:rowOff>0</xdr:rowOff>
    </xdr:to>
    <xdr:cxnSp macro="">
      <xdr:nvCxnSpPr>
        <xdr:cNvPr id="39848" name="Con1_303_450">
          <a:extLst>
            <a:ext uri="{FF2B5EF4-FFF2-40B4-BE49-F238E27FC236}">
              <a16:creationId xmlns:a16="http://schemas.microsoft.com/office/drawing/2014/main" id="{00000000-0008-0000-0000-0000A89B0000}"/>
            </a:ext>
          </a:extLst>
        </xdr:cNvPr>
        <xdr:cNvCxnSpPr/>
      </xdr:nvCxnSpPr>
      <xdr:spPr>
        <a:xfrm>
          <a:off x="40052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42</xdr:row>
      <xdr:rowOff>0</xdr:rowOff>
    </xdr:from>
    <xdr:to>
      <xdr:col>21</xdr:col>
      <xdr:colOff>157163</xdr:colOff>
      <xdr:row>42</xdr:row>
      <xdr:rowOff>0</xdr:rowOff>
    </xdr:to>
    <xdr:cxnSp macro="">
      <xdr:nvCxnSpPr>
        <xdr:cNvPr id="39849" name="Con1_525.75_450">
          <a:extLst>
            <a:ext uri="{FF2B5EF4-FFF2-40B4-BE49-F238E27FC236}">
              <a16:creationId xmlns:a16="http://schemas.microsoft.com/office/drawing/2014/main" id="{00000000-0008-0000-0000-0000A99B0000}"/>
            </a:ext>
          </a:extLst>
        </xdr:cNvPr>
        <xdr:cNvCxnSpPr/>
      </xdr:nvCxnSpPr>
      <xdr:spPr>
        <a:xfrm>
          <a:off x="68341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42</xdr:row>
      <xdr:rowOff>0</xdr:rowOff>
    </xdr:from>
    <xdr:to>
      <xdr:col>13</xdr:col>
      <xdr:colOff>157163</xdr:colOff>
      <xdr:row>42</xdr:row>
      <xdr:rowOff>0</xdr:rowOff>
    </xdr:to>
    <xdr:cxnSp macro="">
      <xdr:nvCxnSpPr>
        <xdr:cNvPr id="39850" name="Con1_327.75_450">
          <a:extLst>
            <a:ext uri="{FF2B5EF4-FFF2-40B4-BE49-F238E27FC236}">
              <a16:creationId xmlns:a16="http://schemas.microsoft.com/office/drawing/2014/main" id="{00000000-0008-0000-0000-0000AA9B0000}"/>
            </a:ext>
          </a:extLst>
        </xdr:cNvPr>
        <xdr:cNvCxnSpPr/>
      </xdr:nvCxnSpPr>
      <xdr:spPr>
        <a:xfrm>
          <a:off x="43195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157163</xdr:colOff>
      <xdr:row>42</xdr:row>
      <xdr:rowOff>0</xdr:rowOff>
    </xdr:from>
    <xdr:to>
      <xdr:col>10</xdr:col>
      <xdr:colOff>157163</xdr:colOff>
      <xdr:row>42</xdr:row>
      <xdr:rowOff>0</xdr:rowOff>
    </xdr:to>
    <xdr:cxnSp macro="">
      <xdr:nvCxnSpPr>
        <xdr:cNvPr id="39851" name="Con1_253.5_450">
          <a:extLst>
            <a:ext uri="{FF2B5EF4-FFF2-40B4-BE49-F238E27FC236}">
              <a16:creationId xmlns:a16="http://schemas.microsoft.com/office/drawing/2014/main" id="{00000000-0008-0000-0000-0000AB9B0000}"/>
            </a:ext>
          </a:extLst>
        </xdr:cNvPr>
        <xdr:cNvCxnSpPr/>
      </xdr:nvCxnSpPr>
      <xdr:spPr>
        <a:xfrm>
          <a:off x="33766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42</xdr:row>
      <xdr:rowOff>0</xdr:rowOff>
    </xdr:from>
    <xdr:to>
      <xdr:col>24</xdr:col>
      <xdr:colOff>157163</xdr:colOff>
      <xdr:row>42</xdr:row>
      <xdr:rowOff>0</xdr:rowOff>
    </xdr:to>
    <xdr:cxnSp macro="">
      <xdr:nvCxnSpPr>
        <xdr:cNvPr id="39852" name="Con1_600_450">
          <a:extLst>
            <a:ext uri="{FF2B5EF4-FFF2-40B4-BE49-F238E27FC236}">
              <a16:creationId xmlns:a16="http://schemas.microsoft.com/office/drawing/2014/main" id="{00000000-0008-0000-0000-0000AC9B0000}"/>
            </a:ext>
          </a:extLst>
        </xdr:cNvPr>
        <xdr:cNvCxnSpPr/>
      </xdr:nvCxnSpPr>
      <xdr:spPr>
        <a:xfrm>
          <a:off x="77771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42</xdr:row>
      <xdr:rowOff>0</xdr:rowOff>
    </xdr:from>
    <xdr:to>
      <xdr:col>22</xdr:col>
      <xdr:colOff>157163</xdr:colOff>
      <xdr:row>42</xdr:row>
      <xdr:rowOff>0</xdr:rowOff>
    </xdr:to>
    <xdr:cxnSp macro="">
      <xdr:nvCxnSpPr>
        <xdr:cNvPr id="39853" name="Con1_550.5_450">
          <a:extLst>
            <a:ext uri="{FF2B5EF4-FFF2-40B4-BE49-F238E27FC236}">
              <a16:creationId xmlns:a16="http://schemas.microsoft.com/office/drawing/2014/main" id="{00000000-0008-0000-0000-0000AD9B0000}"/>
            </a:ext>
          </a:extLst>
        </xdr:cNvPr>
        <xdr:cNvCxnSpPr/>
      </xdr:nvCxnSpPr>
      <xdr:spPr>
        <a:xfrm>
          <a:off x="71485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42</xdr:row>
      <xdr:rowOff>0</xdr:rowOff>
    </xdr:from>
    <xdr:to>
      <xdr:col>16</xdr:col>
      <xdr:colOff>157163</xdr:colOff>
      <xdr:row>42</xdr:row>
      <xdr:rowOff>0</xdr:rowOff>
    </xdr:to>
    <xdr:cxnSp macro="">
      <xdr:nvCxnSpPr>
        <xdr:cNvPr id="39873" name="Con1_402_450">
          <a:extLst>
            <a:ext uri="{FF2B5EF4-FFF2-40B4-BE49-F238E27FC236}">
              <a16:creationId xmlns:a16="http://schemas.microsoft.com/office/drawing/2014/main" id="{00000000-0008-0000-0000-0000C19B0000}"/>
            </a:ext>
          </a:extLst>
        </xdr:cNvPr>
        <xdr:cNvCxnSpPr/>
      </xdr:nvCxnSpPr>
      <xdr:spPr>
        <a:xfrm>
          <a:off x="52625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42</xdr:row>
      <xdr:rowOff>0</xdr:rowOff>
    </xdr:from>
    <xdr:to>
      <xdr:col>9</xdr:col>
      <xdr:colOff>157163</xdr:colOff>
      <xdr:row>42</xdr:row>
      <xdr:rowOff>0</xdr:rowOff>
    </xdr:to>
    <xdr:cxnSp macro="">
      <xdr:nvCxnSpPr>
        <xdr:cNvPr id="39876" name="Con1_228.75_450">
          <a:extLst>
            <a:ext uri="{FF2B5EF4-FFF2-40B4-BE49-F238E27FC236}">
              <a16:creationId xmlns:a16="http://schemas.microsoft.com/office/drawing/2014/main" id="{00000000-0008-0000-0000-0000C49B0000}"/>
            </a:ext>
          </a:extLst>
        </xdr:cNvPr>
        <xdr:cNvCxnSpPr/>
      </xdr:nvCxnSpPr>
      <xdr:spPr>
        <a:xfrm>
          <a:off x="30622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157163</xdr:colOff>
      <xdr:row>42</xdr:row>
      <xdr:rowOff>0</xdr:rowOff>
    </xdr:from>
    <xdr:to>
      <xdr:col>25</xdr:col>
      <xdr:colOff>157163</xdr:colOff>
      <xdr:row>42</xdr:row>
      <xdr:rowOff>0</xdr:rowOff>
    </xdr:to>
    <xdr:cxnSp macro="">
      <xdr:nvCxnSpPr>
        <xdr:cNvPr id="39877" name="Con1_624.75_450">
          <a:extLst>
            <a:ext uri="{FF2B5EF4-FFF2-40B4-BE49-F238E27FC236}">
              <a16:creationId xmlns:a16="http://schemas.microsoft.com/office/drawing/2014/main" id="{00000000-0008-0000-0000-0000C59B0000}"/>
            </a:ext>
          </a:extLst>
        </xdr:cNvPr>
        <xdr:cNvCxnSpPr/>
      </xdr:nvCxnSpPr>
      <xdr:spPr>
        <a:xfrm>
          <a:off x="80914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42</xdr:row>
      <xdr:rowOff>0</xdr:rowOff>
    </xdr:from>
    <xdr:to>
      <xdr:col>26</xdr:col>
      <xdr:colOff>157163</xdr:colOff>
      <xdr:row>42</xdr:row>
      <xdr:rowOff>0</xdr:rowOff>
    </xdr:to>
    <xdr:cxnSp macro="">
      <xdr:nvCxnSpPr>
        <xdr:cNvPr id="39878" name="Con1_649.5_450">
          <a:extLst>
            <a:ext uri="{FF2B5EF4-FFF2-40B4-BE49-F238E27FC236}">
              <a16:creationId xmlns:a16="http://schemas.microsoft.com/office/drawing/2014/main" id="{00000000-0008-0000-0000-0000C69B0000}"/>
            </a:ext>
          </a:extLst>
        </xdr:cNvPr>
        <xdr:cNvCxnSpPr/>
      </xdr:nvCxnSpPr>
      <xdr:spPr>
        <a:xfrm>
          <a:off x="84058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42</xdr:row>
      <xdr:rowOff>0</xdr:rowOff>
    </xdr:from>
    <xdr:to>
      <xdr:col>6</xdr:col>
      <xdr:colOff>157163</xdr:colOff>
      <xdr:row>42</xdr:row>
      <xdr:rowOff>0</xdr:rowOff>
    </xdr:to>
    <xdr:cxnSp macro="">
      <xdr:nvCxnSpPr>
        <xdr:cNvPr id="39881" name="Con1_154.5_450">
          <a:extLst>
            <a:ext uri="{FF2B5EF4-FFF2-40B4-BE49-F238E27FC236}">
              <a16:creationId xmlns:a16="http://schemas.microsoft.com/office/drawing/2014/main" id="{00000000-0008-0000-0000-0000C99B0000}"/>
            </a:ext>
          </a:extLst>
        </xdr:cNvPr>
        <xdr:cNvCxnSpPr/>
      </xdr:nvCxnSpPr>
      <xdr:spPr>
        <a:xfrm>
          <a:off x="21193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42</xdr:row>
      <xdr:rowOff>0</xdr:rowOff>
    </xdr:from>
    <xdr:to>
      <xdr:col>23</xdr:col>
      <xdr:colOff>157163</xdr:colOff>
      <xdr:row>42</xdr:row>
      <xdr:rowOff>0</xdr:rowOff>
    </xdr:to>
    <xdr:cxnSp macro="">
      <xdr:nvCxnSpPr>
        <xdr:cNvPr id="39882" name="Con1_575.25_450">
          <a:extLst>
            <a:ext uri="{FF2B5EF4-FFF2-40B4-BE49-F238E27FC236}">
              <a16:creationId xmlns:a16="http://schemas.microsoft.com/office/drawing/2014/main" id="{00000000-0008-0000-0000-0000CA9B0000}"/>
            </a:ext>
          </a:extLst>
        </xdr:cNvPr>
        <xdr:cNvCxnSpPr/>
      </xdr:nvCxnSpPr>
      <xdr:spPr>
        <a:xfrm>
          <a:off x="74628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42</xdr:row>
      <xdr:rowOff>0</xdr:rowOff>
    </xdr:from>
    <xdr:to>
      <xdr:col>11</xdr:col>
      <xdr:colOff>157163</xdr:colOff>
      <xdr:row>42</xdr:row>
      <xdr:rowOff>0</xdr:rowOff>
    </xdr:to>
    <xdr:cxnSp macro="">
      <xdr:nvCxnSpPr>
        <xdr:cNvPr id="39883" name="Con1_278.25_450">
          <a:extLst>
            <a:ext uri="{FF2B5EF4-FFF2-40B4-BE49-F238E27FC236}">
              <a16:creationId xmlns:a16="http://schemas.microsoft.com/office/drawing/2014/main" id="{00000000-0008-0000-0000-0000CB9B0000}"/>
            </a:ext>
          </a:extLst>
        </xdr:cNvPr>
        <xdr:cNvCxnSpPr/>
      </xdr:nvCxnSpPr>
      <xdr:spPr>
        <a:xfrm>
          <a:off x="36909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42</xdr:row>
      <xdr:rowOff>0</xdr:rowOff>
    </xdr:from>
    <xdr:to>
      <xdr:col>20</xdr:col>
      <xdr:colOff>157163</xdr:colOff>
      <xdr:row>42</xdr:row>
      <xdr:rowOff>0</xdr:rowOff>
    </xdr:to>
    <xdr:cxnSp macro="">
      <xdr:nvCxnSpPr>
        <xdr:cNvPr id="39884" name="Con1_501_450">
          <a:extLst>
            <a:ext uri="{FF2B5EF4-FFF2-40B4-BE49-F238E27FC236}">
              <a16:creationId xmlns:a16="http://schemas.microsoft.com/office/drawing/2014/main" id="{00000000-0008-0000-0000-0000CC9B0000}"/>
            </a:ext>
          </a:extLst>
        </xdr:cNvPr>
        <xdr:cNvCxnSpPr/>
      </xdr:nvCxnSpPr>
      <xdr:spPr>
        <a:xfrm>
          <a:off x="65198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42</xdr:row>
      <xdr:rowOff>0</xdr:rowOff>
    </xdr:from>
    <xdr:to>
      <xdr:col>19</xdr:col>
      <xdr:colOff>157163</xdr:colOff>
      <xdr:row>42</xdr:row>
      <xdr:rowOff>0</xdr:rowOff>
    </xdr:to>
    <xdr:cxnSp macro="">
      <xdr:nvCxnSpPr>
        <xdr:cNvPr id="39885" name="Con1_476.25_450">
          <a:extLst>
            <a:ext uri="{FF2B5EF4-FFF2-40B4-BE49-F238E27FC236}">
              <a16:creationId xmlns:a16="http://schemas.microsoft.com/office/drawing/2014/main" id="{00000000-0008-0000-0000-0000CD9B0000}"/>
            </a:ext>
          </a:extLst>
        </xdr:cNvPr>
        <xdr:cNvCxnSpPr/>
      </xdr:nvCxnSpPr>
      <xdr:spPr>
        <a:xfrm>
          <a:off x="62055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42</xdr:row>
      <xdr:rowOff>0</xdr:rowOff>
    </xdr:from>
    <xdr:to>
      <xdr:col>17</xdr:col>
      <xdr:colOff>157163</xdr:colOff>
      <xdr:row>42</xdr:row>
      <xdr:rowOff>0</xdr:rowOff>
    </xdr:to>
    <xdr:cxnSp macro="">
      <xdr:nvCxnSpPr>
        <xdr:cNvPr id="39886" name="Con1_426.75_450">
          <a:extLst>
            <a:ext uri="{FF2B5EF4-FFF2-40B4-BE49-F238E27FC236}">
              <a16:creationId xmlns:a16="http://schemas.microsoft.com/office/drawing/2014/main" id="{00000000-0008-0000-0000-0000CE9B0000}"/>
            </a:ext>
          </a:extLst>
        </xdr:cNvPr>
        <xdr:cNvCxnSpPr/>
      </xdr:nvCxnSpPr>
      <xdr:spPr>
        <a:xfrm>
          <a:off x="55768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42</xdr:row>
      <xdr:rowOff>0</xdr:rowOff>
    </xdr:from>
    <xdr:to>
      <xdr:col>7</xdr:col>
      <xdr:colOff>157163</xdr:colOff>
      <xdr:row>42</xdr:row>
      <xdr:rowOff>0</xdr:rowOff>
    </xdr:to>
    <xdr:cxnSp macro="">
      <xdr:nvCxnSpPr>
        <xdr:cNvPr id="39887" name="Con1_179.25_450">
          <a:extLst>
            <a:ext uri="{FF2B5EF4-FFF2-40B4-BE49-F238E27FC236}">
              <a16:creationId xmlns:a16="http://schemas.microsoft.com/office/drawing/2014/main" id="{00000000-0008-0000-0000-0000CF9B0000}"/>
            </a:ext>
          </a:extLst>
        </xdr:cNvPr>
        <xdr:cNvCxnSpPr/>
      </xdr:nvCxnSpPr>
      <xdr:spPr>
        <a:xfrm>
          <a:off x="24336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42</xdr:row>
      <xdr:rowOff>0</xdr:rowOff>
    </xdr:from>
    <xdr:to>
      <xdr:col>18</xdr:col>
      <xdr:colOff>157163</xdr:colOff>
      <xdr:row>42</xdr:row>
      <xdr:rowOff>0</xdr:rowOff>
    </xdr:to>
    <xdr:cxnSp macro="">
      <xdr:nvCxnSpPr>
        <xdr:cNvPr id="39888" name="Con1_451.5_450">
          <a:extLst>
            <a:ext uri="{FF2B5EF4-FFF2-40B4-BE49-F238E27FC236}">
              <a16:creationId xmlns:a16="http://schemas.microsoft.com/office/drawing/2014/main" id="{00000000-0008-0000-0000-0000D09B0000}"/>
            </a:ext>
          </a:extLst>
        </xdr:cNvPr>
        <xdr:cNvCxnSpPr/>
      </xdr:nvCxnSpPr>
      <xdr:spPr>
        <a:xfrm>
          <a:off x="58912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42</xdr:row>
      <xdr:rowOff>0</xdr:rowOff>
    </xdr:from>
    <xdr:to>
      <xdr:col>27</xdr:col>
      <xdr:colOff>157163</xdr:colOff>
      <xdr:row>42</xdr:row>
      <xdr:rowOff>0</xdr:rowOff>
    </xdr:to>
    <xdr:cxnSp macro="">
      <xdr:nvCxnSpPr>
        <xdr:cNvPr id="39889" name="Con1_674.25_450">
          <a:extLst>
            <a:ext uri="{FF2B5EF4-FFF2-40B4-BE49-F238E27FC236}">
              <a16:creationId xmlns:a16="http://schemas.microsoft.com/office/drawing/2014/main" id="{00000000-0008-0000-0000-0000D19B0000}"/>
            </a:ext>
          </a:extLst>
        </xdr:cNvPr>
        <xdr:cNvCxnSpPr/>
      </xdr:nvCxnSpPr>
      <xdr:spPr>
        <a:xfrm>
          <a:off x="87201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157163</xdr:colOff>
      <xdr:row>42</xdr:row>
      <xdr:rowOff>0</xdr:rowOff>
    </xdr:from>
    <xdr:to>
      <xdr:col>8</xdr:col>
      <xdr:colOff>157163</xdr:colOff>
      <xdr:row>42</xdr:row>
      <xdr:rowOff>0</xdr:rowOff>
    </xdr:to>
    <xdr:cxnSp macro="">
      <xdr:nvCxnSpPr>
        <xdr:cNvPr id="39890" name="Con1_204_450">
          <a:extLst>
            <a:ext uri="{FF2B5EF4-FFF2-40B4-BE49-F238E27FC236}">
              <a16:creationId xmlns:a16="http://schemas.microsoft.com/office/drawing/2014/main" id="{00000000-0008-0000-0000-0000D29B0000}"/>
            </a:ext>
          </a:extLst>
        </xdr:cNvPr>
        <xdr:cNvCxnSpPr/>
      </xdr:nvCxnSpPr>
      <xdr:spPr>
        <a:xfrm>
          <a:off x="27479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42</xdr:row>
      <xdr:rowOff>0</xdr:rowOff>
    </xdr:from>
    <xdr:to>
      <xdr:col>15</xdr:col>
      <xdr:colOff>157163</xdr:colOff>
      <xdr:row>42</xdr:row>
      <xdr:rowOff>0</xdr:rowOff>
    </xdr:to>
    <xdr:cxnSp macro="">
      <xdr:nvCxnSpPr>
        <xdr:cNvPr id="39891" name="Con1_377.25_450">
          <a:extLst>
            <a:ext uri="{FF2B5EF4-FFF2-40B4-BE49-F238E27FC236}">
              <a16:creationId xmlns:a16="http://schemas.microsoft.com/office/drawing/2014/main" id="{00000000-0008-0000-0000-0000D39B0000}"/>
            </a:ext>
          </a:extLst>
        </xdr:cNvPr>
        <xdr:cNvCxnSpPr/>
      </xdr:nvCxnSpPr>
      <xdr:spPr>
        <a:xfrm>
          <a:off x="494823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42</xdr:row>
      <xdr:rowOff>0</xdr:rowOff>
    </xdr:from>
    <xdr:to>
      <xdr:col>14</xdr:col>
      <xdr:colOff>157163</xdr:colOff>
      <xdr:row>42</xdr:row>
      <xdr:rowOff>0</xdr:rowOff>
    </xdr:to>
    <xdr:cxnSp macro="">
      <xdr:nvCxnSpPr>
        <xdr:cNvPr id="39892" name="Con1_352.5_450">
          <a:extLst>
            <a:ext uri="{FF2B5EF4-FFF2-40B4-BE49-F238E27FC236}">
              <a16:creationId xmlns:a16="http://schemas.microsoft.com/office/drawing/2014/main" id="{00000000-0008-0000-0000-0000D49B0000}"/>
            </a:ext>
          </a:extLst>
        </xdr:cNvPr>
        <xdr:cNvCxnSpPr/>
      </xdr:nvCxnSpPr>
      <xdr:spPr>
        <a:xfrm>
          <a:off x="46339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42</xdr:row>
      <xdr:rowOff>0</xdr:rowOff>
    </xdr:from>
    <xdr:to>
      <xdr:col>5</xdr:col>
      <xdr:colOff>157163</xdr:colOff>
      <xdr:row>42</xdr:row>
      <xdr:rowOff>0</xdr:rowOff>
    </xdr:to>
    <xdr:cxnSp macro="">
      <xdr:nvCxnSpPr>
        <xdr:cNvPr id="39893" name="Con1_129.75_450">
          <a:extLst>
            <a:ext uri="{FF2B5EF4-FFF2-40B4-BE49-F238E27FC236}">
              <a16:creationId xmlns:a16="http://schemas.microsoft.com/office/drawing/2014/main" id="{00000000-0008-0000-0000-0000D59B0000}"/>
            </a:ext>
          </a:extLst>
        </xdr:cNvPr>
        <xdr:cNvCxnSpPr/>
      </xdr:nvCxnSpPr>
      <xdr:spPr>
        <a:xfrm>
          <a:off x="18049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42</xdr:row>
      <xdr:rowOff>0</xdr:rowOff>
    </xdr:from>
    <xdr:to>
      <xdr:col>12</xdr:col>
      <xdr:colOff>157163</xdr:colOff>
      <xdr:row>42</xdr:row>
      <xdr:rowOff>0</xdr:rowOff>
    </xdr:to>
    <xdr:cxnSp macro="">
      <xdr:nvCxnSpPr>
        <xdr:cNvPr id="39894" name="Con1_303_450">
          <a:extLst>
            <a:ext uri="{FF2B5EF4-FFF2-40B4-BE49-F238E27FC236}">
              <a16:creationId xmlns:a16="http://schemas.microsoft.com/office/drawing/2014/main" id="{00000000-0008-0000-0000-0000D69B0000}"/>
            </a:ext>
          </a:extLst>
        </xdr:cNvPr>
        <xdr:cNvCxnSpPr/>
      </xdr:nvCxnSpPr>
      <xdr:spPr>
        <a:xfrm>
          <a:off x="40052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42</xdr:row>
      <xdr:rowOff>0</xdr:rowOff>
    </xdr:from>
    <xdr:to>
      <xdr:col>21</xdr:col>
      <xdr:colOff>157163</xdr:colOff>
      <xdr:row>42</xdr:row>
      <xdr:rowOff>0</xdr:rowOff>
    </xdr:to>
    <xdr:cxnSp macro="">
      <xdr:nvCxnSpPr>
        <xdr:cNvPr id="39895" name="Con1_525.75_450">
          <a:extLst>
            <a:ext uri="{FF2B5EF4-FFF2-40B4-BE49-F238E27FC236}">
              <a16:creationId xmlns:a16="http://schemas.microsoft.com/office/drawing/2014/main" id="{00000000-0008-0000-0000-0000D79B0000}"/>
            </a:ext>
          </a:extLst>
        </xdr:cNvPr>
        <xdr:cNvCxnSpPr/>
      </xdr:nvCxnSpPr>
      <xdr:spPr>
        <a:xfrm>
          <a:off x="68341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42</xdr:row>
      <xdr:rowOff>0</xdr:rowOff>
    </xdr:from>
    <xdr:to>
      <xdr:col>13</xdr:col>
      <xdr:colOff>157163</xdr:colOff>
      <xdr:row>42</xdr:row>
      <xdr:rowOff>0</xdr:rowOff>
    </xdr:to>
    <xdr:cxnSp macro="">
      <xdr:nvCxnSpPr>
        <xdr:cNvPr id="39896" name="Con1_327.75_450">
          <a:extLst>
            <a:ext uri="{FF2B5EF4-FFF2-40B4-BE49-F238E27FC236}">
              <a16:creationId xmlns:a16="http://schemas.microsoft.com/office/drawing/2014/main" id="{00000000-0008-0000-0000-0000D89B0000}"/>
            </a:ext>
          </a:extLst>
        </xdr:cNvPr>
        <xdr:cNvCxnSpPr/>
      </xdr:nvCxnSpPr>
      <xdr:spPr>
        <a:xfrm>
          <a:off x="4319588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157163</xdr:colOff>
      <xdr:row>42</xdr:row>
      <xdr:rowOff>0</xdr:rowOff>
    </xdr:from>
    <xdr:to>
      <xdr:col>10</xdr:col>
      <xdr:colOff>157163</xdr:colOff>
      <xdr:row>42</xdr:row>
      <xdr:rowOff>0</xdr:rowOff>
    </xdr:to>
    <xdr:cxnSp macro="">
      <xdr:nvCxnSpPr>
        <xdr:cNvPr id="39897" name="Con1_253.5_450">
          <a:extLst>
            <a:ext uri="{FF2B5EF4-FFF2-40B4-BE49-F238E27FC236}">
              <a16:creationId xmlns:a16="http://schemas.microsoft.com/office/drawing/2014/main" id="{00000000-0008-0000-0000-0000D99B0000}"/>
            </a:ext>
          </a:extLst>
        </xdr:cNvPr>
        <xdr:cNvCxnSpPr/>
      </xdr:nvCxnSpPr>
      <xdr:spPr>
        <a:xfrm>
          <a:off x="33766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42</xdr:row>
      <xdr:rowOff>0</xdr:rowOff>
    </xdr:from>
    <xdr:to>
      <xdr:col>24</xdr:col>
      <xdr:colOff>157163</xdr:colOff>
      <xdr:row>42</xdr:row>
      <xdr:rowOff>0</xdr:rowOff>
    </xdr:to>
    <xdr:cxnSp macro="">
      <xdr:nvCxnSpPr>
        <xdr:cNvPr id="39898" name="Con1_600_450">
          <a:extLst>
            <a:ext uri="{FF2B5EF4-FFF2-40B4-BE49-F238E27FC236}">
              <a16:creationId xmlns:a16="http://schemas.microsoft.com/office/drawing/2014/main" id="{00000000-0008-0000-0000-0000DA9B0000}"/>
            </a:ext>
          </a:extLst>
        </xdr:cNvPr>
        <xdr:cNvCxnSpPr/>
      </xdr:nvCxnSpPr>
      <xdr:spPr>
        <a:xfrm>
          <a:off x="777716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42</xdr:row>
      <xdr:rowOff>0</xdr:rowOff>
    </xdr:from>
    <xdr:to>
      <xdr:col>22</xdr:col>
      <xdr:colOff>157163</xdr:colOff>
      <xdr:row>42</xdr:row>
      <xdr:rowOff>0</xdr:rowOff>
    </xdr:to>
    <xdr:cxnSp macro="">
      <xdr:nvCxnSpPr>
        <xdr:cNvPr id="39899" name="Con1_550.5_450">
          <a:extLst>
            <a:ext uri="{FF2B5EF4-FFF2-40B4-BE49-F238E27FC236}">
              <a16:creationId xmlns:a16="http://schemas.microsoft.com/office/drawing/2014/main" id="{00000000-0008-0000-0000-0000DB9B0000}"/>
            </a:ext>
          </a:extLst>
        </xdr:cNvPr>
        <xdr:cNvCxnSpPr/>
      </xdr:nvCxnSpPr>
      <xdr:spPr>
        <a:xfrm>
          <a:off x="7148513" y="7239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157163</xdr:colOff>
      <xdr:row>42</xdr:row>
      <xdr:rowOff>0</xdr:rowOff>
    </xdr:from>
    <xdr:to>
      <xdr:col>16</xdr:col>
      <xdr:colOff>157163</xdr:colOff>
      <xdr:row>42</xdr:row>
      <xdr:rowOff>0</xdr:rowOff>
    </xdr:to>
    <xdr:cxnSp macro="">
      <xdr:nvCxnSpPr>
        <xdr:cNvPr id="51946" name="Con1_402_420">
          <a:extLst>
            <a:ext uri="{FF2B5EF4-FFF2-40B4-BE49-F238E27FC236}">
              <a16:creationId xmlns:a16="http://schemas.microsoft.com/office/drawing/2014/main" id="{00000000-0008-0000-0000-0000EACA0000}"/>
            </a:ext>
          </a:extLst>
        </xdr:cNvPr>
        <xdr:cNvCxnSpPr/>
      </xdr:nvCxnSpPr>
      <xdr:spPr>
        <a:xfrm>
          <a:off x="526256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42</xdr:row>
      <xdr:rowOff>0</xdr:rowOff>
    </xdr:from>
    <xdr:to>
      <xdr:col>9</xdr:col>
      <xdr:colOff>157163</xdr:colOff>
      <xdr:row>42</xdr:row>
      <xdr:rowOff>0</xdr:rowOff>
    </xdr:to>
    <xdr:cxnSp macro="">
      <xdr:nvCxnSpPr>
        <xdr:cNvPr id="51947" name="Con1_228.75_420">
          <a:extLst>
            <a:ext uri="{FF2B5EF4-FFF2-40B4-BE49-F238E27FC236}">
              <a16:creationId xmlns:a16="http://schemas.microsoft.com/office/drawing/2014/main" id="{00000000-0008-0000-0000-0000EBCA0000}"/>
            </a:ext>
          </a:extLst>
        </xdr:cNvPr>
        <xdr:cNvCxnSpPr/>
      </xdr:nvCxnSpPr>
      <xdr:spPr>
        <a:xfrm>
          <a:off x="306228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157163</xdr:colOff>
      <xdr:row>42</xdr:row>
      <xdr:rowOff>0</xdr:rowOff>
    </xdr:from>
    <xdr:to>
      <xdr:col>25</xdr:col>
      <xdr:colOff>157163</xdr:colOff>
      <xdr:row>42</xdr:row>
      <xdr:rowOff>0</xdr:rowOff>
    </xdr:to>
    <xdr:cxnSp macro="">
      <xdr:nvCxnSpPr>
        <xdr:cNvPr id="51948" name="Con1_624.75_420">
          <a:extLst>
            <a:ext uri="{FF2B5EF4-FFF2-40B4-BE49-F238E27FC236}">
              <a16:creationId xmlns:a16="http://schemas.microsoft.com/office/drawing/2014/main" id="{00000000-0008-0000-0000-0000ECCA0000}"/>
            </a:ext>
          </a:extLst>
        </xdr:cNvPr>
        <xdr:cNvCxnSpPr/>
      </xdr:nvCxnSpPr>
      <xdr:spPr>
        <a:xfrm>
          <a:off x="809148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42</xdr:row>
      <xdr:rowOff>0</xdr:rowOff>
    </xdr:from>
    <xdr:to>
      <xdr:col>26</xdr:col>
      <xdr:colOff>157163</xdr:colOff>
      <xdr:row>42</xdr:row>
      <xdr:rowOff>0</xdr:rowOff>
    </xdr:to>
    <xdr:cxnSp macro="">
      <xdr:nvCxnSpPr>
        <xdr:cNvPr id="51949" name="Con1_649.5_420">
          <a:extLst>
            <a:ext uri="{FF2B5EF4-FFF2-40B4-BE49-F238E27FC236}">
              <a16:creationId xmlns:a16="http://schemas.microsoft.com/office/drawing/2014/main" id="{00000000-0008-0000-0000-0000EDCA0000}"/>
            </a:ext>
          </a:extLst>
        </xdr:cNvPr>
        <xdr:cNvCxnSpPr/>
      </xdr:nvCxnSpPr>
      <xdr:spPr>
        <a:xfrm>
          <a:off x="840581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42</xdr:row>
      <xdr:rowOff>0</xdr:rowOff>
    </xdr:from>
    <xdr:to>
      <xdr:col>6</xdr:col>
      <xdr:colOff>157163</xdr:colOff>
      <xdr:row>42</xdr:row>
      <xdr:rowOff>0</xdr:rowOff>
    </xdr:to>
    <xdr:cxnSp macro="">
      <xdr:nvCxnSpPr>
        <xdr:cNvPr id="51950" name="Con1_154.5_420">
          <a:extLst>
            <a:ext uri="{FF2B5EF4-FFF2-40B4-BE49-F238E27FC236}">
              <a16:creationId xmlns:a16="http://schemas.microsoft.com/office/drawing/2014/main" id="{00000000-0008-0000-0000-0000EECA0000}"/>
            </a:ext>
          </a:extLst>
        </xdr:cNvPr>
        <xdr:cNvCxnSpPr/>
      </xdr:nvCxnSpPr>
      <xdr:spPr>
        <a:xfrm>
          <a:off x="211931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42</xdr:row>
      <xdr:rowOff>0</xdr:rowOff>
    </xdr:from>
    <xdr:to>
      <xdr:col>23</xdr:col>
      <xdr:colOff>157163</xdr:colOff>
      <xdr:row>42</xdr:row>
      <xdr:rowOff>0</xdr:rowOff>
    </xdr:to>
    <xdr:cxnSp macro="">
      <xdr:nvCxnSpPr>
        <xdr:cNvPr id="51951" name="Con1_575.25_420">
          <a:extLst>
            <a:ext uri="{FF2B5EF4-FFF2-40B4-BE49-F238E27FC236}">
              <a16:creationId xmlns:a16="http://schemas.microsoft.com/office/drawing/2014/main" id="{00000000-0008-0000-0000-0000EFCA0000}"/>
            </a:ext>
          </a:extLst>
        </xdr:cNvPr>
        <xdr:cNvCxnSpPr/>
      </xdr:nvCxnSpPr>
      <xdr:spPr>
        <a:xfrm>
          <a:off x="746283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42</xdr:row>
      <xdr:rowOff>0</xdr:rowOff>
    </xdr:from>
    <xdr:to>
      <xdr:col>11</xdr:col>
      <xdr:colOff>157163</xdr:colOff>
      <xdr:row>42</xdr:row>
      <xdr:rowOff>0</xdr:rowOff>
    </xdr:to>
    <xdr:cxnSp macro="">
      <xdr:nvCxnSpPr>
        <xdr:cNvPr id="51952" name="Con1_278.25_420">
          <a:extLst>
            <a:ext uri="{FF2B5EF4-FFF2-40B4-BE49-F238E27FC236}">
              <a16:creationId xmlns:a16="http://schemas.microsoft.com/office/drawing/2014/main" id="{00000000-0008-0000-0000-0000F0CA0000}"/>
            </a:ext>
          </a:extLst>
        </xdr:cNvPr>
        <xdr:cNvCxnSpPr/>
      </xdr:nvCxnSpPr>
      <xdr:spPr>
        <a:xfrm>
          <a:off x="369093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157163</xdr:colOff>
      <xdr:row>42</xdr:row>
      <xdr:rowOff>0</xdr:rowOff>
    </xdr:from>
    <xdr:to>
      <xdr:col>20</xdr:col>
      <xdr:colOff>157163</xdr:colOff>
      <xdr:row>42</xdr:row>
      <xdr:rowOff>0</xdr:rowOff>
    </xdr:to>
    <xdr:cxnSp macro="">
      <xdr:nvCxnSpPr>
        <xdr:cNvPr id="51953" name="Con1_501_420">
          <a:extLst>
            <a:ext uri="{FF2B5EF4-FFF2-40B4-BE49-F238E27FC236}">
              <a16:creationId xmlns:a16="http://schemas.microsoft.com/office/drawing/2014/main" id="{00000000-0008-0000-0000-0000F1CA0000}"/>
            </a:ext>
          </a:extLst>
        </xdr:cNvPr>
        <xdr:cNvCxnSpPr/>
      </xdr:nvCxnSpPr>
      <xdr:spPr>
        <a:xfrm>
          <a:off x="651986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42</xdr:row>
      <xdr:rowOff>0</xdr:rowOff>
    </xdr:from>
    <xdr:to>
      <xdr:col>19</xdr:col>
      <xdr:colOff>157163</xdr:colOff>
      <xdr:row>42</xdr:row>
      <xdr:rowOff>0</xdr:rowOff>
    </xdr:to>
    <xdr:cxnSp macro="">
      <xdr:nvCxnSpPr>
        <xdr:cNvPr id="51954" name="Con1_476.25_420">
          <a:extLst>
            <a:ext uri="{FF2B5EF4-FFF2-40B4-BE49-F238E27FC236}">
              <a16:creationId xmlns:a16="http://schemas.microsoft.com/office/drawing/2014/main" id="{00000000-0008-0000-0000-0000F2CA0000}"/>
            </a:ext>
          </a:extLst>
        </xdr:cNvPr>
        <xdr:cNvCxnSpPr/>
      </xdr:nvCxnSpPr>
      <xdr:spPr>
        <a:xfrm>
          <a:off x="620553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42</xdr:row>
      <xdr:rowOff>0</xdr:rowOff>
    </xdr:from>
    <xdr:to>
      <xdr:col>17</xdr:col>
      <xdr:colOff>157163</xdr:colOff>
      <xdr:row>42</xdr:row>
      <xdr:rowOff>0</xdr:rowOff>
    </xdr:to>
    <xdr:cxnSp macro="">
      <xdr:nvCxnSpPr>
        <xdr:cNvPr id="51955" name="Con1_426.75_420">
          <a:extLst>
            <a:ext uri="{FF2B5EF4-FFF2-40B4-BE49-F238E27FC236}">
              <a16:creationId xmlns:a16="http://schemas.microsoft.com/office/drawing/2014/main" id="{00000000-0008-0000-0000-0000F3CA0000}"/>
            </a:ext>
          </a:extLst>
        </xdr:cNvPr>
        <xdr:cNvCxnSpPr/>
      </xdr:nvCxnSpPr>
      <xdr:spPr>
        <a:xfrm>
          <a:off x="557688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42</xdr:row>
      <xdr:rowOff>0</xdr:rowOff>
    </xdr:from>
    <xdr:to>
      <xdr:col>7</xdr:col>
      <xdr:colOff>157163</xdr:colOff>
      <xdr:row>42</xdr:row>
      <xdr:rowOff>0</xdr:rowOff>
    </xdr:to>
    <xdr:cxnSp macro="">
      <xdr:nvCxnSpPr>
        <xdr:cNvPr id="51956" name="Con1_179.25_420">
          <a:extLst>
            <a:ext uri="{FF2B5EF4-FFF2-40B4-BE49-F238E27FC236}">
              <a16:creationId xmlns:a16="http://schemas.microsoft.com/office/drawing/2014/main" id="{00000000-0008-0000-0000-0000F4CA0000}"/>
            </a:ext>
          </a:extLst>
        </xdr:cNvPr>
        <xdr:cNvCxnSpPr/>
      </xdr:nvCxnSpPr>
      <xdr:spPr>
        <a:xfrm>
          <a:off x="243363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42</xdr:row>
      <xdr:rowOff>0</xdr:rowOff>
    </xdr:from>
    <xdr:to>
      <xdr:col>18</xdr:col>
      <xdr:colOff>157163</xdr:colOff>
      <xdr:row>42</xdr:row>
      <xdr:rowOff>0</xdr:rowOff>
    </xdr:to>
    <xdr:cxnSp macro="">
      <xdr:nvCxnSpPr>
        <xdr:cNvPr id="51957" name="Con1_451.5_420">
          <a:extLst>
            <a:ext uri="{FF2B5EF4-FFF2-40B4-BE49-F238E27FC236}">
              <a16:creationId xmlns:a16="http://schemas.microsoft.com/office/drawing/2014/main" id="{00000000-0008-0000-0000-0000F5CA0000}"/>
            </a:ext>
          </a:extLst>
        </xdr:cNvPr>
        <xdr:cNvCxnSpPr/>
      </xdr:nvCxnSpPr>
      <xdr:spPr>
        <a:xfrm>
          <a:off x="589121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42</xdr:row>
      <xdr:rowOff>0</xdr:rowOff>
    </xdr:from>
    <xdr:to>
      <xdr:col>27</xdr:col>
      <xdr:colOff>157163</xdr:colOff>
      <xdr:row>42</xdr:row>
      <xdr:rowOff>0</xdr:rowOff>
    </xdr:to>
    <xdr:cxnSp macro="">
      <xdr:nvCxnSpPr>
        <xdr:cNvPr id="51958" name="Con1_674.25_420">
          <a:extLst>
            <a:ext uri="{FF2B5EF4-FFF2-40B4-BE49-F238E27FC236}">
              <a16:creationId xmlns:a16="http://schemas.microsoft.com/office/drawing/2014/main" id="{00000000-0008-0000-0000-0000F6CA0000}"/>
            </a:ext>
          </a:extLst>
        </xdr:cNvPr>
        <xdr:cNvCxnSpPr/>
      </xdr:nvCxnSpPr>
      <xdr:spPr>
        <a:xfrm>
          <a:off x="872013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157163</xdr:colOff>
      <xdr:row>42</xdr:row>
      <xdr:rowOff>0</xdr:rowOff>
    </xdr:from>
    <xdr:to>
      <xdr:col>8</xdr:col>
      <xdr:colOff>157163</xdr:colOff>
      <xdr:row>42</xdr:row>
      <xdr:rowOff>0</xdr:rowOff>
    </xdr:to>
    <xdr:cxnSp macro="">
      <xdr:nvCxnSpPr>
        <xdr:cNvPr id="51959" name="Con1_204_420">
          <a:extLst>
            <a:ext uri="{FF2B5EF4-FFF2-40B4-BE49-F238E27FC236}">
              <a16:creationId xmlns:a16="http://schemas.microsoft.com/office/drawing/2014/main" id="{00000000-0008-0000-0000-0000F7CA0000}"/>
            </a:ext>
          </a:extLst>
        </xdr:cNvPr>
        <xdr:cNvCxnSpPr/>
      </xdr:nvCxnSpPr>
      <xdr:spPr>
        <a:xfrm>
          <a:off x="274796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42</xdr:row>
      <xdr:rowOff>0</xdr:rowOff>
    </xdr:from>
    <xdr:to>
      <xdr:col>15</xdr:col>
      <xdr:colOff>157163</xdr:colOff>
      <xdr:row>42</xdr:row>
      <xdr:rowOff>0</xdr:rowOff>
    </xdr:to>
    <xdr:cxnSp macro="">
      <xdr:nvCxnSpPr>
        <xdr:cNvPr id="51960" name="Con1_377.25_420">
          <a:extLst>
            <a:ext uri="{FF2B5EF4-FFF2-40B4-BE49-F238E27FC236}">
              <a16:creationId xmlns:a16="http://schemas.microsoft.com/office/drawing/2014/main" id="{00000000-0008-0000-0000-0000F8CA0000}"/>
            </a:ext>
          </a:extLst>
        </xdr:cNvPr>
        <xdr:cNvCxnSpPr/>
      </xdr:nvCxnSpPr>
      <xdr:spPr>
        <a:xfrm>
          <a:off x="494823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42</xdr:row>
      <xdr:rowOff>0</xdr:rowOff>
    </xdr:from>
    <xdr:to>
      <xdr:col>14</xdr:col>
      <xdr:colOff>157163</xdr:colOff>
      <xdr:row>42</xdr:row>
      <xdr:rowOff>0</xdr:rowOff>
    </xdr:to>
    <xdr:cxnSp macro="">
      <xdr:nvCxnSpPr>
        <xdr:cNvPr id="51961" name="Con1_352.5_420">
          <a:extLst>
            <a:ext uri="{FF2B5EF4-FFF2-40B4-BE49-F238E27FC236}">
              <a16:creationId xmlns:a16="http://schemas.microsoft.com/office/drawing/2014/main" id="{00000000-0008-0000-0000-0000F9CA0000}"/>
            </a:ext>
          </a:extLst>
        </xdr:cNvPr>
        <xdr:cNvCxnSpPr/>
      </xdr:nvCxnSpPr>
      <xdr:spPr>
        <a:xfrm>
          <a:off x="463391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42</xdr:row>
      <xdr:rowOff>0</xdr:rowOff>
    </xdr:from>
    <xdr:to>
      <xdr:col>5</xdr:col>
      <xdr:colOff>157163</xdr:colOff>
      <xdr:row>42</xdr:row>
      <xdr:rowOff>0</xdr:rowOff>
    </xdr:to>
    <xdr:cxnSp macro="">
      <xdr:nvCxnSpPr>
        <xdr:cNvPr id="51962" name="Con1_129.75_420">
          <a:extLst>
            <a:ext uri="{FF2B5EF4-FFF2-40B4-BE49-F238E27FC236}">
              <a16:creationId xmlns:a16="http://schemas.microsoft.com/office/drawing/2014/main" id="{00000000-0008-0000-0000-0000FACA0000}"/>
            </a:ext>
          </a:extLst>
        </xdr:cNvPr>
        <xdr:cNvCxnSpPr/>
      </xdr:nvCxnSpPr>
      <xdr:spPr>
        <a:xfrm>
          <a:off x="180498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157163</xdr:colOff>
      <xdr:row>42</xdr:row>
      <xdr:rowOff>0</xdr:rowOff>
    </xdr:from>
    <xdr:to>
      <xdr:col>12</xdr:col>
      <xdr:colOff>157163</xdr:colOff>
      <xdr:row>42</xdr:row>
      <xdr:rowOff>0</xdr:rowOff>
    </xdr:to>
    <xdr:cxnSp macro="">
      <xdr:nvCxnSpPr>
        <xdr:cNvPr id="51963" name="Con1_303_420">
          <a:extLst>
            <a:ext uri="{FF2B5EF4-FFF2-40B4-BE49-F238E27FC236}">
              <a16:creationId xmlns:a16="http://schemas.microsoft.com/office/drawing/2014/main" id="{00000000-0008-0000-0000-0000FBCA0000}"/>
            </a:ext>
          </a:extLst>
        </xdr:cNvPr>
        <xdr:cNvCxnSpPr/>
      </xdr:nvCxnSpPr>
      <xdr:spPr>
        <a:xfrm>
          <a:off x="400526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42</xdr:row>
      <xdr:rowOff>0</xdr:rowOff>
    </xdr:from>
    <xdr:to>
      <xdr:col>21</xdr:col>
      <xdr:colOff>157163</xdr:colOff>
      <xdr:row>42</xdr:row>
      <xdr:rowOff>0</xdr:rowOff>
    </xdr:to>
    <xdr:cxnSp macro="">
      <xdr:nvCxnSpPr>
        <xdr:cNvPr id="51964" name="Con1_525.75_420">
          <a:extLst>
            <a:ext uri="{FF2B5EF4-FFF2-40B4-BE49-F238E27FC236}">
              <a16:creationId xmlns:a16="http://schemas.microsoft.com/office/drawing/2014/main" id="{00000000-0008-0000-0000-0000FCCA0000}"/>
            </a:ext>
          </a:extLst>
        </xdr:cNvPr>
        <xdr:cNvCxnSpPr/>
      </xdr:nvCxnSpPr>
      <xdr:spPr>
        <a:xfrm>
          <a:off x="683418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42</xdr:row>
      <xdr:rowOff>0</xdr:rowOff>
    </xdr:from>
    <xdr:to>
      <xdr:col>13</xdr:col>
      <xdr:colOff>157163</xdr:colOff>
      <xdr:row>42</xdr:row>
      <xdr:rowOff>0</xdr:rowOff>
    </xdr:to>
    <xdr:cxnSp macro="">
      <xdr:nvCxnSpPr>
        <xdr:cNvPr id="51965" name="Con1_327.75_420">
          <a:extLst>
            <a:ext uri="{FF2B5EF4-FFF2-40B4-BE49-F238E27FC236}">
              <a16:creationId xmlns:a16="http://schemas.microsoft.com/office/drawing/2014/main" id="{00000000-0008-0000-0000-0000FDCA0000}"/>
            </a:ext>
          </a:extLst>
        </xdr:cNvPr>
        <xdr:cNvCxnSpPr/>
      </xdr:nvCxnSpPr>
      <xdr:spPr>
        <a:xfrm>
          <a:off x="4319588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157163</xdr:colOff>
      <xdr:row>42</xdr:row>
      <xdr:rowOff>0</xdr:rowOff>
    </xdr:from>
    <xdr:to>
      <xdr:col>10</xdr:col>
      <xdr:colOff>157163</xdr:colOff>
      <xdr:row>42</xdr:row>
      <xdr:rowOff>0</xdr:rowOff>
    </xdr:to>
    <xdr:cxnSp macro="">
      <xdr:nvCxnSpPr>
        <xdr:cNvPr id="51966" name="Con1_253.5_420">
          <a:extLst>
            <a:ext uri="{FF2B5EF4-FFF2-40B4-BE49-F238E27FC236}">
              <a16:creationId xmlns:a16="http://schemas.microsoft.com/office/drawing/2014/main" id="{00000000-0008-0000-0000-0000FECA0000}"/>
            </a:ext>
          </a:extLst>
        </xdr:cNvPr>
        <xdr:cNvCxnSpPr/>
      </xdr:nvCxnSpPr>
      <xdr:spPr>
        <a:xfrm>
          <a:off x="337661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157163</xdr:colOff>
      <xdr:row>42</xdr:row>
      <xdr:rowOff>0</xdr:rowOff>
    </xdr:from>
    <xdr:to>
      <xdr:col>24</xdr:col>
      <xdr:colOff>157163</xdr:colOff>
      <xdr:row>42</xdr:row>
      <xdr:rowOff>0</xdr:rowOff>
    </xdr:to>
    <xdr:cxnSp macro="">
      <xdr:nvCxnSpPr>
        <xdr:cNvPr id="51967" name="Con1_600_420">
          <a:extLst>
            <a:ext uri="{FF2B5EF4-FFF2-40B4-BE49-F238E27FC236}">
              <a16:creationId xmlns:a16="http://schemas.microsoft.com/office/drawing/2014/main" id="{00000000-0008-0000-0000-0000FFCA0000}"/>
            </a:ext>
          </a:extLst>
        </xdr:cNvPr>
        <xdr:cNvCxnSpPr/>
      </xdr:nvCxnSpPr>
      <xdr:spPr>
        <a:xfrm>
          <a:off x="777716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42</xdr:row>
      <xdr:rowOff>0</xdr:rowOff>
    </xdr:from>
    <xdr:to>
      <xdr:col>22</xdr:col>
      <xdr:colOff>157163</xdr:colOff>
      <xdr:row>42</xdr:row>
      <xdr:rowOff>0</xdr:rowOff>
    </xdr:to>
    <xdr:cxnSp macro="">
      <xdr:nvCxnSpPr>
        <xdr:cNvPr id="51968" name="Con1_550.5_420">
          <a:extLst>
            <a:ext uri="{FF2B5EF4-FFF2-40B4-BE49-F238E27FC236}">
              <a16:creationId xmlns:a16="http://schemas.microsoft.com/office/drawing/2014/main" id="{00000000-0008-0000-0000-000000CB0000}"/>
            </a:ext>
          </a:extLst>
        </xdr:cNvPr>
        <xdr:cNvCxnSpPr/>
      </xdr:nvCxnSpPr>
      <xdr:spPr>
        <a:xfrm>
          <a:off x="7148513" y="6858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42</xdr:row>
      <xdr:rowOff>0</xdr:rowOff>
    </xdr:from>
    <xdr:to>
      <xdr:col>9</xdr:col>
      <xdr:colOff>157163</xdr:colOff>
      <xdr:row>42</xdr:row>
      <xdr:rowOff>0</xdr:rowOff>
    </xdr:to>
    <xdr:cxnSp macro="">
      <xdr:nvCxnSpPr>
        <xdr:cNvPr id="52665" name="Con1_228.75_480">
          <a:extLst>
            <a:ext uri="{FF2B5EF4-FFF2-40B4-BE49-F238E27FC236}">
              <a16:creationId xmlns:a16="http://schemas.microsoft.com/office/drawing/2014/main" id="{00000000-0008-0000-0000-0000B9CD0000}"/>
            </a:ext>
          </a:extLst>
        </xdr:cNvPr>
        <xdr:cNvCxnSpPr/>
      </xdr:nvCxnSpPr>
      <xdr:spPr>
        <a:xfrm>
          <a:off x="306228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157163</xdr:colOff>
      <xdr:row>42</xdr:row>
      <xdr:rowOff>0</xdr:rowOff>
    </xdr:from>
    <xdr:to>
      <xdr:col>25</xdr:col>
      <xdr:colOff>157163</xdr:colOff>
      <xdr:row>42</xdr:row>
      <xdr:rowOff>0</xdr:rowOff>
    </xdr:to>
    <xdr:cxnSp macro="">
      <xdr:nvCxnSpPr>
        <xdr:cNvPr id="52666" name="Con1_624.75_480">
          <a:extLst>
            <a:ext uri="{FF2B5EF4-FFF2-40B4-BE49-F238E27FC236}">
              <a16:creationId xmlns:a16="http://schemas.microsoft.com/office/drawing/2014/main" id="{00000000-0008-0000-0000-0000BACD0000}"/>
            </a:ext>
          </a:extLst>
        </xdr:cNvPr>
        <xdr:cNvCxnSpPr/>
      </xdr:nvCxnSpPr>
      <xdr:spPr>
        <a:xfrm>
          <a:off x="809148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42</xdr:row>
      <xdr:rowOff>0</xdr:rowOff>
    </xdr:from>
    <xdr:to>
      <xdr:col>26</xdr:col>
      <xdr:colOff>157163</xdr:colOff>
      <xdr:row>42</xdr:row>
      <xdr:rowOff>0</xdr:rowOff>
    </xdr:to>
    <xdr:cxnSp macro="">
      <xdr:nvCxnSpPr>
        <xdr:cNvPr id="52667" name="Con1_649.5_480">
          <a:extLst>
            <a:ext uri="{FF2B5EF4-FFF2-40B4-BE49-F238E27FC236}">
              <a16:creationId xmlns:a16="http://schemas.microsoft.com/office/drawing/2014/main" id="{00000000-0008-0000-0000-0000BBCD0000}"/>
            </a:ext>
          </a:extLst>
        </xdr:cNvPr>
        <xdr:cNvCxnSpPr/>
      </xdr:nvCxnSpPr>
      <xdr:spPr>
        <a:xfrm>
          <a:off x="8405813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42</xdr:row>
      <xdr:rowOff>0</xdr:rowOff>
    </xdr:from>
    <xdr:to>
      <xdr:col>6</xdr:col>
      <xdr:colOff>157163</xdr:colOff>
      <xdr:row>42</xdr:row>
      <xdr:rowOff>0</xdr:rowOff>
    </xdr:to>
    <xdr:cxnSp macro="">
      <xdr:nvCxnSpPr>
        <xdr:cNvPr id="52668" name="Con1_154.5_480">
          <a:extLst>
            <a:ext uri="{FF2B5EF4-FFF2-40B4-BE49-F238E27FC236}">
              <a16:creationId xmlns:a16="http://schemas.microsoft.com/office/drawing/2014/main" id="{00000000-0008-0000-0000-0000BCCD0000}"/>
            </a:ext>
          </a:extLst>
        </xdr:cNvPr>
        <xdr:cNvCxnSpPr/>
      </xdr:nvCxnSpPr>
      <xdr:spPr>
        <a:xfrm>
          <a:off x="2119313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42</xdr:row>
      <xdr:rowOff>0</xdr:rowOff>
    </xdr:from>
    <xdr:to>
      <xdr:col>11</xdr:col>
      <xdr:colOff>157163</xdr:colOff>
      <xdr:row>42</xdr:row>
      <xdr:rowOff>0</xdr:rowOff>
    </xdr:to>
    <xdr:cxnSp macro="">
      <xdr:nvCxnSpPr>
        <xdr:cNvPr id="52670" name="Con1_278.25_480">
          <a:extLst>
            <a:ext uri="{FF2B5EF4-FFF2-40B4-BE49-F238E27FC236}">
              <a16:creationId xmlns:a16="http://schemas.microsoft.com/office/drawing/2014/main" id="{00000000-0008-0000-0000-0000BECD0000}"/>
            </a:ext>
          </a:extLst>
        </xdr:cNvPr>
        <xdr:cNvCxnSpPr/>
      </xdr:nvCxnSpPr>
      <xdr:spPr>
        <a:xfrm>
          <a:off x="369093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42</xdr:row>
      <xdr:rowOff>0</xdr:rowOff>
    </xdr:from>
    <xdr:to>
      <xdr:col>19</xdr:col>
      <xdr:colOff>157163</xdr:colOff>
      <xdr:row>42</xdr:row>
      <xdr:rowOff>0</xdr:rowOff>
    </xdr:to>
    <xdr:cxnSp macro="">
      <xdr:nvCxnSpPr>
        <xdr:cNvPr id="52672" name="Con1_476.25_480">
          <a:extLst>
            <a:ext uri="{FF2B5EF4-FFF2-40B4-BE49-F238E27FC236}">
              <a16:creationId xmlns:a16="http://schemas.microsoft.com/office/drawing/2014/main" id="{00000000-0008-0000-0000-0000C0CD0000}"/>
            </a:ext>
          </a:extLst>
        </xdr:cNvPr>
        <xdr:cNvCxnSpPr/>
      </xdr:nvCxnSpPr>
      <xdr:spPr>
        <a:xfrm>
          <a:off x="620553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42</xdr:row>
      <xdr:rowOff>0</xdr:rowOff>
    </xdr:from>
    <xdr:to>
      <xdr:col>17</xdr:col>
      <xdr:colOff>157163</xdr:colOff>
      <xdr:row>42</xdr:row>
      <xdr:rowOff>0</xdr:rowOff>
    </xdr:to>
    <xdr:cxnSp macro="">
      <xdr:nvCxnSpPr>
        <xdr:cNvPr id="52673" name="Con1_426.75_480">
          <a:extLst>
            <a:ext uri="{FF2B5EF4-FFF2-40B4-BE49-F238E27FC236}">
              <a16:creationId xmlns:a16="http://schemas.microsoft.com/office/drawing/2014/main" id="{00000000-0008-0000-0000-0000C1CD0000}"/>
            </a:ext>
          </a:extLst>
        </xdr:cNvPr>
        <xdr:cNvCxnSpPr/>
      </xdr:nvCxnSpPr>
      <xdr:spPr>
        <a:xfrm>
          <a:off x="557688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42</xdr:row>
      <xdr:rowOff>0</xdr:rowOff>
    </xdr:from>
    <xdr:to>
      <xdr:col>7</xdr:col>
      <xdr:colOff>157163</xdr:colOff>
      <xdr:row>42</xdr:row>
      <xdr:rowOff>0</xdr:rowOff>
    </xdr:to>
    <xdr:cxnSp macro="">
      <xdr:nvCxnSpPr>
        <xdr:cNvPr id="52674" name="Con1_179.25_480">
          <a:extLst>
            <a:ext uri="{FF2B5EF4-FFF2-40B4-BE49-F238E27FC236}">
              <a16:creationId xmlns:a16="http://schemas.microsoft.com/office/drawing/2014/main" id="{00000000-0008-0000-0000-0000C2CD0000}"/>
            </a:ext>
          </a:extLst>
        </xdr:cNvPr>
        <xdr:cNvCxnSpPr/>
      </xdr:nvCxnSpPr>
      <xdr:spPr>
        <a:xfrm>
          <a:off x="243363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42</xdr:row>
      <xdr:rowOff>0</xdr:rowOff>
    </xdr:from>
    <xdr:to>
      <xdr:col>18</xdr:col>
      <xdr:colOff>157163</xdr:colOff>
      <xdr:row>42</xdr:row>
      <xdr:rowOff>0</xdr:rowOff>
    </xdr:to>
    <xdr:cxnSp macro="">
      <xdr:nvCxnSpPr>
        <xdr:cNvPr id="52675" name="Con1_451.5_480">
          <a:extLst>
            <a:ext uri="{FF2B5EF4-FFF2-40B4-BE49-F238E27FC236}">
              <a16:creationId xmlns:a16="http://schemas.microsoft.com/office/drawing/2014/main" id="{00000000-0008-0000-0000-0000C3CD0000}"/>
            </a:ext>
          </a:extLst>
        </xdr:cNvPr>
        <xdr:cNvCxnSpPr/>
      </xdr:nvCxnSpPr>
      <xdr:spPr>
        <a:xfrm>
          <a:off x="5891213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42</xdr:row>
      <xdr:rowOff>0</xdr:rowOff>
    </xdr:from>
    <xdr:to>
      <xdr:col>27</xdr:col>
      <xdr:colOff>157163</xdr:colOff>
      <xdr:row>42</xdr:row>
      <xdr:rowOff>0</xdr:rowOff>
    </xdr:to>
    <xdr:cxnSp macro="">
      <xdr:nvCxnSpPr>
        <xdr:cNvPr id="52676" name="Con1_674.25_480">
          <a:extLst>
            <a:ext uri="{FF2B5EF4-FFF2-40B4-BE49-F238E27FC236}">
              <a16:creationId xmlns:a16="http://schemas.microsoft.com/office/drawing/2014/main" id="{00000000-0008-0000-0000-0000C4CD0000}"/>
            </a:ext>
          </a:extLst>
        </xdr:cNvPr>
        <xdr:cNvCxnSpPr/>
      </xdr:nvCxnSpPr>
      <xdr:spPr>
        <a:xfrm>
          <a:off x="872013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42</xdr:row>
      <xdr:rowOff>0</xdr:rowOff>
    </xdr:from>
    <xdr:to>
      <xdr:col>15</xdr:col>
      <xdr:colOff>157163</xdr:colOff>
      <xdr:row>42</xdr:row>
      <xdr:rowOff>0</xdr:rowOff>
    </xdr:to>
    <xdr:cxnSp macro="">
      <xdr:nvCxnSpPr>
        <xdr:cNvPr id="52678" name="Con1_377.25_480">
          <a:extLst>
            <a:ext uri="{FF2B5EF4-FFF2-40B4-BE49-F238E27FC236}">
              <a16:creationId xmlns:a16="http://schemas.microsoft.com/office/drawing/2014/main" id="{00000000-0008-0000-0000-0000C6CD0000}"/>
            </a:ext>
          </a:extLst>
        </xdr:cNvPr>
        <xdr:cNvCxnSpPr/>
      </xdr:nvCxnSpPr>
      <xdr:spPr>
        <a:xfrm>
          <a:off x="494823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42</xdr:row>
      <xdr:rowOff>0</xdr:rowOff>
    </xdr:from>
    <xdr:to>
      <xdr:col>14</xdr:col>
      <xdr:colOff>157163</xdr:colOff>
      <xdr:row>42</xdr:row>
      <xdr:rowOff>0</xdr:rowOff>
    </xdr:to>
    <xdr:cxnSp macro="">
      <xdr:nvCxnSpPr>
        <xdr:cNvPr id="52679" name="Con1_352.5_480">
          <a:extLst>
            <a:ext uri="{FF2B5EF4-FFF2-40B4-BE49-F238E27FC236}">
              <a16:creationId xmlns:a16="http://schemas.microsoft.com/office/drawing/2014/main" id="{00000000-0008-0000-0000-0000C7CD0000}"/>
            </a:ext>
          </a:extLst>
        </xdr:cNvPr>
        <xdr:cNvCxnSpPr/>
      </xdr:nvCxnSpPr>
      <xdr:spPr>
        <a:xfrm>
          <a:off x="4633913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42</xdr:row>
      <xdr:rowOff>0</xdr:rowOff>
    </xdr:from>
    <xdr:to>
      <xdr:col>5</xdr:col>
      <xdr:colOff>157163</xdr:colOff>
      <xdr:row>42</xdr:row>
      <xdr:rowOff>0</xdr:rowOff>
    </xdr:to>
    <xdr:cxnSp macro="">
      <xdr:nvCxnSpPr>
        <xdr:cNvPr id="52680" name="Con1_129.75_480">
          <a:extLst>
            <a:ext uri="{FF2B5EF4-FFF2-40B4-BE49-F238E27FC236}">
              <a16:creationId xmlns:a16="http://schemas.microsoft.com/office/drawing/2014/main" id="{00000000-0008-0000-0000-0000C8CD0000}"/>
            </a:ext>
          </a:extLst>
        </xdr:cNvPr>
        <xdr:cNvCxnSpPr/>
      </xdr:nvCxnSpPr>
      <xdr:spPr>
        <a:xfrm>
          <a:off x="180498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42</xdr:row>
      <xdr:rowOff>0</xdr:rowOff>
    </xdr:from>
    <xdr:to>
      <xdr:col>21</xdr:col>
      <xdr:colOff>157163</xdr:colOff>
      <xdr:row>42</xdr:row>
      <xdr:rowOff>0</xdr:rowOff>
    </xdr:to>
    <xdr:cxnSp macro="">
      <xdr:nvCxnSpPr>
        <xdr:cNvPr id="52682" name="Con1_525.75_480">
          <a:extLst>
            <a:ext uri="{FF2B5EF4-FFF2-40B4-BE49-F238E27FC236}">
              <a16:creationId xmlns:a16="http://schemas.microsoft.com/office/drawing/2014/main" id="{00000000-0008-0000-0000-0000CACD0000}"/>
            </a:ext>
          </a:extLst>
        </xdr:cNvPr>
        <xdr:cNvCxnSpPr/>
      </xdr:nvCxnSpPr>
      <xdr:spPr>
        <a:xfrm>
          <a:off x="683418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42</xdr:row>
      <xdr:rowOff>0</xdr:rowOff>
    </xdr:from>
    <xdr:to>
      <xdr:col>13</xdr:col>
      <xdr:colOff>157163</xdr:colOff>
      <xdr:row>42</xdr:row>
      <xdr:rowOff>0</xdr:rowOff>
    </xdr:to>
    <xdr:cxnSp macro="">
      <xdr:nvCxnSpPr>
        <xdr:cNvPr id="52683" name="Con1_327.75_480">
          <a:extLst>
            <a:ext uri="{FF2B5EF4-FFF2-40B4-BE49-F238E27FC236}">
              <a16:creationId xmlns:a16="http://schemas.microsoft.com/office/drawing/2014/main" id="{00000000-0008-0000-0000-0000CBCD0000}"/>
            </a:ext>
          </a:extLst>
        </xdr:cNvPr>
        <xdr:cNvCxnSpPr/>
      </xdr:nvCxnSpPr>
      <xdr:spPr>
        <a:xfrm>
          <a:off x="4319588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157163</xdr:colOff>
      <xdr:row>42</xdr:row>
      <xdr:rowOff>0</xdr:rowOff>
    </xdr:from>
    <xdr:to>
      <xdr:col>10</xdr:col>
      <xdr:colOff>157163</xdr:colOff>
      <xdr:row>42</xdr:row>
      <xdr:rowOff>0</xdr:rowOff>
    </xdr:to>
    <xdr:cxnSp macro="">
      <xdr:nvCxnSpPr>
        <xdr:cNvPr id="52684" name="Con1_253.5_480">
          <a:extLst>
            <a:ext uri="{FF2B5EF4-FFF2-40B4-BE49-F238E27FC236}">
              <a16:creationId xmlns:a16="http://schemas.microsoft.com/office/drawing/2014/main" id="{00000000-0008-0000-0000-0000CCCD0000}"/>
            </a:ext>
          </a:extLst>
        </xdr:cNvPr>
        <xdr:cNvCxnSpPr/>
      </xdr:nvCxnSpPr>
      <xdr:spPr>
        <a:xfrm>
          <a:off x="3376613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157163</xdr:colOff>
      <xdr:row>42</xdr:row>
      <xdr:rowOff>0</xdr:rowOff>
    </xdr:from>
    <xdr:to>
      <xdr:col>22</xdr:col>
      <xdr:colOff>157163</xdr:colOff>
      <xdr:row>42</xdr:row>
      <xdr:rowOff>0</xdr:rowOff>
    </xdr:to>
    <xdr:cxnSp macro="">
      <xdr:nvCxnSpPr>
        <xdr:cNvPr id="52686" name="Con1_550.5_480">
          <a:extLst>
            <a:ext uri="{FF2B5EF4-FFF2-40B4-BE49-F238E27FC236}">
              <a16:creationId xmlns:a16="http://schemas.microsoft.com/office/drawing/2014/main" id="{00000000-0008-0000-0000-0000CECD0000}"/>
            </a:ext>
          </a:extLst>
        </xdr:cNvPr>
        <xdr:cNvCxnSpPr/>
      </xdr:nvCxnSpPr>
      <xdr:spPr>
        <a:xfrm>
          <a:off x="7148513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37624</xdr:colOff>
      <xdr:row>4</xdr:row>
      <xdr:rowOff>63500</xdr:rowOff>
    </xdr:from>
    <xdr:to>
      <xdr:col>3</xdr:col>
      <xdr:colOff>123825</xdr:colOff>
      <xdr:row>4</xdr:row>
      <xdr:rowOff>180975</xdr:rowOff>
    </xdr:to>
    <xdr:sp macro="" textlink="">
      <xdr:nvSpPr>
        <xdr:cNvPr id="894" name="Leg_1">
          <a:extLst>
            <a:ext uri="{FF2B5EF4-FFF2-40B4-BE49-F238E27FC236}">
              <a16:creationId xmlns:a16="http://schemas.microsoft.com/office/drawing/2014/main" id="{00000000-0008-0000-0000-00007E030000}"/>
            </a:ext>
          </a:extLst>
        </xdr:cNvPr>
        <xdr:cNvSpPr/>
      </xdr:nvSpPr>
      <xdr:spPr>
        <a:xfrm>
          <a:off x="1304449" y="825500"/>
          <a:ext cx="86201" cy="117475"/>
        </a:xfrm>
        <a:prstGeom prst="rect">
          <a:avLst/>
        </a:prstGeom>
        <a:solidFill>
          <a:srgbClr val="0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28099</xdr:colOff>
      <xdr:row>7</xdr:row>
      <xdr:rowOff>53975</xdr:rowOff>
    </xdr:from>
    <xdr:to>
      <xdr:col>3</xdr:col>
      <xdr:colOff>114300</xdr:colOff>
      <xdr:row>7</xdr:row>
      <xdr:rowOff>171450</xdr:rowOff>
    </xdr:to>
    <xdr:sp macro="" textlink="">
      <xdr:nvSpPr>
        <xdr:cNvPr id="895" name="Leg_1">
          <a:extLst>
            <a:ext uri="{FF2B5EF4-FFF2-40B4-BE49-F238E27FC236}">
              <a16:creationId xmlns:a16="http://schemas.microsoft.com/office/drawing/2014/main" id="{00000000-0008-0000-0000-00007F030000}"/>
            </a:ext>
          </a:extLst>
        </xdr:cNvPr>
        <xdr:cNvSpPr/>
      </xdr:nvSpPr>
      <xdr:spPr>
        <a:xfrm>
          <a:off x="1294924" y="1387475"/>
          <a:ext cx="86201" cy="1174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28099</xdr:colOff>
      <xdr:row>8</xdr:row>
      <xdr:rowOff>63500</xdr:rowOff>
    </xdr:from>
    <xdr:to>
      <xdr:col>3</xdr:col>
      <xdr:colOff>114300</xdr:colOff>
      <xdr:row>8</xdr:row>
      <xdr:rowOff>180975</xdr:rowOff>
    </xdr:to>
    <xdr:sp macro="" textlink="">
      <xdr:nvSpPr>
        <xdr:cNvPr id="896" name="Leg_1">
          <a:extLst>
            <a:ext uri="{FF2B5EF4-FFF2-40B4-BE49-F238E27FC236}">
              <a16:creationId xmlns:a16="http://schemas.microsoft.com/office/drawing/2014/main" id="{00000000-0008-0000-0000-000080030000}"/>
            </a:ext>
          </a:extLst>
        </xdr:cNvPr>
        <xdr:cNvSpPr/>
      </xdr:nvSpPr>
      <xdr:spPr>
        <a:xfrm>
          <a:off x="1294924" y="1587500"/>
          <a:ext cx="86201" cy="11747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76200</xdr:colOff>
      <xdr:row>16</xdr:row>
      <xdr:rowOff>114300</xdr:rowOff>
    </xdr:from>
    <xdr:to>
      <xdr:col>38</xdr:col>
      <xdr:colOff>266700</xdr:colOff>
      <xdr:row>16</xdr:row>
      <xdr:rowOff>133350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12411075" y="2781300"/>
          <a:ext cx="190500" cy="1905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85725</xdr:colOff>
      <xdr:row>17</xdr:row>
      <xdr:rowOff>104775</xdr:rowOff>
    </xdr:from>
    <xdr:to>
      <xdr:col>38</xdr:col>
      <xdr:colOff>276225</xdr:colOff>
      <xdr:row>17</xdr:row>
      <xdr:rowOff>123825</xdr:rowOff>
    </xdr:to>
    <xdr:cxnSp macro="">
      <xdr:nvCxnSpPr>
        <xdr:cNvPr id="906" name="Straight Connector 905">
          <a:extLst>
            <a:ext uri="{FF2B5EF4-FFF2-40B4-BE49-F238E27FC236}">
              <a16:creationId xmlns:a16="http://schemas.microsoft.com/office/drawing/2014/main" id="{00000000-0008-0000-0000-00008A030000}"/>
            </a:ext>
          </a:extLst>
        </xdr:cNvPr>
        <xdr:cNvCxnSpPr/>
      </xdr:nvCxnSpPr>
      <xdr:spPr>
        <a:xfrm flipV="1">
          <a:off x="12420600" y="2962275"/>
          <a:ext cx="190500" cy="19050"/>
        </a:xfrm>
        <a:prstGeom prst="line">
          <a:avLst/>
        </a:prstGeom>
        <a:ln w="19050">
          <a:solidFill>
            <a:schemeClr val="tx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18</xdr:row>
      <xdr:rowOff>104775</xdr:rowOff>
    </xdr:from>
    <xdr:to>
      <xdr:col>38</xdr:col>
      <xdr:colOff>295275</xdr:colOff>
      <xdr:row>18</xdr:row>
      <xdr:rowOff>123825</xdr:rowOff>
    </xdr:to>
    <xdr:cxnSp macro="">
      <xdr:nvCxnSpPr>
        <xdr:cNvPr id="907" name="Straight Connector 906">
          <a:extLst>
            <a:ext uri="{FF2B5EF4-FFF2-40B4-BE49-F238E27FC236}">
              <a16:creationId xmlns:a16="http://schemas.microsoft.com/office/drawing/2014/main" id="{00000000-0008-0000-0000-00008B030000}"/>
            </a:ext>
          </a:extLst>
        </xdr:cNvPr>
        <xdr:cNvCxnSpPr/>
      </xdr:nvCxnSpPr>
      <xdr:spPr>
        <a:xfrm flipV="1">
          <a:off x="12439650" y="3152775"/>
          <a:ext cx="190500" cy="19050"/>
        </a:xfrm>
        <a:prstGeom prst="line">
          <a:avLst/>
        </a:prstGeom>
        <a:ln w="19050">
          <a:solidFill>
            <a:srgbClr val="7030A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85725</xdr:colOff>
      <xdr:row>19</xdr:row>
      <xdr:rowOff>114300</xdr:rowOff>
    </xdr:from>
    <xdr:to>
      <xdr:col>38</xdr:col>
      <xdr:colOff>276225</xdr:colOff>
      <xdr:row>19</xdr:row>
      <xdr:rowOff>133350</xdr:rowOff>
    </xdr:to>
    <xdr:cxnSp macro="">
      <xdr:nvCxnSpPr>
        <xdr:cNvPr id="908" name="Straight Connector 907">
          <a:extLst>
            <a:ext uri="{FF2B5EF4-FFF2-40B4-BE49-F238E27FC236}">
              <a16:creationId xmlns:a16="http://schemas.microsoft.com/office/drawing/2014/main" id="{00000000-0008-0000-0000-00008C030000}"/>
            </a:ext>
          </a:extLst>
        </xdr:cNvPr>
        <xdr:cNvCxnSpPr/>
      </xdr:nvCxnSpPr>
      <xdr:spPr>
        <a:xfrm flipV="1">
          <a:off x="12420600" y="3352800"/>
          <a:ext cx="190500" cy="19050"/>
        </a:xfrm>
        <a:prstGeom prst="line">
          <a:avLst/>
        </a:prstGeom>
        <a:ln w="19050">
          <a:solidFill>
            <a:schemeClr val="accent6">
              <a:lumMod val="60000"/>
              <a:lumOff val="4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20</xdr:row>
      <xdr:rowOff>114300</xdr:rowOff>
    </xdr:from>
    <xdr:to>
      <xdr:col>38</xdr:col>
      <xdr:colOff>285750</xdr:colOff>
      <xdr:row>20</xdr:row>
      <xdr:rowOff>133350</xdr:rowOff>
    </xdr:to>
    <xdr:cxnSp macro="">
      <xdr:nvCxnSpPr>
        <xdr:cNvPr id="909" name="Straight Connector 908">
          <a:extLst>
            <a:ext uri="{FF2B5EF4-FFF2-40B4-BE49-F238E27FC236}">
              <a16:creationId xmlns:a16="http://schemas.microsoft.com/office/drawing/2014/main" id="{00000000-0008-0000-0000-00008D030000}"/>
            </a:ext>
          </a:extLst>
        </xdr:cNvPr>
        <xdr:cNvCxnSpPr/>
      </xdr:nvCxnSpPr>
      <xdr:spPr>
        <a:xfrm flipV="1">
          <a:off x="12430125" y="3543300"/>
          <a:ext cx="190500" cy="19050"/>
        </a:xfrm>
        <a:prstGeom prst="line">
          <a:avLst/>
        </a:prstGeom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21</xdr:row>
      <xdr:rowOff>104775</xdr:rowOff>
    </xdr:from>
    <xdr:to>
      <xdr:col>38</xdr:col>
      <xdr:colOff>285750</xdr:colOff>
      <xdr:row>21</xdr:row>
      <xdr:rowOff>123825</xdr:rowOff>
    </xdr:to>
    <xdr:cxnSp macro="">
      <xdr:nvCxnSpPr>
        <xdr:cNvPr id="910" name="Straight Connector 909">
          <a:extLst>
            <a:ext uri="{FF2B5EF4-FFF2-40B4-BE49-F238E27FC236}">
              <a16:creationId xmlns:a16="http://schemas.microsoft.com/office/drawing/2014/main" id="{00000000-0008-0000-0000-00008E030000}"/>
            </a:ext>
          </a:extLst>
        </xdr:cNvPr>
        <xdr:cNvCxnSpPr/>
      </xdr:nvCxnSpPr>
      <xdr:spPr>
        <a:xfrm flipV="1">
          <a:off x="12430125" y="3724275"/>
          <a:ext cx="190500" cy="19050"/>
        </a:xfrm>
        <a:prstGeom prst="line">
          <a:avLst/>
        </a:prstGeom>
        <a:ln w="19050">
          <a:solidFill>
            <a:schemeClr val="accent3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48578</xdr:colOff>
      <xdr:row>148</xdr:row>
      <xdr:rowOff>105857</xdr:rowOff>
    </xdr:from>
    <xdr:to>
      <xdr:col>33</xdr:col>
      <xdr:colOff>275273</xdr:colOff>
      <xdr:row>150</xdr:row>
      <xdr:rowOff>0</xdr:rowOff>
    </xdr:to>
    <xdr:sp macro="" textlink="">
      <xdr:nvSpPr>
        <xdr:cNvPr id="1419" name="CON_OTHER_30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SpPr/>
      </xdr:nvSpPr>
      <xdr:spPr>
        <a:xfrm>
          <a:off x="11154728" y="16469807"/>
          <a:ext cx="226695" cy="26244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48578</xdr:colOff>
      <xdr:row>148</xdr:row>
      <xdr:rowOff>108947</xdr:rowOff>
    </xdr:from>
    <xdr:to>
      <xdr:col>34</xdr:col>
      <xdr:colOff>275273</xdr:colOff>
      <xdr:row>150</xdr:row>
      <xdr:rowOff>0</xdr:rowOff>
    </xdr:to>
    <xdr:sp macro="" textlink="">
      <xdr:nvSpPr>
        <xdr:cNvPr id="1420" name="CON_OTHER_31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SpPr/>
      </xdr:nvSpPr>
      <xdr:spPr>
        <a:xfrm>
          <a:off x="11478578" y="16472897"/>
          <a:ext cx="226695" cy="25935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48578</xdr:colOff>
      <xdr:row>148</xdr:row>
      <xdr:rowOff>133868</xdr:rowOff>
    </xdr:from>
    <xdr:to>
      <xdr:col>35</xdr:col>
      <xdr:colOff>275273</xdr:colOff>
      <xdr:row>150</xdr:row>
      <xdr:rowOff>0</xdr:rowOff>
    </xdr:to>
    <xdr:sp macro="" textlink="">
      <xdr:nvSpPr>
        <xdr:cNvPr id="1421" name="CON_OTHER_32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SpPr/>
      </xdr:nvSpPr>
      <xdr:spPr>
        <a:xfrm>
          <a:off x="11802428" y="16497818"/>
          <a:ext cx="226695" cy="234432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48578</xdr:colOff>
      <xdr:row>148</xdr:row>
      <xdr:rowOff>138995</xdr:rowOff>
    </xdr:from>
    <xdr:to>
      <xdr:col>36</xdr:col>
      <xdr:colOff>275273</xdr:colOff>
      <xdr:row>150</xdr:row>
      <xdr:rowOff>0</xdr:rowOff>
    </xdr:to>
    <xdr:sp macro="" textlink="">
      <xdr:nvSpPr>
        <xdr:cNvPr id="1422" name="CON_OTHER_33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SpPr/>
      </xdr:nvSpPr>
      <xdr:spPr>
        <a:xfrm>
          <a:off x="12126278" y="16502945"/>
          <a:ext cx="226695" cy="22930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37</xdr:col>
      <xdr:colOff>48578</xdr:colOff>
      <xdr:row>148</xdr:row>
      <xdr:rowOff>102918</xdr:rowOff>
    </xdr:from>
    <xdr:to>
      <xdr:col>37</xdr:col>
      <xdr:colOff>275273</xdr:colOff>
      <xdr:row>150</xdr:row>
      <xdr:rowOff>0</xdr:rowOff>
    </xdr:to>
    <xdr:sp macro="" textlink="">
      <xdr:nvSpPr>
        <xdr:cNvPr id="1536" name="CON_OTHER_34">
          <a:extLst>
            <a:ext uri="{FF2B5EF4-FFF2-40B4-BE49-F238E27FC236}">
              <a16:creationId xmlns:a16="http://schemas.microsoft.com/office/drawing/2014/main" id="{00000000-0008-0000-0000-000000060000}"/>
            </a:ext>
          </a:extLst>
        </xdr:cNvPr>
        <xdr:cNvSpPr/>
      </xdr:nvSpPr>
      <xdr:spPr>
        <a:xfrm>
          <a:off x="12450128" y="16466868"/>
          <a:ext cx="226695" cy="265382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47149</xdr:colOff>
      <xdr:row>272</xdr:row>
      <xdr:rowOff>186218</xdr:rowOff>
    </xdr:from>
    <xdr:to>
      <xdr:col>5</xdr:col>
      <xdr:colOff>267177</xdr:colOff>
      <xdr:row>273</xdr:row>
      <xdr:rowOff>1</xdr:rowOff>
    </xdr:to>
    <xdr:sp macro="" textlink="">
      <xdr:nvSpPr>
        <xdr:cNvPr id="605" name="IMP_PAN_2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SpPr/>
      </xdr:nvSpPr>
      <xdr:spPr>
        <a:xfrm>
          <a:off x="2009299" y="37905218"/>
          <a:ext cx="220028" cy="4283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15</xdr:col>
      <xdr:colOff>47149</xdr:colOff>
      <xdr:row>272</xdr:row>
      <xdr:rowOff>186243</xdr:rowOff>
    </xdr:from>
    <xdr:to>
      <xdr:col>15</xdr:col>
      <xdr:colOff>267177</xdr:colOff>
      <xdr:row>273</xdr:row>
      <xdr:rowOff>1</xdr:rowOff>
    </xdr:to>
    <xdr:sp macro="" textlink="">
      <xdr:nvSpPr>
        <xdr:cNvPr id="606" name="IMP_PAN_12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SpPr/>
      </xdr:nvSpPr>
      <xdr:spPr>
        <a:xfrm>
          <a:off x="5152549" y="37905243"/>
          <a:ext cx="220028" cy="4258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7</xdr:col>
      <xdr:colOff>47149</xdr:colOff>
      <xdr:row>272</xdr:row>
      <xdr:rowOff>186181</xdr:rowOff>
    </xdr:from>
    <xdr:to>
      <xdr:col>7</xdr:col>
      <xdr:colOff>267177</xdr:colOff>
      <xdr:row>273</xdr:row>
      <xdr:rowOff>1</xdr:rowOff>
    </xdr:to>
    <xdr:sp macro="" textlink="">
      <xdr:nvSpPr>
        <xdr:cNvPr id="607" name="IMP_PAN_4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/>
      </xdr:nvSpPr>
      <xdr:spPr>
        <a:xfrm>
          <a:off x="2637949" y="37905181"/>
          <a:ext cx="220028" cy="432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13</xdr:col>
      <xdr:colOff>47149</xdr:colOff>
      <xdr:row>272</xdr:row>
      <xdr:rowOff>186271</xdr:rowOff>
    </xdr:from>
    <xdr:to>
      <xdr:col>13</xdr:col>
      <xdr:colOff>267177</xdr:colOff>
      <xdr:row>273</xdr:row>
      <xdr:rowOff>1</xdr:rowOff>
    </xdr:to>
    <xdr:sp macro="" textlink="">
      <xdr:nvSpPr>
        <xdr:cNvPr id="608" name="IMP_PAN_10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/>
      </xdr:nvSpPr>
      <xdr:spPr>
        <a:xfrm>
          <a:off x="4523899" y="37905271"/>
          <a:ext cx="220028" cy="4230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47149</xdr:colOff>
      <xdr:row>272</xdr:row>
      <xdr:rowOff>186227</xdr:rowOff>
    </xdr:from>
    <xdr:to>
      <xdr:col>21</xdr:col>
      <xdr:colOff>267177</xdr:colOff>
      <xdr:row>273</xdr:row>
      <xdr:rowOff>1</xdr:rowOff>
    </xdr:to>
    <xdr:sp macro="" textlink="">
      <xdr:nvSpPr>
        <xdr:cNvPr id="609" name="IMP_PAN_18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/>
      </xdr:nvSpPr>
      <xdr:spPr>
        <a:xfrm>
          <a:off x="7038499" y="37905227"/>
          <a:ext cx="220028" cy="4274"/>
        </a:xfrm>
        <a:prstGeom prst="rect">
          <a:avLst/>
        </a:prstGeom>
        <a:solidFill>
          <a:schemeClr val="tx2">
            <a:lumMod val="75000"/>
          </a:schemeClr>
        </a:solidFill>
        <a:ln w="25400" cap="flat" cmpd="sng" algn="ctr">
          <a:noFill/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GB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</a:endParaRPr>
        </a:p>
      </xdr:txBody>
    </xdr:sp>
    <xdr:clientData/>
  </xdr:twoCellAnchor>
  <xdr:twoCellAnchor>
    <xdr:from>
      <xdr:col>21</xdr:col>
      <xdr:colOff>157163</xdr:colOff>
      <xdr:row>42</xdr:row>
      <xdr:rowOff>0</xdr:rowOff>
    </xdr:from>
    <xdr:to>
      <xdr:col>22</xdr:col>
      <xdr:colOff>157163</xdr:colOff>
      <xdr:row>42</xdr:row>
      <xdr:rowOff>0</xdr:rowOff>
    </xdr:to>
    <xdr:cxnSp macro="">
      <xdr:nvCxnSpPr>
        <xdr:cNvPr id="58701" name="Con1_550.5_390">
          <a:extLst>
            <a:ext uri="{FF2B5EF4-FFF2-40B4-BE49-F238E27FC236}">
              <a16:creationId xmlns:a16="http://schemas.microsoft.com/office/drawing/2014/main" id="{00000000-0008-0000-0000-00004DE50000}"/>
            </a:ext>
          </a:extLst>
        </xdr:cNvPr>
        <xdr:cNvCxnSpPr/>
      </xdr:nvCxnSpPr>
      <xdr:spPr>
        <a:xfrm>
          <a:off x="7148513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157163</xdr:colOff>
      <xdr:row>42</xdr:row>
      <xdr:rowOff>0</xdr:rowOff>
    </xdr:from>
    <xdr:to>
      <xdr:col>27</xdr:col>
      <xdr:colOff>157163</xdr:colOff>
      <xdr:row>42</xdr:row>
      <xdr:rowOff>0</xdr:rowOff>
    </xdr:to>
    <xdr:cxnSp macro="">
      <xdr:nvCxnSpPr>
        <xdr:cNvPr id="58703" name="Con1_674.25_390">
          <a:extLst>
            <a:ext uri="{FF2B5EF4-FFF2-40B4-BE49-F238E27FC236}">
              <a16:creationId xmlns:a16="http://schemas.microsoft.com/office/drawing/2014/main" id="{00000000-0008-0000-0000-00004FE50000}"/>
            </a:ext>
          </a:extLst>
        </xdr:cNvPr>
        <xdr:cNvCxnSpPr/>
      </xdr:nvCxnSpPr>
      <xdr:spPr>
        <a:xfrm>
          <a:off x="872013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157163</xdr:colOff>
      <xdr:row>42</xdr:row>
      <xdr:rowOff>0</xdr:rowOff>
    </xdr:from>
    <xdr:to>
      <xdr:col>6</xdr:col>
      <xdr:colOff>157163</xdr:colOff>
      <xdr:row>42</xdr:row>
      <xdr:rowOff>0</xdr:rowOff>
    </xdr:to>
    <xdr:cxnSp macro="">
      <xdr:nvCxnSpPr>
        <xdr:cNvPr id="58704" name="Con1_154.5_390">
          <a:extLst>
            <a:ext uri="{FF2B5EF4-FFF2-40B4-BE49-F238E27FC236}">
              <a16:creationId xmlns:a16="http://schemas.microsoft.com/office/drawing/2014/main" id="{00000000-0008-0000-0000-000050E50000}"/>
            </a:ext>
          </a:extLst>
        </xdr:cNvPr>
        <xdr:cNvCxnSpPr/>
      </xdr:nvCxnSpPr>
      <xdr:spPr>
        <a:xfrm>
          <a:off x="2119313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157163</xdr:colOff>
      <xdr:row>42</xdr:row>
      <xdr:rowOff>0</xdr:rowOff>
    </xdr:from>
    <xdr:to>
      <xdr:col>23</xdr:col>
      <xdr:colOff>157163</xdr:colOff>
      <xdr:row>42</xdr:row>
      <xdr:rowOff>0</xdr:rowOff>
    </xdr:to>
    <xdr:cxnSp macro="">
      <xdr:nvCxnSpPr>
        <xdr:cNvPr id="58705" name="Con1_575.25_390">
          <a:extLst>
            <a:ext uri="{FF2B5EF4-FFF2-40B4-BE49-F238E27FC236}">
              <a16:creationId xmlns:a16="http://schemas.microsoft.com/office/drawing/2014/main" id="{00000000-0008-0000-0000-000051E50000}"/>
            </a:ext>
          </a:extLst>
        </xdr:cNvPr>
        <xdr:cNvCxnSpPr/>
      </xdr:nvCxnSpPr>
      <xdr:spPr>
        <a:xfrm>
          <a:off x="746283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157163</xdr:colOff>
      <xdr:row>42</xdr:row>
      <xdr:rowOff>0</xdr:rowOff>
    </xdr:from>
    <xdr:to>
      <xdr:col>18</xdr:col>
      <xdr:colOff>157163</xdr:colOff>
      <xdr:row>42</xdr:row>
      <xdr:rowOff>0</xdr:rowOff>
    </xdr:to>
    <xdr:cxnSp macro="">
      <xdr:nvCxnSpPr>
        <xdr:cNvPr id="58706" name="Con1_451.5_390">
          <a:extLst>
            <a:ext uri="{FF2B5EF4-FFF2-40B4-BE49-F238E27FC236}">
              <a16:creationId xmlns:a16="http://schemas.microsoft.com/office/drawing/2014/main" id="{00000000-0008-0000-0000-000052E50000}"/>
            </a:ext>
          </a:extLst>
        </xdr:cNvPr>
        <xdr:cNvCxnSpPr/>
      </xdr:nvCxnSpPr>
      <xdr:spPr>
        <a:xfrm>
          <a:off x="5891213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157163</xdr:colOff>
      <xdr:row>42</xdr:row>
      <xdr:rowOff>0</xdr:rowOff>
    </xdr:from>
    <xdr:to>
      <xdr:col>5</xdr:col>
      <xdr:colOff>157163</xdr:colOff>
      <xdr:row>42</xdr:row>
      <xdr:rowOff>0</xdr:rowOff>
    </xdr:to>
    <xdr:cxnSp macro="">
      <xdr:nvCxnSpPr>
        <xdr:cNvPr id="58708" name="Con1_129.75_390">
          <a:extLst>
            <a:ext uri="{FF2B5EF4-FFF2-40B4-BE49-F238E27FC236}">
              <a16:creationId xmlns:a16="http://schemas.microsoft.com/office/drawing/2014/main" id="{00000000-0008-0000-0000-000054E50000}"/>
            </a:ext>
          </a:extLst>
        </xdr:cNvPr>
        <xdr:cNvCxnSpPr/>
      </xdr:nvCxnSpPr>
      <xdr:spPr>
        <a:xfrm>
          <a:off x="180498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157163</xdr:colOff>
      <xdr:row>42</xdr:row>
      <xdr:rowOff>0</xdr:rowOff>
    </xdr:from>
    <xdr:to>
      <xdr:col>21</xdr:col>
      <xdr:colOff>157163</xdr:colOff>
      <xdr:row>42</xdr:row>
      <xdr:rowOff>0</xdr:rowOff>
    </xdr:to>
    <xdr:cxnSp macro="">
      <xdr:nvCxnSpPr>
        <xdr:cNvPr id="58710" name="Con1_525.75_390">
          <a:extLst>
            <a:ext uri="{FF2B5EF4-FFF2-40B4-BE49-F238E27FC236}">
              <a16:creationId xmlns:a16="http://schemas.microsoft.com/office/drawing/2014/main" id="{00000000-0008-0000-0000-000056E50000}"/>
            </a:ext>
          </a:extLst>
        </xdr:cNvPr>
        <xdr:cNvCxnSpPr/>
      </xdr:nvCxnSpPr>
      <xdr:spPr>
        <a:xfrm>
          <a:off x="683418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157163</xdr:colOff>
      <xdr:row>42</xdr:row>
      <xdr:rowOff>0</xdr:rowOff>
    </xdr:from>
    <xdr:to>
      <xdr:col>13</xdr:col>
      <xdr:colOff>157163</xdr:colOff>
      <xdr:row>42</xdr:row>
      <xdr:rowOff>0</xdr:rowOff>
    </xdr:to>
    <xdr:cxnSp macro="">
      <xdr:nvCxnSpPr>
        <xdr:cNvPr id="58711" name="Con1_327.75_390">
          <a:extLst>
            <a:ext uri="{FF2B5EF4-FFF2-40B4-BE49-F238E27FC236}">
              <a16:creationId xmlns:a16="http://schemas.microsoft.com/office/drawing/2014/main" id="{00000000-0008-0000-0000-000057E50000}"/>
            </a:ext>
          </a:extLst>
        </xdr:cNvPr>
        <xdr:cNvCxnSpPr/>
      </xdr:nvCxnSpPr>
      <xdr:spPr>
        <a:xfrm>
          <a:off x="431958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157163</xdr:colOff>
      <xdr:row>42</xdr:row>
      <xdr:rowOff>0</xdr:rowOff>
    </xdr:from>
    <xdr:to>
      <xdr:col>17</xdr:col>
      <xdr:colOff>157163</xdr:colOff>
      <xdr:row>42</xdr:row>
      <xdr:rowOff>0</xdr:rowOff>
    </xdr:to>
    <xdr:cxnSp macro="">
      <xdr:nvCxnSpPr>
        <xdr:cNvPr id="58712" name="Con1_426.75_390">
          <a:extLst>
            <a:ext uri="{FF2B5EF4-FFF2-40B4-BE49-F238E27FC236}">
              <a16:creationId xmlns:a16="http://schemas.microsoft.com/office/drawing/2014/main" id="{00000000-0008-0000-0000-000058E50000}"/>
            </a:ext>
          </a:extLst>
        </xdr:cNvPr>
        <xdr:cNvCxnSpPr/>
      </xdr:nvCxnSpPr>
      <xdr:spPr>
        <a:xfrm>
          <a:off x="557688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157163</xdr:colOff>
      <xdr:row>42</xdr:row>
      <xdr:rowOff>0</xdr:rowOff>
    </xdr:from>
    <xdr:to>
      <xdr:col>19</xdr:col>
      <xdr:colOff>157163</xdr:colOff>
      <xdr:row>42</xdr:row>
      <xdr:rowOff>0</xdr:rowOff>
    </xdr:to>
    <xdr:cxnSp macro="">
      <xdr:nvCxnSpPr>
        <xdr:cNvPr id="58713" name="Con1_476.25_390">
          <a:extLst>
            <a:ext uri="{FF2B5EF4-FFF2-40B4-BE49-F238E27FC236}">
              <a16:creationId xmlns:a16="http://schemas.microsoft.com/office/drawing/2014/main" id="{00000000-0008-0000-0000-000059E50000}"/>
            </a:ext>
          </a:extLst>
        </xdr:cNvPr>
        <xdr:cNvCxnSpPr/>
      </xdr:nvCxnSpPr>
      <xdr:spPr>
        <a:xfrm>
          <a:off x="620553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157163</xdr:colOff>
      <xdr:row>42</xdr:row>
      <xdr:rowOff>0</xdr:rowOff>
    </xdr:from>
    <xdr:to>
      <xdr:col>14</xdr:col>
      <xdr:colOff>157163</xdr:colOff>
      <xdr:row>42</xdr:row>
      <xdr:rowOff>0</xdr:rowOff>
    </xdr:to>
    <xdr:cxnSp macro="">
      <xdr:nvCxnSpPr>
        <xdr:cNvPr id="58714" name="Con1_352.5_390">
          <a:extLst>
            <a:ext uri="{FF2B5EF4-FFF2-40B4-BE49-F238E27FC236}">
              <a16:creationId xmlns:a16="http://schemas.microsoft.com/office/drawing/2014/main" id="{00000000-0008-0000-0000-00005AE50000}"/>
            </a:ext>
          </a:extLst>
        </xdr:cNvPr>
        <xdr:cNvCxnSpPr/>
      </xdr:nvCxnSpPr>
      <xdr:spPr>
        <a:xfrm>
          <a:off x="4633913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157163</xdr:colOff>
      <xdr:row>42</xdr:row>
      <xdr:rowOff>0</xdr:rowOff>
    </xdr:from>
    <xdr:to>
      <xdr:col>15</xdr:col>
      <xdr:colOff>157163</xdr:colOff>
      <xdr:row>42</xdr:row>
      <xdr:rowOff>0</xdr:rowOff>
    </xdr:to>
    <xdr:cxnSp macro="">
      <xdr:nvCxnSpPr>
        <xdr:cNvPr id="58715" name="Con1_377.25_390">
          <a:extLst>
            <a:ext uri="{FF2B5EF4-FFF2-40B4-BE49-F238E27FC236}">
              <a16:creationId xmlns:a16="http://schemas.microsoft.com/office/drawing/2014/main" id="{00000000-0008-0000-0000-00005BE50000}"/>
            </a:ext>
          </a:extLst>
        </xdr:cNvPr>
        <xdr:cNvCxnSpPr/>
      </xdr:nvCxnSpPr>
      <xdr:spPr>
        <a:xfrm>
          <a:off x="494823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157163</xdr:colOff>
      <xdr:row>42</xdr:row>
      <xdr:rowOff>0</xdr:rowOff>
    </xdr:from>
    <xdr:to>
      <xdr:col>25</xdr:col>
      <xdr:colOff>157163</xdr:colOff>
      <xdr:row>42</xdr:row>
      <xdr:rowOff>0</xdr:rowOff>
    </xdr:to>
    <xdr:cxnSp macro="">
      <xdr:nvCxnSpPr>
        <xdr:cNvPr id="58716" name="Con1_624.75_390">
          <a:extLst>
            <a:ext uri="{FF2B5EF4-FFF2-40B4-BE49-F238E27FC236}">
              <a16:creationId xmlns:a16="http://schemas.microsoft.com/office/drawing/2014/main" id="{00000000-0008-0000-0000-00005CE50000}"/>
            </a:ext>
          </a:extLst>
        </xdr:cNvPr>
        <xdr:cNvCxnSpPr/>
      </xdr:nvCxnSpPr>
      <xdr:spPr>
        <a:xfrm>
          <a:off x="809148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157163</xdr:colOff>
      <xdr:row>42</xdr:row>
      <xdr:rowOff>0</xdr:rowOff>
    </xdr:from>
    <xdr:to>
      <xdr:col>9</xdr:col>
      <xdr:colOff>157163</xdr:colOff>
      <xdr:row>42</xdr:row>
      <xdr:rowOff>0</xdr:rowOff>
    </xdr:to>
    <xdr:cxnSp macro="">
      <xdr:nvCxnSpPr>
        <xdr:cNvPr id="58717" name="Con1_228.75_390">
          <a:extLst>
            <a:ext uri="{FF2B5EF4-FFF2-40B4-BE49-F238E27FC236}">
              <a16:creationId xmlns:a16="http://schemas.microsoft.com/office/drawing/2014/main" id="{00000000-0008-0000-0000-00005DE50000}"/>
            </a:ext>
          </a:extLst>
        </xdr:cNvPr>
        <xdr:cNvCxnSpPr/>
      </xdr:nvCxnSpPr>
      <xdr:spPr>
        <a:xfrm>
          <a:off x="306228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157163</xdr:colOff>
      <xdr:row>42</xdr:row>
      <xdr:rowOff>0</xdr:rowOff>
    </xdr:from>
    <xdr:to>
      <xdr:col>11</xdr:col>
      <xdr:colOff>157163</xdr:colOff>
      <xdr:row>42</xdr:row>
      <xdr:rowOff>0</xdr:rowOff>
    </xdr:to>
    <xdr:cxnSp macro="">
      <xdr:nvCxnSpPr>
        <xdr:cNvPr id="58719" name="Con1_278.25_390">
          <a:extLst>
            <a:ext uri="{FF2B5EF4-FFF2-40B4-BE49-F238E27FC236}">
              <a16:creationId xmlns:a16="http://schemas.microsoft.com/office/drawing/2014/main" id="{00000000-0008-0000-0000-00005FE50000}"/>
            </a:ext>
          </a:extLst>
        </xdr:cNvPr>
        <xdr:cNvCxnSpPr/>
      </xdr:nvCxnSpPr>
      <xdr:spPr>
        <a:xfrm>
          <a:off x="369093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157163</xdr:colOff>
      <xdr:row>42</xdr:row>
      <xdr:rowOff>0</xdr:rowOff>
    </xdr:from>
    <xdr:to>
      <xdr:col>10</xdr:col>
      <xdr:colOff>157163</xdr:colOff>
      <xdr:row>42</xdr:row>
      <xdr:rowOff>0</xdr:rowOff>
    </xdr:to>
    <xdr:cxnSp macro="">
      <xdr:nvCxnSpPr>
        <xdr:cNvPr id="58720" name="Con1_253.5_390">
          <a:extLst>
            <a:ext uri="{FF2B5EF4-FFF2-40B4-BE49-F238E27FC236}">
              <a16:creationId xmlns:a16="http://schemas.microsoft.com/office/drawing/2014/main" id="{00000000-0008-0000-0000-000060E50000}"/>
            </a:ext>
          </a:extLst>
        </xdr:cNvPr>
        <xdr:cNvCxnSpPr/>
      </xdr:nvCxnSpPr>
      <xdr:spPr>
        <a:xfrm>
          <a:off x="3376613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157163</xdr:colOff>
      <xdr:row>42</xdr:row>
      <xdr:rowOff>0</xdr:rowOff>
    </xdr:from>
    <xdr:to>
      <xdr:col>26</xdr:col>
      <xdr:colOff>157163</xdr:colOff>
      <xdr:row>42</xdr:row>
      <xdr:rowOff>0</xdr:rowOff>
    </xdr:to>
    <xdr:cxnSp macro="">
      <xdr:nvCxnSpPr>
        <xdr:cNvPr id="58721" name="Con1_649.5_390">
          <a:extLst>
            <a:ext uri="{FF2B5EF4-FFF2-40B4-BE49-F238E27FC236}">
              <a16:creationId xmlns:a16="http://schemas.microsoft.com/office/drawing/2014/main" id="{00000000-0008-0000-0000-000061E50000}"/>
            </a:ext>
          </a:extLst>
        </xdr:cNvPr>
        <xdr:cNvCxnSpPr/>
      </xdr:nvCxnSpPr>
      <xdr:spPr>
        <a:xfrm>
          <a:off x="8405813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157163</xdr:colOff>
      <xdr:row>42</xdr:row>
      <xdr:rowOff>0</xdr:rowOff>
    </xdr:from>
    <xdr:to>
      <xdr:col>7</xdr:col>
      <xdr:colOff>157163</xdr:colOff>
      <xdr:row>42</xdr:row>
      <xdr:rowOff>0</xdr:rowOff>
    </xdr:to>
    <xdr:cxnSp macro="">
      <xdr:nvCxnSpPr>
        <xdr:cNvPr id="58722" name="Con1_179.25_390">
          <a:extLst>
            <a:ext uri="{FF2B5EF4-FFF2-40B4-BE49-F238E27FC236}">
              <a16:creationId xmlns:a16="http://schemas.microsoft.com/office/drawing/2014/main" id="{00000000-0008-0000-0000-000062E50000}"/>
            </a:ext>
          </a:extLst>
        </xdr:cNvPr>
        <xdr:cNvCxnSpPr/>
      </xdr:nvCxnSpPr>
      <xdr:spPr>
        <a:xfrm>
          <a:off x="2433638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157162</xdr:colOff>
      <xdr:row>42</xdr:row>
      <xdr:rowOff>0</xdr:rowOff>
    </xdr:from>
    <xdr:to>
      <xdr:col>14</xdr:col>
      <xdr:colOff>157162</xdr:colOff>
      <xdr:row>42</xdr:row>
      <xdr:rowOff>0</xdr:rowOff>
    </xdr:to>
    <xdr:cxnSp macro="">
      <xdr:nvCxnSpPr>
        <xdr:cNvPr id="1760" name="Con1_352,5_480">
          <a:extLst>
            <a:ext uri="{FF2B5EF4-FFF2-40B4-BE49-F238E27FC236}">
              <a16:creationId xmlns:a16="http://schemas.microsoft.com/office/drawing/2014/main" id="{00000000-0008-0000-0000-0000E0060000}"/>
            </a:ext>
          </a:extLst>
        </xdr:cNvPr>
        <xdr:cNvCxnSpPr/>
      </xdr:nvCxnSpPr>
      <xdr:spPr>
        <a:xfrm>
          <a:off x="463391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157162</xdr:colOff>
      <xdr:row>42</xdr:row>
      <xdr:rowOff>0</xdr:rowOff>
    </xdr:from>
    <xdr:to>
      <xdr:col>17</xdr:col>
      <xdr:colOff>157162</xdr:colOff>
      <xdr:row>42</xdr:row>
      <xdr:rowOff>0</xdr:rowOff>
    </xdr:to>
    <xdr:cxnSp macro="">
      <xdr:nvCxnSpPr>
        <xdr:cNvPr id="1761" name="Con1_426,75_480">
          <a:extLst>
            <a:ext uri="{FF2B5EF4-FFF2-40B4-BE49-F238E27FC236}">
              <a16:creationId xmlns:a16="http://schemas.microsoft.com/office/drawing/2014/main" id="{00000000-0008-0000-0000-0000E1060000}"/>
            </a:ext>
          </a:extLst>
        </xdr:cNvPr>
        <xdr:cNvCxnSpPr/>
      </xdr:nvCxnSpPr>
      <xdr:spPr>
        <a:xfrm>
          <a:off x="557688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157162</xdr:colOff>
      <xdr:row>42</xdr:row>
      <xdr:rowOff>0</xdr:rowOff>
    </xdr:from>
    <xdr:to>
      <xdr:col>5</xdr:col>
      <xdr:colOff>157162</xdr:colOff>
      <xdr:row>42</xdr:row>
      <xdr:rowOff>0</xdr:rowOff>
    </xdr:to>
    <xdr:cxnSp macro="">
      <xdr:nvCxnSpPr>
        <xdr:cNvPr id="1762" name="Con1_129,75_480">
          <a:extLst>
            <a:ext uri="{FF2B5EF4-FFF2-40B4-BE49-F238E27FC236}">
              <a16:creationId xmlns:a16="http://schemas.microsoft.com/office/drawing/2014/main" id="{00000000-0008-0000-0000-0000E2060000}"/>
            </a:ext>
          </a:extLst>
        </xdr:cNvPr>
        <xdr:cNvCxnSpPr/>
      </xdr:nvCxnSpPr>
      <xdr:spPr>
        <a:xfrm>
          <a:off x="180498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157162</xdr:colOff>
      <xdr:row>42</xdr:row>
      <xdr:rowOff>0</xdr:rowOff>
    </xdr:from>
    <xdr:to>
      <xdr:col>15</xdr:col>
      <xdr:colOff>157162</xdr:colOff>
      <xdr:row>42</xdr:row>
      <xdr:rowOff>0</xdr:rowOff>
    </xdr:to>
    <xdr:cxnSp macro="">
      <xdr:nvCxnSpPr>
        <xdr:cNvPr id="1763" name="Con1_377,25_480">
          <a:extLst>
            <a:ext uri="{FF2B5EF4-FFF2-40B4-BE49-F238E27FC236}">
              <a16:creationId xmlns:a16="http://schemas.microsoft.com/office/drawing/2014/main" id="{00000000-0008-0000-0000-0000E3060000}"/>
            </a:ext>
          </a:extLst>
        </xdr:cNvPr>
        <xdr:cNvCxnSpPr/>
      </xdr:nvCxnSpPr>
      <xdr:spPr>
        <a:xfrm>
          <a:off x="494823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157162</xdr:colOff>
      <xdr:row>42</xdr:row>
      <xdr:rowOff>0</xdr:rowOff>
    </xdr:from>
    <xdr:to>
      <xdr:col>19</xdr:col>
      <xdr:colOff>157162</xdr:colOff>
      <xdr:row>42</xdr:row>
      <xdr:rowOff>0</xdr:rowOff>
    </xdr:to>
    <xdr:cxnSp macro="">
      <xdr:nvCxnSpPr>
        <xdr:cNvPr id="1764" name="Con1_476,25_480">
          <a:extLst>
            <a:ext uri="{FF2B5EF4-FFF2-40B4-BE49-F238E27FC236}">
              <a16:creationId xmlns:a16="http://schemas.microsoft.com/office/drawing/2014/main" id="{00000000-0008-0000-0000-0000E4060000}"/>
            </a:ext>
          </a:extLst>
        </xdr:cNvPr>
        <xdr:cNvCxnSpPr/>
      </xdr:nvCxnSpPr>
      <xdr:spPr>
        <a:xfrm>
          <a:off x="620553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42</xdr:row>
      <xdr:rowOff>0</xdr:rowOff>
    </xdr:from>
    <xdr:to>
      <xdr:col>9</xdr:col>
      <xdr:colOff>157162</xdr:colOff>
      <xdr:row>42</xdr:row>
      <xdr:rowOff>0</xdr:rowOff>
    </xdr:to>
    <xdr:cxnSp macro="">
      <xdr:nvCxnSpPr>
        <xdr:cNvPr id="1765" name="Con1_228,75_480">
          <a:extLst>
            <a:ext uri="{FF2B5EF4-FFF2-40B4-BE49-F238E27FC236}">
              <a16:creationId xmlns:a16="http://schemas.microsoft.com/office/drawing/2014/main" id="{00000000-0008-0000-0000-0000E5060000}"/>
            </a:ext>
          </a:extLst>
        </xdr:cNvPr>
        <xdr:cNvCxnSpPr/>
      </xdr:nvCxnSpPr>
      <xdr:spPr>
        <a:xfrm>
          <a:off x="306228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42</xdr:row>
      <xdr:rowOff>0</xdr:rowOff>
    </xdr:from>
    <xdr:to>
      <xdr:col>8</xdr:col>
      <xdr:colOff>157162</xdr:colOff>
      <xdr:row>42</xdr:row>
      <xdr:rowOff>0</xdr:rowOff>
    </xdr:to>
    <xdr:cxnSp macro="">
      <xdr:nvCxnSpPr>
        <xdr:cNvPr id="1766" name="Con1_204_480">
          <a:extLst>
            <a:ext uri="{FF2B5EF4-FFF2-40B4-BE49-F238E27FC236}">
              <a16:creationId xmlns:a16="http://schemas.microsoft.com/office/drawing/2014/main" id="{00000000-0008-0000-0000-0000E6060000}"/>
            </a:ext>
          </a:extLst>
        </xdr:cNvPr>
        <xdr:cNvCxnSpPr/>
      </xdr:nvCxnSpPr>
      <xdr:spPr>
        <a:xfrm>
          <a:off x="274796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157162</xdr:colOff>
      <xdr:row>42</xdr:row>
      <xdr:rowOff>0</xdr:rowOff>
    </xdr:from>
    <xdr:to>
      <xdr:col>20</xdr:col>
      <xdr:colOff>157162</xdr:colOff>
      <xdr:row>42</xdr:row>
      <xdr:rowOff>0</xdr:rowOff>
    </xdr:to>
    <xdr:cxnSp macro="">
      <xdr:nvCxnSpPr>
        <xdr:cNvPr id="1767" name="Con1_501_480">
          <a:extLst>
            <a:ext uri="{FF2B5EF4-FFF2-40B4-BE49-F238E27FC236}">
              <a16:creationId xmlns:a16="http://schemas.microsoft.com/office/drawing/2014/main" id="{00000000-0008-0000-0000-0000E7060000}"/>
            </a:ext>
          </a:extLst>
        </xdr:cNvPr>
        <xdr:cNvCxnSpPr/>
      </xdr:nvCxnSpPr>
      <xdr:spPr>
        <a:xfrm>
          <a:off x="651986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157162</xdr:colOff>
      <xdr:row>42</xdr:row>
      <xdr:rowOff>0</xdr:rowOff>
    </xdr:from>
    <xdr:to>
      <xdr:col>27</xdr:col>
      <xdr:colOff>157162</xdr:colOff>
      <xdr:row>42</xdr:row>
      <xdr:rowOff>0</xdr:rowOff>
    </xdr:to>
    <xdr:cxnSp macro="">
      <xdr:nvCxnSpPr>
        <xdr:cNvPr id="1768" name="Con1_674,25_480">
          <a:extLst>
            <a:ext uri="{FF2B5EF4-FFF2-40B4-BE49-F238E27FC236}">
              <a16:creationId xmlns:a16="http://schemas.microsoft.com/office/drawing/2014/main" id="{00000000-0008-0000-0000-0000E8060000}"/>
            </a:ext>
          </a:extLst>
        </xdr:cNvPr>
        <xdr:cNvCxnSpPr/>
      </xdr:nvCxnSpPr>
      <xdr:spPr>
        <a:xfrm>
          <a:off x="872013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157162</xdr:colOff>
      <xdr:row>42</xdr:row>
      <xdr:rowOff>0</xdr:rowOff>
    </xdr:from>
    <xdr:to>
      <xdr:col>23</xdr:col>
      <xdr:colOff>157162</xdr:colOff>
      <xdr:row>42</xdr:row>
      <xdr:rowOff>0</xdr:rowOff>
    </xdr:to>
    <xdr:cxnSp macro="">
      <xdr:nvCxnSpPr>
        <xdr:cNvPr id="1769" name="Con1_575,25_480">
          <a:extLst>
            <a:ext uri="{FF2B5EF4-FFF2-40B4-BE49-F238E27FC236}">
              <a16:creationId xmlns:a16="http://schemas.microsoft.com/office/drawing/2014/main" id="{00000000-0008-0000-0000-0000E9060000}"/>
            </a:ext>
          </a:extLst>
        </xdr:cNvPr>
        <xdr:cNvCxnSpPr/>
      </xdr:nvCxnSpPr>
      <xdr:spPr>
        <a:xfrm>
          <a:off x="746283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42</xdr:row>
      <xdr:rowOff>0</xdr:rowOff>
    </xdr:from>
    <xdr:to>
      <xdr:col>18</xdr:col>
      <xdr:colOff>157162</xdr:colOff>
      <xdr:row>42</xdr:row>
      <xdr:rowOff>0</xdr:rowOff>
    </xdr:to>
    <xdr:cxnSp macro="">
      <xdr:nvCxnSpPr>
        <xdr:cNvPr id="1770" name="Con1_451,5_480">
          <a:extLst>
            <a:ext uri="{FF2B5EF4-FFF2-40B4-BE49-F238E27FC236}">
              <a16:creationId xmlns:a16="http://schemas.microsoft.com/office/drawing/2014/main" id="{00000000-0008-0000-0000-0000EA060000}"/>
            </a:ext>
          </a:extLst>
        </xdr:cNvPr>
        <xdr:cNvCxnSpPr/>
      </xdr:nvCxnSpPr>
      <xdr:spPr>
        <a:xfrm>
          <a:off x="589121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157162</xdr:colOff>
      <xdr:row>42</xdr:row>
      <xdr:rowOff>0</xdr:rowOff>
    </xdr:from>
    <xdr:to>
      <xdr:col>21</xdr:col>
      <xdr:colOff>157162</xdr:colOff>
      <xdr:row>42</xdr:row>
      <xdr:rowOff>0</xdr:rowOff>
    </xdr:to>
    <xdr:cxnSp macro="">
      <xdr:nvCxnSpPr>
        <xdr:cNvPr id="1771" name="Con1_525,75_480">
          <a:extLst>
            <a:ext uri="{FF2B5EF4-FFF2-40B4-BE49-F238E27FC236}">
              <a16:creationId xmlns:a16="http://schemas.microsoft.com/office/drawing/2014/main" id="{00000000-0008-0000-0000-0000EB060000}"/>
            </a:ext>
          </a:extLst>
        </xdr:cNvPr>
        <xdr:cNvCxnSpPr/>
      </xdr:nvCxnSpPr>
      <xdr:spPr>
        <a:xfrm>
          <a:off x="683418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157162</xdr:colOff>
      <xdr:row>42</xdr:row>
      <xdr:rowOff>0</xdr:rowOff>
    </xdr:from>
    <xdr:to>
      <xdr:col>12</xdr:col>
      <xdr:colOff>157162</xdr:colOff>
      <xdr:row>42</xdr:row>
      <xdr:rowOff>0</xdr:rowOff>
    </xdr:to>
    <xdr:cxnSp macro="">
      <xdr:nvCxnSpPr>
        <xdr:cNvPr id="1772" name="Con1_303_480">
          <a:extLst>
            <a:ext uri="{FF2B5EF4-FFF2-40B4-BE49-F238E27FC236}">
              <a16:creationId xmlns:a16="http://schemas.microsoft.com/office/drawing/2014/main" id="{00000000-0008-0000-0000-0000EC060000}"/>
            </a:ext>
          </a:extLst>
        </xdr:cNvPr>
        <xdr:cNvCxnSpPr/>
      </xdr:nvCxnSpPr>
      <xdr:spPr>
        <a:xfrm>
          <a:off x="400526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157162</xdr:colOff>
      <xdr:row>42</xdr:row>
      <xdr:rowOff>0</xdr:rowOff>
    </xdr:from>
    <xdr:to>
      <xdr:col>13</xdr:col>
      <xdr:colOff>157162</xdr:colOff>
      <xdr:row>42</xdr:row>
      <xdr:rowOff>0</xdr:rowOff>
    </xdr:to>
    <xdr:cxnSp macro="">
      <xdr:nvCxnSpPr>
        <xdr:cNvPr id="1773" name="Con1_327,75_480">
          <a:extLst>
            <a:ext uri="{FF2B5EF4-FFF2-40B4-BE49-F238E27FC236}">
              <a16:creationId xmlns:a16="http://schemas.microsoft.com/office/drawing/2014/main" id="{00000000-0008-0000-0000-0000ED060000}"/>
            </a:ext>
          </a:extLst>
        </xdr:cNvPr>
        <xdr:cNvCxnSpPr/>
      </xdr:nvCxnSpPr>
      <xdr:spPr>
        <a:xfrm>
          <a:off x="431958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157162</xdr:colOff>
      <xdr:row>42</xdr:row>
      <xdr:rowOff>0</xdr:rowOff>
    </xdr:from>
    <xdr:to>
      <xdr:col>6</xdr:col>
      <xdr:colOff>157162</xdr:colOff>
      <xdr:row>42</xdr:row>
      <xdr:rowOff>0</xdr:rowOff>
    </xdr:to>
    <xdr:cxnSp macro="">
      <xdr:nvCxnSpPr>
        <xdr:cNvPr id="1774" name="Con1_154,5_480">
          <a:extLst>
            <a:ext uri="{FF2B5EF4-FFF2-40B4-BE49-F238E27FC236}">
              <a16:creationId xmlns:a16="http://schemas.microsoft.com/office/drawing/2014/main" id="{00000000-0008-0000-0000-0000EE060000}"/>
            </a:ext>
          </a:extLst>
        </xdr:cNvPr>
        <xdr:cNvCxnSpPr/>
      </xdr:nvCxnSpPr>
      <xdr:spPr>
        <a:xfrm>
          <a:off x="211931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157162</xdr:colOff>
      <xdr:row>42</xdr:row>
      <xdr:rowOff>0</xdr:rowOff>
    </xdr:from>
    <xdr:to>
      <xdr:col>16</xdr:col>
      <xdr:colOff>157162</xdr:colOff>
      <xdr:row>42</xdr:row>
      <xdr:rowOff>0</xdr:rowOff>
    </xdr:to>
    <xdr:cxnSp macro="">
      <xdr:nvCxnSpPr>
        <xdr:cNvPr id="1775" name="Con1_402_480">
          <a:extLst>
            <a:ext uri="{FF2B5EF4-FFF2-40B4-BE49-F238E27FC236}">
              <a16:creationId xmlns:a16="http://schemas.microsoft.com/office/drawing/2014/main" id="{00000000-0008-0000-0000-0000EF060000}"/>
            </a:ext>
          </a:extLst>
        </xdr:cNvPr>
        <xdr:cNvCxnSpPr/>
      </xdr:nvCxnSpPr>
      <xdr:spPr>
        <a:xfrm>
          <a:off x="526256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157162</xdr:colOff>
      <xdr:row>42</xdr:row>
      <xdr:rowOff>0</xdr:rowOff>
    </xdr:from>
    <xdr:to>
      <xdr:col>10</xdr:col>
      <xdr:colOff>157162</xdr:colOff>
      <xdr:row>42</xdr:row>
      <xdr:rowOff>0</xdr:rowOff>
    </xdr:to>
    <xdr:cxnSp macro="">
      <xdr:nvCxnSpPr>
        <xdr:cNvPr id="1776" name="Con1_253,5_480">
          <a:extLst>
            <a:ext uri="{FF2B5EF4-FFF2-40B4-BE49-F238E27FC236}">
              <a16:creationId xmlns:a16="http://schemas.microsoft.com/office/drawing/2014/main" id="{00000000-0008-0000-0000-0000F0060000}"/>
            </a:ext>
          </a:extLst>
        </xdr:cNvPr>
        <xdr:cNvCxnSpPr/>
      </xdr:nvCxnSpPr>
      <xdr:spPr>
        <a:xfrm>
          <a:off x="337661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157162</xdr:colOff>
      <xdr:row>42</xdr:row>
      <xdr:rowOff>0</xdr:rowOff>
    </xdr:from>
    <xdr:to>
      <xdr:col>7</xdr:col>
      <xdr:colOff>157162</xdr:colOff>
      <xdr:row>42</xdr:row>
      <xdr:rowOff>0</xdr:rowOff>
    </xdr:to>
    <xdr:cxnSp macro="">
      <xdr:nvCxnSpPr>
        <xdr:cNvPr id="1777" name="Con1_179,25_480">
          <a:extLst>
            <a:ext uri="{FF2B5EF4-FFF2-40B4-BE49-F238E27FC236}">
              <a16:creationId xmlns:a16="http://schemas.microsoft.com/office/drawing/2014/main" id="{00000000-0008-0000-0000-0000F1060000}"/>
            </a:ext>
          </a:extLst>
        </xdr:cNvPr>
        <xdr:cNvCxnSpPr/>
      </xdr:nvCxnSpPr>
      <xdr:spPr>
        <a:xfrm>
          <a:off x="243363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157162</xdr:colOff>
      <xdr:row>42</xdr:row>
      <xdr:rowOff>0</xdr:rowOff>
    </xdr:from>
    <xdr:to>
      <xdr:col>26</xdr:col>
      <xdr:colOff>157162</xdr:colOff>
      <xdr:row>42</xdr:row>
      <xdr:rowOff>0</xdr:rowOff>
    </xdr:to>
    <xdr:cxnSp macro="">
      <xdr:nvCxnSpPr>
        <xdr:cNvPr id="1778" name="Con1_649,5_480">
          <a:extLst>
            <a:ext uri="{FF2B5EF4-FFF2-40B4-BE49-F238E27FC236}">
              <a16:creationId xmlns:a16="http://schemas.microsoft.com/office/drawing/2014/main" id="{00000000-0008-0000-0000-0000F2060000}"/>
            </a:ext>
          </a:extLst>
        </xdr:cNvPr>
        <xdr:cNvCxnSpPr/>
      </xdr:nvCxnSpPr>
      <xdr:spPr>
        <a:xfrm>
          <a:off x="840581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157162</xdr:colOff>
      <xdr:row>42</xdr:row>
      <xdr:rowOff>0</xdr:rowOff>
    </xdr:from>
    <xdr:to>
      <xdr:col>24</xdr:col>
      <xdr:colOff>157162</xdr:colOff>
      <xdr:row>42</xdr:row>
      <xdr:rowOff>0</xdr:rowOff>
    </xdr:to>
    <xdr:cxnSp macro="">
      <xdr:nvCxnSpPr>
        <xdr:cNvPr id="1779" name="Con1_600_480">
          <a:extLst>
            <a:ext uri="{FF2B5EF4-FFF2-40B4-BE49-F238E27FC236}">
              <a16:creationId xmlns:a16="http://schemas.microsoft.com/office/drawing/2014/main" id="{00000000-0008-0000-0000-0000F3060000}"/>
            </a:ext>
          </a:extLst>
        </xdr:cNvPr>
        <xdr:cNvCxnSpPr/>
      </xdr:nvCxnSpPr>
      <xdr:spPr>
        <a:xfrm>
          <a:off x="777716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157162</xdr:colOff>
      <xdr:row>42</xdr:row>
      <xdr:rowOff>0</xdr:rowOff>
    </xdr:from>
    <xdr:to>
      <xdr:col>22</xdr:col>
      <xdr:colOff>157162</xdr:colOff>
      <xdr:row>42</xdr:row>
      <xdr:rowOff>0</xdr:rowOff>
    </xdr:to>
    <xdr:cxnSp macro="">
      <xdr:nvCxnSpPr>
        <xdr:cNvPr id="1780" name="Con1_550,5_480">
          <a:extLst>
            <a:ext uri="{FF2B5EF4-FFF2-40B4-BE49-F238E27FC236}">
              <a16:creationId xmlns:a16="http://schemas.microsoft.com/office/drawing/2014/main" id="{00000000-0008-0000-0000-0000F4060000}"/>
            </a:ext>
          </a:extLst>
        </xdr:cNvPr>
        <xdr:cNvCxnSpPr/>
      </xdr:nvCxnSpPr>
      <xdr:spPr>
        <a:xfrm>
          <a:off x="7148512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157162</xdr:colOff>
      <xdr:row>42</xdr:row>
      <xdr:rowOff>0</xdr:rowOff>
    </xdr:from>
    <xdr:to>
      <xdr:col>11</xdr:col>
      <xdr:colOff>157162</xdr:colOff>
      <xdr:row>42</xdr:row>
      <xdr:rowOff>0</xdr:rowOff>
    </xdr:to>
    <xdr:cxnSp macro="">
      <xdr:nvCxnSpPr>
        <xdr:cNvPr id="1781" name="Con1_278,25_480">
          <a:extLst>
            <a:ext uri="{FF2B5EF4-FFF2-40B4-BE49-F238E27FC236}">
              <a16:creationId xmlns:a16="http://schemas.microsoft.com/office/drawing/2014/main" id="{00000000-0008-0000-0000-0000F5060000}"/>
            </a:ext>
          </a:extLst>
        </xdr:cNvPr>
        <xdr:cNvCxnSpPr/>
      </xdr:nvCxnSpPr>
      <xdr:spPr>
        <a:xfrm>
          <a:off x="369093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157162</xdr:colOff>
      <xdr:row>42</xdr:row>
      <xdr:rowOff>0</xdr:rowOff>
    </xdr:from>
    <xdr:to>
      <xdr:col>25</xdr:col>
      <xdr:colOff>157162</xdr:colOff>
      <xdr:row>42</xdr:row>
      <xdr:rowOff>0</xdr:rowOff>
    </xdr:to>
    <xdr:cxnSp macro="">
      <xdr:nvCxnSpPr>
        <xdr:cNvPr id="1782" name="Con1_624,75_480">
          <a:extLst>
            <a:ext uri="{FF2B5EF4-FFF2-40B4-BE49-F238E27FC236}">
              <a16:creationId xmlns:a16="http://schemas.microsoft.com/office/drawing/2014/main" id="{00000000-0008-0000-0000-0000F6060000}"/>
            </a:ext>
          </a:extLst>
        </xdr:cNvPr>
        <xdr:cNvCxnSpPr/>
      </xdr:nvCxnSpPr>
      <xdr:spPr>
        <a:xfrm>
          <a:off x="8091487" y="7620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157162</xdr:colOff>
      <xdr:row>42</xdr:row>
      <xdr:rowOff>0</xdr:rowOff>
    </xdr:from>
    <xdr:to>
      <xdr:col>21</xdr:col>
      <xdr:colOff>157162</xdr:colOff>
      <xdr:row>42</xdr:row>
      <xdr:rowOff>0</xdr:rowOff>
    </xdr:to>
    <xdr:cxnSp macro="">
      <xdr:nvCxnSpPr>
        <xdr:cNvPr id="820" name="Con1_525,75_390">
          <a:extLst>
            <a:ext uri="{FF2B5EF4-FFF2-40B4-BE49-F238E27FC236}">
              <a16:creationId xmlns:a16="http://schemas.microsoft.com/office/drawing/2014/main" id="{00000000-0008-0000-0000-000034030000}"/>
            </a:ext>
          </a:extLst>
        </xdr:cNvPr>
        <xdr:cNvCxnSpPr/>
      </xdr:nvCxnSpPr>
      <xdr:spPr>
        <a:xfrm>
          <a:off x="683418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157162</xdr:colOff>
      <xdr:row>42</xdr:row>
      <xdr:rowOff>0</xdr:rowOff>
    </xdr:from>
    <xdr:to>
      <xdr:col>14</xdr:col>
      <xdr:colOff>157162</xdr:colOff>
      <xdr:row>42</xdr:row>
      <xdr:rowOff>0</xdr:rowOff>
    </xdr:to>
    <xdr:cxnSp macro="">
      <xdr:nvCxnSpPr>
        <xdr:cNvPr id="821" name="Con1_352,5_390">
          <a:extLst>
            <a:ext uri="{FF2B5EF4-FFF2-40B4-BE49-F238E27FC236}">
              <a16:creationId xmlns:a16="http://schemas.microsoft.com/office/drawing/2014/main" id="{00000000-0008-0000-0000-000035030000}"/>
            </a:ext>
          </a:extLst>
        </xdr:cNvPr>
        <xdr:cNvCxnSpPr/>
      </xdr:nvCxnSpPr>
      <xdr:spPr>
        <a:xfrm>
          <a:off x="463391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157162</xdr:colOff>
      <xdr:row>42</xdr:row>
      <xdr:rowOff>0</xdr:rowOff>
    </xdr:from>
    <xdr:to>
      <xdr:col>17</xdr:col>
      <xdr:colOff>157162</xdr:colOff>
      <xdr:row>42</xdr:row>
      <xdr:rowOff>0</xdr:rowOff>
    </xdr:to>
    <xdr:cxnSp macro="">
      <xdr:nvCxnSpPr>
        <xdr:cNvPr id="832" name="Con1_426,75_390">
          <a:extLst>
            <a:ext uri="{FF2B5EF4-FFF2-40B4-BE49-F238E27FC236}">
              <a16:creationId xmlns:a16="http://schemas.microsoft.com/office/drawing/2014/main" id="{00000000-0008-0000-0000-000040030000}"/>
            </a:ext>
          </a:extLst>
        </xdr:cNvPr>
        <xdr:cNvCxnSpPr/>
      </xdr:nvCxnSpPr>
      <xdr:spPr>
        <a:xfrm>
          <a:off x="557688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157162</xdr:colOff>
      <xdr:row>42</xdr:row>
      <xdr:rowOff>0</xdr:rowOff>
    </xdr:from>
    <xdr:to>
      <xdr:col>15</xdr:col>
      <xdr:colOff>157162</xdr:colOff>
      <xdr:row>42</xdr:row>
      <xdr:rowOff>0</xdr:rowOff>
    </xdr:to>
    <xdr:cxnSp macro="">
      <xdr:nvCxnSpPr>
        <xdr:cNvPr id="833" name="Con1_377,25_390">
          <a:extLst>
            <a:ext uri="{FF2B5EF4-FFF2-40B4-BE49-F238E27FC236}">
              <a16:creationId xmlns:a16="http://schemas.microsoft.com/office/drawing/2014/main" id="{00000000-0008-0000-0000-000041030000}"/>
            </a:ext>
          </a:extLst>
        </xdr:cNvPr>
        <xdr:cNvCxnSpPr/>
      </xdr:nvCxnSpPr>
      <xdr:spPr>
        <a:xfrm>
          <a:off x="494823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157162</xdr:colOff>
      <xdr:row>42</xdr:row>
      <xdr:rowOff>0</xdr:rowOff>
    </xdr:from>
    <xdr:to>
      <xdr:col>19</xdr:col>
      <xdr:colOff>157162</xdr:colOff>
      <xdr:row>42</xdr:row>
      <xdr:rowOff>0</xdr:rowOff>
    </xdr:to>
    <xdr:cxnSp macro="">
      <xdr:nvCxnSpPr>
        <xdr:cNvPr id="834" name="Con1_476,25_390">
          <a:extLst>
            <a:ext uri="{FF2B5EF4-FFF2-40B4-BE49-F238E27FC236}">
              <a16:creationId xmlns:a16="http://schemas.microsoft.com/office/drawing/2014/main" id="{00000000-0008-0000-0000-000042030000}"/>
            </a:ext>
          </a:extLst>
        </xdr:cNvPr>
        <xdr:cNvCxnSpPr/>
      </xdr:nvCxnSpPr>
      <xdr:spPr>
        <a:xfrm>
          <a:off x="620553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157162</xdr:colOff>
      <xdr:row>42</xdr:row>
      <xdr:rowOff>0</xdr:rowOff>
    </xdr:from>
    <xdr:to>
      <xdr:col>24</xdr:col>
      <xdr:colOff>157162</xdr:colOff>
      <xdr:row>42</xdr:row>
      <xdr:rowOff>0</xdr:rowOff>
    </xdr:to>
    <xdr:cxnSp macro="">
      <xdr:nvCxnSpPr>
        <xdr:cNvPr id="835" name="Con1_600_390">
          <a:extLst>
            <a:ext uri="{FF2B5EF4-FFF2-40B4-BE49-F238E27FC236}">
              <a16:creationId xmlns:a16="http://schemas.microsoft.com/office/drawing/2014/main" id="{00000000-0008-0000-0000-000043030000}"/>
            </a:ext>
          </a:extLst>
        </xdr:cNvPr>
        <xdr:cNvCxnSpPr/>
      </xdr:nvCxnSpPr>
      <xdr:spPr>
        <a:xfrm>
          <a:off x="777716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157162</xdr:colOff>
      <xdr:row>42</xdr:row>
      <xdr:rowOff>0</xdr:rowOff>
    </xdr:from>
    <xdr:to>
      <xdr:col>23</xdr:col>
      <xdr:colOff>157162</xdr:colOff>
      <xdr:row>42</xdr:row>
      <xdr:rowOff>0</xdr:rowOff>
    </xdr:to>
    <xdr:cxnSp macro="">
      <xdr:nvCxnSpPr>
        <xdr:cNvPr id="836" name="Con1_575,25_390">
          <a:extLst>
            <a:ext uri="{FF2B5EF4-FFF2-40B4-BE49-F238E27FC236}">
              <a16:creationId xmlns:a16="http://schemas.microsoft.com/office/drawing/2014/main" id="{00000000-0008-0000-0000-000044030000}"/>
            </a:ext>
          </a:extLst>
        </xdr:cNvPr>
        <xdr:cNvCxnSpPr/>
      </xdr:nvCxnSpPr>
      <xdr:spPr>
        <a:xfrm>
          <a:off x="746283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157162</xdr:colOff>
      <xdr:row>42</xdr:row>
      <xdr:rowOff>0</xdr:rowOff>
    </xdr:from>
    <xdr:to>
      <xdr:col>7</xdr:col>
      <xdr:colOff>157162</xdr:colOff>
      <xdr:row>42</xdr:row>
      <xdr:rowOff>0</xdr:rowOff>
    </xdr:to>
    <xdr:cxnSp macro="">
      <xdr:nvCxnSpPr>
        <xdr:cNvPr id="837" name="Con1_179,25_390">
          <a:extLst>
            <a:ext uri="{FF2B5EF4-FFF2-40B4-BE49-F238E27FC236}">
              <a16:creationId xmlns:a16="http://schemas.microsoft.com/office/drawing/2014/main" id="{00000000-0008-0000-0000-000045030000}"/>
            </a:ext>
          </a:extLst>
        </xdr:cNvPr>
        <xdr:cNvCxnSpPr/>
      </xdr:nvCxnSpPr>
      <xdr:spPr>
        <a:xfrm>
          <a:off x="243363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157162</xdr:colOff>
      <xdr:row>42</xdr:row>
      <xdr:rowOff>0</xdr:rowOff>
    </xdr:from>
    <xdr:to>
      <xdr:col>8</xdr:col>
      <xdr:colOff>157162</xdr:colOff>
      <xdr:row>42</xdr:row>
      <xdr:rowOff>0</xdr:rowOff>
    </xdr:to>
    <xdr:cxnSp macro="">
      <xdr:nvCxnSpPr>
        <xdr:cNvPr id="838" name="Con1_204_390">
          <a:extLst>
            <a:ext uri="{FF2B5EF4-FFF2-40B4-BE49-F238E27FC236}">
              <a16:creationId xmlns:a16="http://schemas.microsoft.com/office/drawing/2014/main" id="{00000000-0008-0000-0000-000046030000}"/>
            </a:ext>
          </a:extLst>
        </xdr:cNvPr>
        <xdr:cNvCxnSpPr/>
      </xdr:nvCxnSpPr>
      <xdr:spPr>
        <a:xfrm>
          <a:off x="274796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157162</xdr:colOff>
      <xdr:row>42</xdr:row>
      <xdr:rowOff>0</xdr:rowOff>
    </xdr:from>
    <xdr:to>
      <xdr:col>11</xdr:col>
      <xdr:colOff>157162</xdr:colOff>
      <xdr:row>42</xdr:row>
      <xdr:rowOff>0</xdr:rowOff>
    </xdr:to>
    <xdr:cxnSp macro="">
      <xdr:nvCxnSpPr>
        <xdr:cNvPr id="839" name="Con1_278,25_390">
          <a:extLst>
            <a:ext uri="{FF2B5EF4-FFF2-40B4-BE49-F238E27FC236}">
              <a16:creationId xmlns:a16="http://schemas.microsoft.com/office/drawing/2014/main" id="{00000000-0008-0000-0000-000047030000}"/>
            </a:ext>
          </a:extLst>
        </xdr:cNvPr>
        <xdr:cNvCxnSpPr/>
      </xdr:nvCxnSpPr>
      <xdr:spPr>
        <a:xfrm>
          <a:off x="369093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157162</xdr:colOff>
      <xdr:row>42</xdr:row>
      <xdr:rowOff>0</xdr:rowOff>
    </xdr:from>
    <xdr:to>
      <xdr:col>5</xdr:col>
      <xdr:colOff>157162</xdr:colOff>
      <xdr:row>42</xdr:row>
      <xdr:rowOff>0</xdr:rowOff>
    </xdr:to>
    <xdr:cxnSp macro="">
      <xdr:nvCxnSpPr>
        <xdr:cNvPr id="840" name="Con1_129,75_390">
          <a:extLst>
            <a:ext uri="{FF2B5EF4-FFF2-40B4-BE49-F238E27FC236}">
              <a16:creationId xmlns:a16="http://schemas.microsoft.com/office/drawing/2014/main" id="{00000000-0008-0000-0000-000048030000}"/>
            </a:ext>
          </a:extLst>
        </xdr:cNvPr>
        <xdr:cNvCxnSpPr/>
      </xdr:nvCxnSpPr>
      <xdr:spPr>
        <a:xfrm>
          <a:off x="180498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157162</xdr:colOff>
      <xdr:row>42</xdr:row>
      <xdr:rowOff>0</xdr:rowOff>
    </xdr:from>
    <xdr:to>
      <xdr:col>22</xdr:col>
      <xdr:colOff>157162</xdr:colOff>
      <xdr:row>42</xdr:row>
      <xdr:rowOff>0</xdr:rowOff>
    </xdr:to>
    <xdr:cxnSp macro="">
      <xdr:nvCxnSpPr>
        <xdr:cNvPr id="841" name="Con1_550,5_390">
          <a:extLst>
            <a:ext uri="{FF2B5EF4-FFF2-40B4-BE49-F238E27FC236}">
              <a16:creationId xmlns:a16="http://schemas.microsoft.com/office/drawing/2014/main" id="{00000000-0008-0000-0000-000049030000}"/>
            </a:ext>
          </a:extLst>
        </xdr:cNvPr>
        <xdr:cNvCxnSpPr/>
      </xdr:nvCxnSpPr>
      <xdr:spPr>
        <a:xfrm>
          <a:off x="714851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157162</xdr:colOff>
      <xdr:row>42</xdr:row>
      <xdr:rowOff>0</xdr:rowOff>
    </xdr:from>
    <xdr:to>
      <xdr:col>25</xdr:col>
      <xdr:colOff>157162</xdr:colOff>
      <xdr:row>42</xdr:row>
      <xdr:rowOff>0</xdr:rowOff>
    </xdr:to>
    <xdr:cxnSp macro="">
      <xdr:nvCxnSpPr>
        <xdr:cNvPr id="842" name="Con1_624,75_390">
          <a:extLst>
            <a:ext uri="{FF2B5EF4-FFF2-40B4-BE49-F238E27FC236}">
              <a16:creationId xmlns:a16="http://schemas.microsoft.com/office/drawing/2014/main" id="{00000000-0008-0000-0000-00004A030000}"/>
            </a:ext>
          </a:extLst>
        </xdr:cNvPr>
        <xdr:cNvCxnSpPr/>
      </xdr:nvCxnSpPr>
      <xdr:spPr>
        <a:xfrm>
          <a:off x="809148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157162</xdr:colOff>
      <xdr:row>42</xdr:row>
      <xdr:rowOff>0</xdr:rowOff>
    </xdr:from>
    <xdr:to>
      <xdr:col>18</xdr:col>
      <xdr:colOff>157162</xdr:colOff>
      <xdr:row>42</xdr:row>
      <xdr:rowOff>0</xdr:rowOff>
    </xdr:to>
    <xdr:cxnSp macro="">
      <xdr:nvCxnSpPr>
        <xdr:cNvPr id="843" name="Con1_451,5_390">
          <a:extLst>
            <a:ext uri="{FF2B5EF4-FFF2-40B4-BE49-F238E27FC236}">
              <a16:creationId xmlns:a16="http://schemas.microsoft.com/office/drawing/2014/main" id="{00000000-0008-0000-0000-00004B030000}"/>
            </a:ext>
          </a:extLst>
        </xdr:cNvPr>
        <xdr:cNvCxnSpPr/>
      </xdr:nvCxnSpPr>
      <xdr:spPr>
        <a:xfrm>
          <a:off x="589121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157162</xdr:colOff>
      <xdr:row>42</xdr:row>
      <xdr:rowOff>0</xdr:rowOff>
    </xdr:from>
    <xdr:to>
      <xdr:col>27</xdr:col>
      <xdr:colOff>157162</xdr:colOff>
      <xdr:row>42</xdr:row>
      <xdr:rowOff>0</xdr:rowOff>
    </xdr:to>
    <xdr:cxnSp macro="">
      <xdr:nvCxnSpPr>
        <xdr:cNvPr id="844" name="Con1_674,25_390">
          <a:extLst>
            <a:ext uri="{FF2B5EF4-FFF2-40B4-BE49-F238E27FC236}">
              <a16:creationId xmlns:a16="http://schemas.microsoft.com/office/drawing/2014/main" id="{00000000-0008-0000-0000-00004C030000}"/>
            </a:ext>
          </a:extLst>
        </xdr:cNvPr>
        <xdr:cNvCxnSpPr/>
      </xdr:nvCxnSpPr>
      <xdr:spPr>
        <a:xfrm>
          <a:off x="872013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157162</xdr:colOff>
      <xdr:row>42</xdr:row>
      <xdr:rowOff>0</xdr:rowOff>
    </xdr:from>
    <xdr:to>
      <xdr:col>9</xdr:col>
      <xdr:colOff>157162</xdr:colOff>
      <xdr:row>42</xdr:row>
      <xdr:rowOff>0</xdr:rowOff>
    </xdr:to>
    <xdr:cxnSp macro="">
      <xdr:nvCxnSpPr>
        <xdr:cNvPr id="845" name="Con1_228,75_390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CxnSpPr/>
      </xdr:nvCxnSpPr>
      <xdr:spPr>
        <a:xfrm>
          <a:off x="306228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157162</xdr:colOff>
      <xdr:row>42</xdr:row>
      <xdr:rowOff>0</xdr:rowOff>
    </xdr:from>
    <xdr:to>
      <xdr:col>26</xdr:col>
      <xdr:colOff>157162</xdr:colOff>
      <xdr:row>42</xdr:row>
      <xdr:rowOff>0</xdr:rowOff>
    </xdr:to>
    <xdr:cxnSp macro="">
      <xdr:nvCxnSpPr>
        <xdr:cNvPr id="846" name="Con1_649,5_390">
          <a:extLst>
            <a:ext uri="{FF2B5EF4-FFF2-40B4-BE49-F238E27FC236}">
              <a16:creationId xmlns:a16="http://schemas.microsoft.com/office/drawing/2014/main" id="{00000000-0008-0000-0000-00004E030000}"/>
            </a:ext>
          </a:extLst>
        </xdr:cNvPr>
        <xdr:cNvCxnSpPr/>
      </xdr:nvCxnSpPr>
      <xdr:spPr>
        <a:xfrm>
          <a:off x="840581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157162</xdr:colOff>
      <xdr:row>42</xdr:row>
      <xdr:rowOff>0</xdr:rowOff>
    </xdr:from>
    <xdr:to>
      <xdr:col>6</xdr:col>
      <xdr:colOff>157162</xdr:colOff>
      <xdr:row>42</xdr:row>
      <xdr:rowOff>0</xdr:rowOff>
    </xdr:to>
    <xdr:cxnSp macro="">
      <xdr:nvCxnSpPr>
        <xdr:cNvPr id="847" name="Con1_154,5_390">
          <a:extLst>
            <a:ext uri="{FF2B5EF4-FFF2-40B4-BE49-F238E27FC236}">
              <a16:creationId xmlns:a16="http://schemas.microsoft.com/office/drawing/2014/main" id="{00000000-0008-0000-0000-00004F030000}"/>
            </a:ext>
          </a:extLst>
        </xdr:cNvPr>
        <xdr:cNvCxnSpPr/>
      </xdr:nvCxnSpPr>
      <xdr:spPr>
        <a:xfrm>
          <a:off x="211931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157162</xdr:colOff>
      <xdr:row>42</xdr:row>
      <xdr:rowOff>0</xdr:rowOff>
    </xdr:from>
    <xdr:to>
      <xdr:col>12</xdr:col>
      <xdr:colOff>157162</xdr:colOff>
      <xdr:row>42</xdr:row>
      <xdr:rowOff>0</xdr:rowOff>
    </xdr:to>
    <xdr:cxnSp macro="">
      <xdr:nvCxnSpPr>
        <xdr:cNvPr id="848" name="Con1_303_390">
          <a:extLst>
            <a:ext uri="{FF2B5EF4-FFF2-40B4-BE49-F238E27FC236}">
              <a16:creationId xmlns:a16="http://schemas.microsoft.com/office/drawing/2014/main" id="{00000000-0008-0000-0000-000050030000}"/>
            </a:ext>
          </a:extLst>
        </xdr:cNvPr>
        <xdr:cNvCxnSpPr/>
      </xdr:nvCxnSpPr>
      <xdr:spPr>
        <a:xfrm>
          <a:off x="400526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157162</xdr:colOff>
      <xdr:row>42</xdr:row>
      <xdr:rowOff>0</xdr:rowOff>
    </xdr:from>
    <xdr:to>
      <xdr:col>13</xdr:col>
      <xdr:colOff>157162</xdr:colOff>
      <xdr:row>42</xdr:row>
      <xdr:rowOff>0</xdr:rowOff>
    </xdr:to>
    <xdr:cxnSp macro="">
      <xdr:nvCxnSpPr>
        <xdr:cNvPr id="849" name="Con1_327,75_390">
          <a:extLst>
            <a:ext uri="{FF2B5EF4-FFF2-40B4-BE49-F238E27FC236}">
              <a16:creationId xmlns:a16="http://schemas.microsoft.com/office/drawing/2014/main" id="{00000000-0008-0000-0000-000051030000}"/>
            </a:ext>
          </a:extLst>
        </xdr:cNvPr>
        <xdr:cNvCxnSpPr/>
      </xdr:nvCxnSpPr>
      <xdr:spPr>
        <a:xfrm>
          <a:off x="4319587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157162</xdr:colOff>
      <xdr:row>42</xdr:row>
      <xdr:rowOff>0</xdr:rowOff>
    </xdr:from>
    <xdr:to>
      <xdr:col>10</xdr:col>
      <xdr:colOff>157162</xdr:colOff>
      <xdr:row>42</xdr:row>
      <xdr:rowOff>0</xdr:rowOff>
    </xdr:to>
    <xdr:cxnSp macro="">
      <xdr:nvCxnSpPr>
        <xdr:cNvPr id="850" name="Con1_253,5_390">
          <a:extLst>
            <a:ext uri="{FF2B5EF4-FFF2-40B4-BE49-F238E27FC236}">
              <a16:creationId xmlns:a16="http://schemas.microsoft.com/office/drawing/2014/main" id="{00000000-0008-0000-0000-000052030000}"/>
            </a:ext>
          </a:extLst>
        </xdr:cNvPr>
        <xdr:cNvCxnSpPr/>
      </xdr:nvCxnSpPr>
      <xdr:spPr>
        <a:xfrm>
          <a:off x="337661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157162</xdr:colOff>
      <xdr:row>42</xdr:row>
      <xdr:rowOff>0</xdr:rowOff>
    </xdr:from>
    <xdr:to>
      <xdr:col>20</xdr:col>
      <xdr:colOff>157162</xdr:colOff>
      <xdr:row>42</xdr:row>
      <xdr:rowOff>0</xdr:rowOff>
    </xdr:to>
    <xdr:cxnSp macro="">
      <xdr:nvCxnSpPr>
        <xdr:cNvPr id="851" name="Con1_501_390">
          <a:extLst>
            <a:ext uri="{FF2B5EF4-FFF2-40B4-BE49-F238E27FC236}">
              <a16:creationId xmlns:a16="http://schemas.microsoft.com/office/drawing/2014/main" id="{00000000-0008-0000-0000-000053030000}"/>
            </a:ext>
          </a:extLst>
        </xdr:cNvPr>
        <xdr:cNvCxnSpPr/>
      </xdr:nvCxnSpPr>
      <xdr:spPr>
        <a:xfrm>
          <a:off x="651986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157162</xdr:colOff>
      <xdr:row>42</xdr:row>
      <xdr:rowOff>0</xdr:rowOff>
    </xdr:from>
    <xdr:to>
      <xdr:col>16</xdr:col>
      <xdr:colOff>157162</xdr:colOff>
      <xdr:row>42</xdr:row>
      <xdr:rowOff>0</xdr:rowOff>
    </xdr:to>
    <xdr:cxnSp macro="">
      <xdr:nvCxnSpPr>
        <xdr:cNvPr id="852" name="Con1_402_390">
          <a:extLst>
            <a:ext uri="{FF2B5EF4-FFF2-40B4-BE49-F238E27FC236}">
              <a16:creationId xmlns:a16="http://schemas.microsoft.com/office/drawing/2014/main" id="{00000000-0008-0000-0000-000054030000}"/>
            </a:ext>
          </a:extLst>
        </xdr:cNvPr>
        <xdr:cNvCxnSpPr/>
      </xdr:nvCxnSpPr>
      <xdr:spPr>
        <a:xfrm>
          <a:off x="5262562" y="6477000"/>
          <a:ext cx="314325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177800</xdr:colOff>
      <xdr:row>42</xdr:row>
      <xdr:rowOff>0</xdr:rowOff>
    </xdr:from>
    <xdr:to>
      <xdr:col>21</xdr:col>
      <xdr:colOff>177800</xdr:colOff>
      <xdr:row>42</xdr:row>
      <xdr:rowOff>0</xdr:rowOff>
    </xdr:to>
    <xdr:cxnSp macro="">
      <xdr:nvCxnSpPr>
        <xdr:cNvPr id="37716" name="Con1_596_475">
          <a:extLst>
            <a:ext uri="{FF2B5EF4-FFF2-40B4-BE49-F238E27FC236}">
              <a16:creationId xmlns:a16="http://schemas.microsoft.com/office/drawing/2014/main" id="{00000000-0008-0000-0000-000054930000}"/>
            </a:ext>
          </a:extLst>
        </xdr:cNvPr>
        <xdr:cNvCxnSpPr/>
      </xdr:nvCxnSpPr>
      <xdr:spPr>
        <a:xfrm>
          <a:off x="77470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177800</xdr:colOff>
      <xdr:row>42</xdr:row>
      <xdr:rowOff>0</xdr:rowOff>
    </xdr:from>
    <xdr:to>
      <xdr:col>14</xdr:col>
      <xdr:colOff>177800</xdr:colOff>
      <xdr:row>42</xdr:row>
      <xdr:rowOff>0</xdr:rowOff>
    </xdr:to>
    <xdr:cxnSp macro="">
      <xdr:nvCxnSpPr>
        <xdr:cNvPr id="37717" name="Con1_400_475">
          <a:extLst>
            <a:ext uri="{FF2B5EF4-FFF2-40B4-BE49-F238E27FC236}">
              <a16:creationId xmlns:a16="http://schemas.microsoft.com/office/drawing/2014/main" id="{00000000-0008-0000-0000-000055930000}"/>
            </a:ext>
          </a:extLst>
        </xdr:cNvPr>
        <xdr:cNvCxnSpPr/>
      </xdr:nvCxnSpPr>
      <xdr:spPr>
        <a:xfrm>
          <a:off x="52578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177800</xdr:colOff>
      <xdr:row>42</xdr:row>
      <xdr:rowOff>0</xdr:rowOff>
    </xdr:from>
    <xdr:to>
      <xdr:col>17</xdr:col>
      <xdr:colOff>177800</xdr:colOff>
      <xdr:row>42</xdr:row>
      <xdr:rowOff>0</xdr:rowOff>
    </xdr:to>
    <xdr:cxnSp macro="">
      <xdr:nvCxnSpPr>
        <xdr:cNvPr id="37718" name="Con1_484_475">
          <a:extLst>
            <a:ext uri="{FF2B5EF4-FFF2-40B4-BE49-F238E27FC236}">
              <a16:creationId xmlns:a16="http://schemas.microsoft.com/office/drawing/2014/main" id="{00000000-0008-0000-0000-000056930000}"/>
            </a:ext>
          </a:extLst>
        </xdr:cNvPr>
        <xdr:cNvCxnSpPr/>
      </xdr:nvCxnSpPr>
      <xdr:spPr>
        <a:xfrm>
          <a:off x="63246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177800</xdr:colOff>
      <xdr:row>42</xdr:row>
      <xdr:rowOff>0</xdr:rowOff>
    </xdr:from>
    <xdr:to>
      <xdr:col>15</xdr:col>
      <xdr:colOff>177800</xdr:colOff>
      <xdr:row>42</xdr:row>
      <xdr:rowOff>0</xdr:rowOff>
    </xdr:to>
    <xdr:cxnSp macro="">
      <xdr:nvCxnSpPr>
        <xdr:cNvPr id="37719" name="Con1_428_475">
          <a:extLst>
            <a:ext uri="{FF2B5EF4-FFF2-40B4-BE49-F238E27FC236}">
              <a16:creationId xmlns:a16="http://schemas.microsoft.com/office/drawing/2014/main" id="{00000000-0008-0000-0000-000057930000}"/>
            </a:ext>
          </a:extLst>
        </xdr:cNvPr>
        <xdr:cNvCxnSpPr/>
      </xdr:nvCxnSpPr>
      <xdr:spPr>
        <a:xfrm>
          <a:off x="56134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177800</xdr:colOff>
      <xdr:row>42</xdr:row>
      <xdr:rowOff>0</xdr:rowOff>
    </xdr:from>
    <xdr:to>
      <xdr:col>19</xdr:col>
      <xdr:colOff>177800</xdr:colOff>
      <xdr:row>42</xdr:row>
      <xdr:rowOff>0</xdr:rowOff>
    </xdr:to>
    <xdr:cxnSp macro="">
      <xdr:nvCxnSpPr>
        <xdr:cNvPr id="37720" name="Con1_540_475">
          <a:extLst>
            <a:ext uri="{FF2B5EF4-FFF2-40B4-BE49-F238E27FC236}">
              <a16:creationId xmlns:a16="http://schemas.microsoft.com/office/drawing/2014/main" id="{00000000-0008-0000-0000-000058930000}"/>
            </a:ext>
          </a:extLst>
        </xdr:cNvPr>
        <xdr:cNvCxnSpPr/>
      </xdr:nvCxnSpPr>
      <xdr:spPr>
        <a:xfrm>
          <a:off x="70358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177800</xdr:colOff>
      <xdr:row>42</xdr:row>
      <xdr:rowOff>0</xdr:rowOff>
    </xdr:from>
    <xdr:to>
      <xdr:col>24</xdr:col>
      <xdr:colOff>177800</xdr:colOff>
      <xdr:row>42</xdr:row>
      <xdr:rowOff>0</xdr:rowOff>
    </xdr:to>
    <xdr:cxnSp macro="">
      <xdr:nvCxnSpPr>
        <xdr:cNvPr id="37721" name="Con1_680_475">
          <a:extLst>
            <a:ext uri="{FF2B5EF4-FFF2-40B4-BE49-F238E27FC236}">
              <a16:creationId xmlns:a16="http://schemas.microsoft.com/office/drawing/2014/main" id="{00000000-0008-0000-0000-000059930000}"/>
            </a:ext>
          </a:extLst>
        </xdr:cNvPr>
        <xdr:cNvCxnSpPr/>
      </xdr:nvCxnSpPr>
      <xdr:spPr>
        <a:xfrm>
          <a:off x="88138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177800</xdr:colOff>
      <xdr:row>42</xdr:row>
      <xdr:rowOff>0</xdr:rowOff>
    </xdr:from>
    <xdr:to>
      <xdr:col>23</xdr:col>
      <xdr:colOff>177800</xdr:colOff>
      <xdr:row>42</xdr:row>
      <xdr:rowOff>0</xdr:rowOff>
    </xdr:to>
    <xdr:cxnSp macro="">
      <xdr:nvCxnSpPr>
        <xdr:cNvPr id="37722" name="Con1_652_475">
          <a:extLst>
            <a:ext uri="{FF2B5EF4-FFF2-40B4-BE49-F238E27FC236}">
              <a16:creationId xmlns:a16="http://schemas.microsoft.com/office/drawing/2014/main" id="{00000000-0008-0000-0000-00005A930000}"/>
            </a:ext>
          </a:extLst>
        </xdr:cNvPr>
        <xdr:cNvCxnSpPr/>
      </xdr:nvCxnSpPr>
      <xdr:spPr>
        <a:xfrm>
          <a:off x="84582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177800</xdr:colOff>
      <xdr:row>42</xdr:row>
      <xdr:rowOff>0</xdr:rowOff>
    </xdr:from>
    <xdr:to>
      <xdr:col>11</xdr:col>
      <xdr:colOff>177800</xdr:colOff>
      <xdr:row>42</xdr:row>
      <xdr:rowOff>0</xdr:rowOff>
    </xdr:to>
    <xdr:cxnSp macro="">
      <xdr:nvCxnSpPr>
        <xdr:cNvPr id="37726" name="Con1_316_475">
          <a:extLst>
            <a:ext uri="{FF2B5EF4-FFF2-40B4-BE49-F238E27FC236}">
              <a16:creationId xmlns:a16="http://schemas.microsoft.com/office/drawing/2014/main" id="{00000000-0008-0000-0000-00005E930000}"/>
            </a:ext>
          </a:extLst>
        </xdr:cNvPr>
        <xdr:cNvCxnSpPr/>
      </xdr:nvCxnSpPr>
      <xdr:spPr>
        <a:xfrm>
          <a:off x="41910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177800</xdr:colOff>
      <xdr:row>42</xdr:row>
      <xdr:rowOff>0</xdr:rowOff>
    </xdr:from>
    <xdr:to>
      <xdr:col>22</xdr:col>
      <xdr:colOff>177800</xdr:colOff>
      <xdr:row>42</xdr:row>
      <xdr:rowOff>0</xdr:rowOff>
    </xdr:to>
    <xdr:cxnSp macro="">
      <xdr:nvCxnSpPr>
        <xdr:cNvPr id="37727" name="Con1_624_475">
          <a:extLst>
            <a:ext uri="{FF2B5EF4-FFF2-40B4-BE49-F238E27FC236}">
              <a16:creationId xmlns:a16="http://schemas.microsoft.com/office/drawing/2014/main" id="{00000000-0008-0000-0000-00005F930000}"/>
            </a:ext>
          </a:extLst>
        </xdr:cNvPr>
        <xdr:cNvCxnSpPr/>
      </xdr:nvCxnSpPr>
      <xdr:spPr>
        <a:xfrm>
          <a:off x="81026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177800</xdr:colOff>
      <xdr:row>42</xdr:row>
      <xdr:rowOff>0</xdr:rowOff>
    </xdr:from>
    <xdr:to>
      <xdr:col>25</xdr:col>
      <xdr:colOff>177800</xdr:colOff>
      <xdr:row>42</xdr:row>
      <xdr:rowOff>0</xdr:rowOff>
    </xdr:to>
    <xdr:cxnSp macro="">
      <xdr:nvCxnSpPr>
        <xdr:cNvPr id="1408" name="Con1_708_475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CxnSpPr/>
      </xdr:nvCxnSpPr>
      <xdr:spPr>
        <a:xfrm>
          <a:off x="91694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177800</xdr:colOff>
      <xdr:row>42</xdr:row>
      <xdr:rowOff>0</xdr:rowOff>
    </xdr:from>
    <xdr:to>
      <xdr:col>18</xdr:col>
      <xdr:colOff>177800</xdr:colOff>
      <xdr:row>42</xdr:row>
      <xdr:rowOff>0</xdr:rowOff>
    </xdr:to>
    <xdr:cxnSp macro="">
      <xdr:nvCxnSpPr>
        <xdr:cNvPr id="1409" name="Con1_512_475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CxnSpPr/>
      </xdr:nvCxnSpPr>
      <xdr:spPr>
        <a:xfrm>
          <a:off x="66802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177800</xdr:colOff>
      <xdr:row>42</xdr:row>
      <xdr:rowOff>0</xdr:rowOff>
    </xdr:from>
    <xdr:to>
      <xdr:col>27</xdr:col>
      <xdr:colOff>177800</xdr:colOff>
      <xdr:row>42</xdr:row>
      <xdr:rowOff>0</xdr:rowOff>
    </xdr:to>
    <xdr:cxnSp macro="">
      <xdr:nvCxnSpPr>
        <xdr:cNvPr id="1410" name="Con1_764_475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CxnSpPr/>
      </xdr:nvCxnSpPr>
      <xdr:spPr>
        <a:xfrm>
          <a:off x="98806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177800</xdr:colOff>
      <xdr:row>42</xdr:row>
      <xdr:rowOff>0</xdr:rowOff>
    </xdr:from>
    <xdr:to>
      <xdr:col>26</xdr:col>
      <xdr:colOff>177800</xdr:colOff>
      <xdr:row>42</xdr:row>
      <xdr:rowOff>0</xdr:rowOff>
    </xdr:to>
    <xdr:cxnSp macro="">
      <xdr:nvCxnSpPr>
        <xdr:cNvPr id="1412" name="Con1_736_475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CxnSpPr/>
      </xdr:nvCxnSpPr>
      <xdr:spPr>
        <a:xfrm>
          <a:off x="95250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177800</xdr:colOff>
      <xdr:row>42</xdr:row>
      <xdr:rowOff>0</xdr:rowOff>
    </xdr:from>
    <xdr:to>
      <xdr:col>12</xdr:col>
      <xdr:colOff>177800</xdr:colOff>
      <xdr:row>42</xdr:row>
      <xdr:rowOff>0</xdr:rowOff>
    </xdr:to>
    <xdr:cxnSp macro="">
      <xdr:nvCxnSpPr>
        <xdr:cNvPr id="1414" name="Con1_344_475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CxnSpPr/>
      </xdr:nvCxnSpPr>
      <xdr:spPr>
        <a:xfrm>
          <a:off x="45466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177800</xdr:colOff>
      <xdr:row>42</xdr:row>
      <xdr:rowOff>0</xdr:rowOff>
    </xdr:from>
    <xdr:to>
      <xdr:col>13</xdr:col>
      <xdr:colOff>177800</xdr:colOff>
      <xdr:row>42</xdr:row>
      <xdr:rowOff>0</xdr:rowOff>
    </xdr:to>
    <xdr:cxnSp macro="">
      <xdr:nvCxnSpPr>
        <xdr:cNvPr id="1415" name="Con1_372_475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CxnSpPr/>
      </xdr:nvCxnSpPr>
      <xdr:spPr>
        <a:xfrm>
          <a:off x="49022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177800</xdr:colOff>
      <xdr:row>42</xdr:row>
      <xdr:rowOff>0</xdr:rowOff>
    </xdr:from>
    <xdr:to>
      <xdr:col>20</xdr:col>
      <xdr:colOff>177800</xdr:colOff>
      <xdr:row>42</xdr:row>
      <xdr:rowOff>0</xdr:rowOff>
    </xdr:to>
    <xdr:cxnSp macro="">
      <xdr:nvCxnSpPr>
        <xdr:cNvPr id="1417" name="Con1_568_475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CxnSpPr/>
      </xdr:nvCxnSpPr>
      <xdr:spPr>
        <a:xfrm>
          <a:off x="73914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177800</xdr:colOff>
      <xdr:row>42</xdr:row>
      <xdr:rowOff>0</xdr:rowOff>
    </xdr:from>
    <xdr:to>
      <xdr:col>16</xdr:col>
      <xdr:colOff>177800</xdr:colOff>
      <xdr:row>42</xdr:row>
      <xdr:rowOff>0</xdr:rowOff>
    </xdr:to>
    <xdr:cxnSp macro="">
      <xdr:nvCxnSpPr>
        <xdr:cNvPr id="1418" name="Con1_456_475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CxnSpPr/>
      </xdr:nvCxnSpPr>
      <xdr:spPr>
        <a:xfrm>
          <a:off x="5969000" y="7454900"/>
          <a:ext cx="35560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161925</xdr:colOff>
      <xdr:row>42</xdr:row>
      <xdr:rowOff>0</xdr:rowOff>
    </xdr:from>
    <xdr:to>
      <xdr:col>22</xdr:col>
      <xdr:colOff>161925</xdr:colOff>
      <xdr:row>42</xdr:row>
      <xdr:rowOff>0</xdr:rowOff>
    </xdr:to>
    <xdr:cxnSp macro="">
      <xdr:nvCxnSpPr>
        <xdr:cNvPr id="33" name="Con1_568.5_491.5">
          <a:extLst>
            <a:ext uri="{FF2B5EF4-FFF2-40B4-BE49-F238E27FC236}">
              <a16:creationId xmlns:a16="http://schemas.microsoft.com/office/drawing/2014/main" id="{F62B4862-96C9-475A-8158-6DB17BCAC195}"/>
            </a:ext>
          </a:extLst>
        </xdr:cNvPr>
        <xdr:cNvCxnSpPr/>
      </xdr:nvCxnSpPr>
      <xdr:spPr>
        <a:xfrm>
          <a:off x="73818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42</xdr:row>
      <xdr:rowOff>0</xdr:rowOff>
    </xdr:from>
    <xdr:to>
      <xdr:col>24</xdr:col>
      <xdr:colOff>161925</xdr:colOff>
      <xdr:row>42</xdr:row>
      <xdr:rowOff>0</xdr:rowOff>
    </xdr:to>
    <xdr:cxnSp macro="">
      <xdr:nvCxnSpPr>
        <xdr:cNvPr id="45" name="Con1_619.5_491.5">
          <a:extLst>
            <a:ext uri="{FF2B5EF4-FFF2-40B4-BE49-F238E27FC236}">
              <a16:creationId xmlns:a16="http://schemas.microsoft.com/office/drawing/2014/main" id="{06AAA7A5-39F2-48F1-A88B-45D67891387E}"/>
            </a:ext>
          </a:extLst>
        </xdr:cNvPr>
        <xdr:cNvCxnSpPr/>
      </xdr:nvCxnSpPr>
      <xdr:spPr>
        <a:xfrm>
          <a:off x="80295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42</xdr:row>
      <xdr:rowOff>0</xdr:rowOff>
    </xdr:from>
    <xdr:to>
      <xdr:col>11</xdr:col>
      <xdr:colOff>161925</xdr:colOff>
      <xdr:row>42</xdr:row>
      <xdr:rowOff>0</xdr:rowOff>
    </xdr:to>
    <xdr:cxnSp macro="">
      <xdr:nvCxnSpPr>
        <xdr:cNvPr id="46" name="Con1_288_491.5">
          <a:extLst>
            <a:ext uri="{FF2B5EF4-FFF2-40B4-BE49-F238E27FC236}">
              <a16:creationId xmlns:a16="http://schemas.microsoft.com/office/drawing/2014/main" id="{9899DD1B-AEDC-403F-A870-341D55542407}"/>
            </a:ext>
          </a:extLst>
        </xdr:cNvPr>
        <xdr:cNvCxnSpPr/>
      </xdr:nvCxnSpPr>
      <xdr:spPr>
        <a:xfrm>
          <a:off x="38195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161925</xdr:colOff>
      <xdr:row>42</xdr:row>
      <xdr:rowOff>0</xdr:rowOff>
    </xdr:from>
    <xdr:to>
      <xdr:col>16</xdr:col>
      <xdr:colOff>161925</xdr:colOff>
      <xdr:row>42</xdr:row>
      <xdr:rowOff>0</xdr:rowOff>
    </xdr:to>
    <xdr:cxnSp macro="">
      <xdr:nvCxnSpPr>
        <xdr:cNvPr id="47" name="Con1_415.5_491.5">
          <a:extLst>
            <a:ext uri="{FF2B5EF4-FFF2-40B4-BE49-F238E27FC236}">
              <a16:creationId xmlns:a16="http://schemas.microsoft.com/office/drawing/2014/main" id="{19C18F6C-600C-4AF1-A087-9299B61EEA69}"/>
            </a:ext>
          </a:extLst>
        </xdr:cNvPr>
        <xdr:cNvCxnSpPr/>
      </xdr:nvCxnSpPr>
      <xdr:spPr>
        <a:xfrm>
          <a:off x="54387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161925</xdr:colOff>
      <xdr:row>42</xdr:row>
      <xdr:rowOff>0</xdr:rowOff>
    </xdr:from>
    <xdr:to>
      <xdr:col>19</xdr:col>
      <xdr:colOff>161925</xdr:colOff>
      <xdr:row>42</xdr:row>
      <xdr:rowOff>0</xdr:rowOff>
    </xdr:to>
    <xdr:cxnSp macro="">
      <xdr:nvCxnSpPr>
        <xdr:cNvPr id="48" name="Con1_492_491.5">
          <a:extLst>
            <a:ext uri="{FF2B5EF4-FFF2-40B4-BE49-F238E27FC236}">
              <a16:creationId xmlns:a16="http://schemas.microsoft.com/office/drawing/2014/main" id="{92800009-1EA9-4533-83E6-0593ACDF9417}"/>
            </a:ext>
          </a:extLst>
        </xdr:cNvPr>
        <xdr:cNvCxnSpPr/>
      </xdr:nvCxnSpPr>
      <xdr:spPr>
        <a:xfrm>
          <a:off x="64103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161925</xdr:colOff>
      <xdr:row>42</xdr:row>
      <xdr:rowOff>0</xdr:rowOff>
    </xdr:from>
    <xdr:to>
      <xdr:col>17</xdr:col>
      <xdr:colOff>161925</xdr:colOff>
      <xdr:row>42</xdr:row>
      <xdr:rowOff>0</xdr:rowOff>
    </xdr:to>
    <xdr:cxnSp macro="">
      <xdr:nvCxnSpPr>
        <xdr:cNvPr id="49" name="Con1_441_491.5">
          <a:extLst>
            <a:ext uri="{FF2B5EF4-FFF2-40B4-BE49-F238E27FC236}">
              <a16:creationId xmlns:a16="http://schemas.microsoft.com/office/drawing/2014/main" id="{589FB6F1-EF39-41D0-ACED-C2015F139BB2}"/>
            </a:ext>
          </a:extLst>
        </xdr:cNvPr>
        <xdr:cNvCxnSpPr/>
      </xdr:nvCxnSpPr>
      <xdr:spPr>
        <a:xfrm>
          <a:off x="57626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161925</xdr:colOff>
      <xdr:row>42</xdr:row>
      <xdr:rowOff>0</xdr:rowOff>
    </xdr:from>
    <xdr:to>
      <xdr:col>23</xdr:col>
      <xdr:colOff>161925</xdr:colOff>
      <xdr:row>42</xdr:row>
      <xdr:rowOff>0</xdr:rowOff>
    </xdr:to>
    <xdr:cxnSp macro="">
      <xdr:nvCxnSpPr>
        <xdr:cNvPr id="50" name="Con1_594_491.5">
          <a:extLst>
            <a:ext uri="{FF2B5EF4-FFF2-40B4-BE49-F238E27FC236}">
              <a16:creationId xmlns:a16="http://schemas.microsoft.com/office/drawing/2014/main" id="{1AD13B51-DBAB-444E-A2C0-147581E95FE6}"/>
            </a:ext>
          </a:extLst>
        </xdr:cNvPr>
        <xdr:cNvCxnSpPr/>
      </xdr:nvCxnSpPr>
      <xdr:spPr>
        <a:xfrm>
          <a:off x="77057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42</xdr:row>
      <xdr:rowOff>0</xdr:rowOff>
    </xdr:from>
    <xdr:to>
      <xdr:col>12</xdr:col>
      <xdr:colOff>161925</xdr:colOff>
      <xdr:row>42</xdr:row>
      <xdr:rowOff>0</xdr:rowOff>
    </xdr:to>
    <xdr:cxnSp macro="">
      <xdr:nvCxnSpPr>
        <xdr:cNvPr id="51" name="Con1_313.5_491.5">
          <a:extLst>
            <a:ext uri="{FF2B5EF4-FFF2-40B4-BE49-F238E27FC236}">
              <a16:creationId xmlns:a16="http://schemas.microsoft.com/office/drawing/2014/main" id="{ECF7DC5B-AC52-4D31-B125-9D09A8427856}"/>
            </a:ext>
          </a:extLst>
        </xdr:cNvPr>
        <xdr:cNvCxnSpPr/>
      </xdr:nvCxnSpPr>
      <xdr:spPr>
        <a:xfrm>
          <a:off x="41433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42</xdr:row>
      <xdr:rowOff>0</xdr:rowOff>
    </xdr:from>
    <xdr:to>
      <xdr:col>26</xdr:col>
      <xdr:colOff>161925</xdr:colOff>
      <xdr:row>42</xdr:row>
      <xdr:rowOff>0</xdr:rowOff>
    </xdr:to>
    <xdr:cxnSp macro="">
      <xdr:nvCxnSpPr>
        <xdr:cNvPr id="87" name="Con1_670.5_491.5">
          <a:extLst>
            <a:ext uri="{FF2B5EF4-FFF2-40B4-BE49-F238E27FC236}">
              <a16:creationId xmlns:a16="http://schemas.microsoft.com/office/drawing/2014/main" id="{BE8654EA-1ECB-48E6-97FA-89208DC0ECB1}"/>
            </a:ext>
          </a:extLst>
        </xdr:cNvPr>
        <xdr:cNvCxnSpPr/>
      </xdr:nvCxnSpPr>
      <xdr:spPr>
        <a:xfrm>
          <a:off x="86772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161925</xdr:colOff>
      <xdr:row>42</xdr:row>
      <xdr:rowOff>0</xdr:rowOff>
    </xdr:from>
    <xdr:to>
      <xdr:col>18</xdr:col>
      <xdr:colOff>161925</xdr:colOff>
      <xdr:row>42</xdr:row>
      <xdr:rowOff>0</xdr:rowOff>
    </xdr:to>
    <xdr:cxnSp macro="">
      <xdr:nvCxnSpPr>
        <xdr:cNvPr id="132" name="Con1_466.5_491.5">
          <a:extLst>
            <a:ext uri="{FF2B5EF4-FFF2-40B4-BE49-F238E27FC236}">
              <a16:creationId xmlns:a16="http://schemas.microsoft.com/office/drawing/2014/main" id="{59AE209F-08B4-4A16-94FD-BD817DF253B3}"/>
            </a:ext>
          </a:extLst>
        </xdr:cNvPr>
        <xdr:cNvCxnSpPr/>
      </xdr:nvCxnSpPr>
      <xdr:spPr>
        <a:xfrm>
          <a:off x="60864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42</xdr:row>
      <xdr:rowOff>0</xdr:rowOff>
    </xdr:from>
    <xdr:to>
      <xdr:col>13</xdr:col>
      <xdr:colOff>161925</xdr:colOff>
      <xdr:row>42</xdr:row>
      <xdr:rowOff>0</xdr:rowOff>
    </xdr:to>
    <xdr:cxnSp macro="">
      <xdr:nvCxnSpPr>
        <xdr:cNvPr id="143" name="Con1_339_491.5">
          <a:extLst>
            <a:ext uri="{FF2B5EF4-FFF2-40B4-BE49-F238E27FC236}">
              <a16:creationId xmlns:a16="http://schemas.microsoft.com/office/drawing/2014/main" id="{8BA99D4C-DFE8-493F-B95F-0C824A1D0019}"/>
            </a:ext>
          </a:extLst>
        </xdr:cNvPr>
        <xdr:cNvCxnSpPr/>
      </xdr:nvCxnSpPr>
      <xdr:spPr>
        <a:xfrm>
          <a:off x="44672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42</xdr:row>
      <xdr:rowOff>0</xdr:rowOff>
    </xdr:from>
    <xdr:to>
      <xdr:col>21</xdr:col>
      <xdr:colOff>161925</xdr:colOff>
      <xdr:row>42</xdr:row>
      <xdr:rowOff>0</xdr:rowOff>
    </xdr:to>
    <xdr:cxnSp macro="">
      <xdr:nvCxnSpPr>
        <xdr:cNvPr id="144" name="Con1_543_491.5">
          <a:extLst>
            <a:ext uri="{FF2B5EF4-FFF2-40B4-BE49-F238E27FC236}">
              <a16:creationId xmlns:a16="http://schemas.microsoft.com/office/drawing/2014/main" id="{15F1AA0A-E173-47EC-8F9E-EE94CF3DA1B5}"/>
            </a:ext>
          </a:extLst>
        </xdr:cNvPr>
        <xdr:cNvCxnSpPr/>
      </xdr:nvCxnSpPr>
      <xdr:spPr>
        <a:xfrm>
          <a:off x="70580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42</xdr:row>
      <xdr:rowOff>0</xdr:rowOff>
    </xdr:from>
    <xdr:to>
      <xdr:col>15</xdr:col>
      <xdr:colOff>161925</xdr:colOff>
      <xdr:row>42</xdr:row>
      <xdr:rowOff>0</xdr:rowOff>
    </xdr:to>
    <xdr:cxnSp macro="">
      <xdr:nvCxnSpPr>
        <xdr:cNvPr id="9222" name="Con1_390_491.5">
          <a:extLst>
            <a:ext uri="{FF2B5EF4-FFF2-40B4-BE49-F238E27FC236}">
              <a16:creationId xmlns:a16="http://schemas.microsoft.com/office/drawing/2014/main" id="{7C125DE6-7E53-4B16-ADE0-C50B6DECE6FA}"/>
            </a:ext>
          </a:extLst>
        </xdr:cNvPr>
        <xdr:cNvCxnSpPr/>
      </xdr:nvCxnSpPr>
      <xdr:spPr>
        <a:xfrm>
          <a:off x="51149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161925</xdr:colOff>
      <xdr:row>42</xdr:row>
      <xdr:rowOff>0</xdr:rowOff>
    </xdr:from>
    <xdr:to>
      <xdr:col>25</xdr:col>
      <xdr:colOff>161925</xdr:colOff>
      <xdr:row>42</xdr:row>
      <xdr:rowOff>0</xdr:rowOff>
    </xdr:to>
    <xdr:cxnSp macro="">
      <xdr:nvCxnSpPr>
        <xdr:cNvPr id="9223" name="Con1_645_491.5">
          <a:extLst>
            <a:ext uri="{FF2B5EF4-FFF2-40B4-BE49-F238E27FC236}">
              <a16:creationId xmlns:a16="http://schemas.microsoft.com/office/drawing/2014/main" id="{6A4F7BCA-C7A0-4E94-A465-8047647DBEB7}"/>
            </a:ext>
          </a:extLst>
        </xdr:cNvPr>
        <xdr:cNvCxnSpPr/>
      </xdr:nvCxnSpPr>
      <xdr:spPr>
        <a:xfrm>
          <a:off x="83534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161925</xdr:colOff>
      <xdr:row>42</xdr:row>
      <xdr:rowOff>0</xdr:rowOff>
    </xdr:from>
    <xdr:to>
      <xdr:col>27</xdr:col>
      <xdr:colOff>161925</xdr:colOff>
      <xdr:row>42</xdr:row>
      <xdr:rowOff>0</xdr:rowOff>
    </xdr:to>
    <xdr:cxnSp macro="">
      <xdr:nvCxnSpPr>
        <xdr:cNvPr id="9224" name="Con1_696_491.5">
          <a:extLst>
            <a:ext uri="{FF2B5EF4-FFF2-40B4-BE49-F238E27FC236}">
              <a16:creationId xmlns:a16="http://schemas.microsoft.com/office/drawing/2014/main" id="{40B862A6-4F39-49A4-A6C2-6A5FD1EFBBA1}"/>
            </a:ext>
          </a:extLst>
        </xdr:cNvPr>
        <xdr:cNvCxnSpPr/>
      </xdr:nvCxnSpPr>
      <xdr:spPr>
        <a:xfrm>
          <a:off x="900112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42</xdr:row>
      <xdr:rowOff>0</xdr:rowOff>
    </xdr:from>
    <xdr:to>
      <xdr:col>20</xdr:col>
      <xdr:colOff>161925</xdr:colOff>
      <xdr:row>42</xdr:row>
      <xdr:rowOff>0</xdr:rowOff>
    </xdr:to>
    <xdr:cxnSp macro="">
      <xdr:nvCxnSpPr>
        <xdr:cNvPr id="9225" name="Con1_517.5_491.5">
          <a:extLst>
            <a:ext uri="{FF2B5EF4-FFF2-40B4-BE49-F238E27FC236}">
              <a16:creationId xmlns:a16="http://schemas.microsoft.com/office/drawing/2014/main" id="{C9BD0233-F9B8-4045-AB44-53727341B293}"/>
            </a:ext>
          </a:extLst>
        </xdr:cNvPr>
        <xdr:cNvCxnSpPr/>
      </xdr:nvCxnSpPr>
      <xdr:spPr>
        <a:xfrm>
          <a:off x="67341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42</xdr:row>
      <xdr:rowOff>0</xdr:rowOff>
    </xdr:from>
    <xdr:to>
      <xdr:col>14</xdr:col>
      <xdr:colOff>161925</xdr:colOff>
      <xdr:row>42</xdr:row>
      <xdr:rowOff>0</xdr:rowOff>
    </xdr:to>
    <xdr:cxnSp macro="">
      <xdr:nvCxnSpPr>
        <xdr:cNvPr id="178" name="Con1_364.5_491.5">
          <a:extLst>
            <a:ext uri="{FF2B5EF4-FFF2-40B4-BE49-F238E27FC236}">
              <a16:creationId xmlns:a16="http://schemas.microsoft.com/office/drawing/2014/main" id="{2D8D4CCB-EAAA-4D49-88D2-8F8A2D6133A9}"/>
            </a:ext>
          </a:extLst>
        </xdr:cNvPr>
        <xdr:cNvCxnSpPr/>
      </xdr:nvCxnSpPr>
      <xdr:spPr>
        <a:xfrm>
          <a:off x="4791075" y="771525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36</xdr:row>
      <xdr:rowOff>91984</xdr:rowOff>
    </xdr:from>
    <xdr:to>
      <xdr:col>32</xdr:col>
      <xdr:colOff>161925</xdr:colOff>
      <xdr:row>36</xdr:row>
      <xdr:rowOff>102675</xdr:rowOff>
    </xdr:to>
    <xdr:cxnSp macro="">
      <xdr:nvCxnSpPr>
        <xdr:cNvPr id="61057" name="Con1_823.5_404">
          <a:extLst>
            <a:ext uri="{FF2B5EF4-FFF2-40B4-BE49-F238E27FC236}">
              <a16:creationId xmlns:a16="http://schemas.microsoft.com/office/drawing/2014/main" id="{231F8FFE-AE34-4E0D-B094-45251B73A52D}"/>
            </a:ext>
          </a:extLst>
        </xdr:cNvPr>
        <xdr:cNvCxnSpPr/>
      </xdr:nvCxnSpPr>
      <xdr:spPr>
        <a:xfrm flipV="1">
          <a:off x="10620375" y="5591084"/>
          <a:ext cx="323850" cy="10691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36</xdr:row>
      <xdr:rowOff>155755</xdr:rowOff>
    </xdr:from>
    <xdr:to>
      <xdr:col>24</xdr:col>
      <xdr:colOff>161925</xdr:colOff>
      <xdr:row>36</xdr:row>
      <xdr:rowOff>178229</xdr:rowOff>
    </xdr:to>
    <xdr:cxnSp macro="">
      <xdr:nvCxnSpPr>
        <xdr:cNvPr id="61058" name="Con1_619.5_404">
          <a:extLst>
            <a:ext uri="{FF2B5EF4-FFF2-40B4-BE49-F238E27FC236}">
              <a16:creationId xmlns:a16="http://schemas.microsoft.com/office/drawing/2014/main" id="{10B441BC-A50B-4B2E-B150-0D8A9EF198A2}"/>
            </a:ext>
          </a:extLst>
        </xdr:cNvPr>
        <xdr:cNvCxnSpPr/>
      </xdr:nvCxnSpPr>
      <xdr:spPr>
        <a:xfrm flipV="1">
          <a:off x="8029575" y="5654855"/>
          <a:ext cx="323850" cy="22474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161925</xdr:colOff>
      <xdr:row>37</xdr:row>
      <xdr:rowOff>124381</xdr:rowOff>
    </xdr:from>
    <xdr:to>
      <xdr:col>29</xdr:col>
      <xdr:colOff>161925</xdr:colOff>
      <xdr:row>37</xdr:row>
      <xdr:rowOff>174867</xdr:rowOff>
    </xdr:to>
    <xdr:cxnSp macro="">
      <xdr:nvCxnSpPr>
        <xdr:cNvPr id="61060" name="Con1_747_404">
          <a:extLst>
            <a:ext uri="{FF2B5EF4-FFF2-40B4-BE49-F238E27FC236}">
              <a16:creationId xmlns:a16="http://schemas.microsoft.com/office/drawing/2014/main" id="{7268AD1D-4B13-4D77-97A9-2877A3F6839F}"/>
            </a:ext>
          </a:extLst>
        </xdr:cNvPr>
        <xdr:cNvCxnSpPr/>
      </xdr:nvCxnSpPr>
      <xdr:spPr>
        <a:xfrm>
          <a:off x="9648825" y="5807631"/>
          <a:ext cx="323850" cy="5048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161925</xdr:colOff>
      <xdr:row>37</xdr:row>
      <xdr:rowOff>150363</xdr:rowOff>
    </xdr:from>
    <xdr:to>
      <xdr:col>16</xdr:col>
      <xdr:colOff>161925</xdr:colOff>
      <xdr:row>42</xdr:row>
      <xdr:rowOff>0</xdr:rowOff>
    </xdr:to>
    <xdr:cxnSp macro="">
      <xdr:nvCxnSpPr>
        <xdr:cNvPr id="61061" name="Con1_415.5_404">
          <a:extLst>
            <a:ext uri="{FF2B5EF4-FFF2-40B4-BE49-F238E27FC236}">
              <a16:creationId xmlns:a16="http://schemas.microsoft.com/office/drawing/2014/main" id="{941D0893-ADB3-4A35-830E-2423B34BB95B}"/>
            </a:ext>
          </a:extLst>
        </xdr:cNvPr>
        <xdr:cNvCxnSpPr/>
      </xdr:nvCxnSpPr>
      <xdr:spPr>
        <a:xfrm flipV="1">
          <a:off x="5438775" y="5833613"/>
          <a:ext cx="323850" cy="77038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36</xdr:row>
      <xdr:rowOff>118225</xdr:rowOff>
    </xdr:from>
    <xdr:to>
      <xdr:col>30</xdr:col>
      <xdr:colOff>161925</xdr:colOff>
      <xdr:row>37</xdr:row>
      <xdr:rowOff>174867</xdr:rowOff>
    </xdr:to>
    <xdr:cxnSp macro="">
      <xdr:nvCxnSpPr>
        <xdr:cNvPr id="61062" name="Con1_772.5_404">
          <a:extLst>
            <a:ext uri="{FF2B5EF4-FFF2-40B4-BE49-F238E27FC236}">
              <a16:creationId xmlns:a16="http://schemas.microsoft.com/office/drawing/2014/main" id="{DF030FC2-4D12-45A7-852E-17EE85A82DF6}"/>
            </a:ext>
          </a:extLst>
        </xdr:cNvPr>
        <xdr:cNvCxnSpPr/>
      </xdr:nvCxnSpPr>
      <xdr:spPr>
        <a:xfrm flipV="1">
          <a:off x="9972675" y="5617325"/>
          <a:ext cx="323850" cy="24079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36</xdr:row>
      <xdr:rowOff>89045</xdr:rowOff>
    </xdr:from>
    <xdr:to>
      <xdr:col>21</xdr:col>
      <xdr:colOff>161925</xdr:colOff>
      <xdr:row>37</xdr:row>
      <xdr:rowOff>146420</xdr:rowOff>
    </xdr:to>
    <xdr:cxnSp macro="">
      <xdr:nvCxnSpPr>
        <xdr:cNvPr id="61063" name="Con1_543_404">
          <a:extLst>
            <a:ext uri="{FF2B5EF4-FFF2-40B4-BE49-F238E27FC236}">
              <a16:creationId xmlns:a16="http://schemas.microsoft.com/office/drawing/2014/main" id="{E7DE6F2E-91FC-4881-B696-7B55CCCD1E9D}"/>
            </a:ext>
          </a:extLst>
        </xdr:cNvPr>
        <xdr:cNvCxnSpPr/>
      </xdr:nvCxnSpPr>
      <xdr:spPr>
        <a:xfrm>
          <a:off x="7058025" y="5588145"/>
          <a:ext cx="323850" cy="241525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42</xdr:row>
      <xdr:rowOff>0</xdr:rowOff>
    </xdr:from>
    <xdr:to>
      <xdr:col>13</xdr:col>
      <xdr:colOff>161925</xdr:colOff>
      <xdr:row>42</xdr:row>
      <xdr:rowOff>0</xdr:rowOff>
    </xdr:to>
    <xdr:cxnSp macro="">
      <xdr:nvCxnSpPr>
        <xdr:cNvPr id="61064" name="Con1_339_404">
          <a:extLst>
            <a:ext uri="{FF2B5EF4-FFF2-40B4-BE49-F238E27FC236}">
              <a16:creationId xmlns:a16="http://schemas.microsoft.com/office/drawing/2014/main" id="{CF86D811-9D1E-4AC6-9BAF-092547A2FC14}"/>
            </a:ext>
          </a:extLst>
        </xdr:cNvPr>
        <xdr:cNvCxnSpPr/>
      </xdr:nvCxnSpPr>
      <xdr:spPr>
        <a:xfrm>
          <a:off x="4467225" y="66040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161925</xdr:colOff>
      <xdr:row>36</xdr:row>
      <xdr:rowOff>113337</xdr:rowOff>
    </xdr:from>
    <xdr:to>
      <xdr:col>19</xdr:col>
      <xdr:colOff>161925</xdr:colOff>
      <xdr:row>36</xdr:row>
      <xdr:rowOff>175979</xdr:rowOff>
    </xdr:to>
    <xdr:cxnSp macro="">
      <xdr:nvCxnSpPr>
        <xdr:cNvPr id="61065" name="Con1_492_404">
          <a:extLst>
            <a:ext uri="{FF2B5EF4-FFF2-40B4-BE49-F238E27FC236}">
              <a16:creationId xmlns:a16="http://schemas.microsoft.com/office/drawing/2014/main" id="{7D61EFAF-D89D-4C60-917A-8D49B7BCB251}"/>
            </a:ext>
          </a:extLst>
        </xdr:cNvPr>
        <xdr:cNvCxnSpPr/>
      </xdr:nvCxnSpPr>
      <xdr:spPr>
        <a:xfrm flipV="1">
          <a:off x="6410325" y="5612437"/>
          <a:ext cx="323850" cy="6264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161925</xdr:colOff>
      <xdr:row>36</xdr:row>
      <xdr:rowOff>130824</xdr:rowOff>
    </xdr:from>
    <xdr:to>
      <xdr:col>25</xdr:col>
      <xdr:colOff>161925</xdr:colOff>
      <xdr:row>36</xdr:row>
      <xdr:rowOff>155755</xdr:rowOff>
    </xdr:to>
    <xdr:cxnSp macro="">
      <xdr:nvCxnSpPr>
        <xdr:cNvPr id="61066" name="Con1_645_404">
          <a:extLst>
            <a:ext uri="{FF2B5EF4-FFF2-40B4-BE49-F238E27FC236}">
              <a16:creationId xmlns:a16="http://schemas.microsoft.com/office/drawing/2014/main" id="{2DB25B8C-4C66-4F07-8BCA-34D3375A16EB}"/>
            </a:ext>
          </a:extLst>
        </xdr:cNvPr>
        <xdr:cNvCxnSpPr/>
      </xdr:nvCxnSpPr>
      <xdr:spPr>
        <a:xfrm flipV="1">
          <a:off x="8353425" y="5629924"/>
          <a:ext cx="323850" cy="24931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36</xdr:row>
      <xdr:rowOff>89045</xdr:rowOff>
    </xdr:from>
    <xdr:to>
      <xdr:col>20</xdr:col>
      <xdr:colOff>161925</xdr:colOff>
      <xdr:row>36</xdr:row>
      <xdr:rowOff>113337</xdr:rowOff>
    </xdr:to>
    <xdr:cxnSp macro="">
      <xdr:nvCxnSpPr>
        <xdr:cNvPr id="61067" name="Con1_517.5_404">
          <a:extLst>
            <a:ext uri="{FF2B5EF4-FFF2-40B4-BE49-F238E27FC236}">
              <a16:creationId xmlns:a16="http://schemas.microsoft.com/office/drawing/2014/main" id="{714D5706-858A-4695-9E54-5F1E0D4F7828}"/>
            </a:ext>
          </a:extLst>
        </xdr:cNvPr>
        <xdr:cNvCxnSpPr/>
      </xdr:nvCxnSpPr>
      <xdr:spPr>
        <a:xfrm flipV="1">
          <a:off x="6734175" y="5588145"/>
          <a:ext cx="323850" cy="2429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161925</xdr:colOff>
      <xdr:row>36</xdr:row>
      <xdr:rowOff>84498</xdr:rowOff>
    </xdr:from>
    <xdr:to>
      <xdr:col>33</xdr:col>
      <xdr:colOff>161925</xdr:colOff>
      <xdr:row>36</xdr:row>
      <xdr:rowOff>91984</xdr:rowOff>
    </xdr:to>
    <xdr:cxnSp macro="">
      <xdr:nvCxnSpPr>
        <xdr:cNvPr id="61068" name="Con1_849_404">
          <a:extLst>
            <a:ext uri="{FF2B5EF4-FFF2-40B4-BE49-F238E27FC236}">
              <a16:creationId xmlns:a16="http://schemas.microsoft.com/office/drawing/2014/main" id="{76E3CD4A-FD5D-4DEB-B444-012FB74F4FD3}"/>
            </a:ext>
          </a:extLst>
        </xdr:cNvPr>
        <xdr:cNvCxnSpPr/>
      </xdr:nvCxnSpPr>
      <xdr:spPr>
        <a:xfrm flipV="1">
          <a:off x="10944225" y="5583598"/>
          <a:ext cx="323850" cy="748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36</xdr:row>
      <xdr:rowOff>84498</xdr:rowOff>
    </xdr:from>
    <xdr:to>
      <xdr:col>34</xdr:col>
      <xdr:colOff>161925</xdr:colOff>
      <xdr:row>36</xdr:row>
      <xdr:rowOff>101015</xdr:rowOff>
    </xdr:to>
    <xdr:cxnSp macro="">
      <xdr:nvCxnSpPr>
        <xdr:cNvPr id="61069" name="Con1_874.5_404">
          <a:extLst>
            <a:ext uri="{FF2B5EF4-FFF2-40B4-BE49-F238E27FC236}">
              <a16:creationId xmlns:a16="http://schemas.microsoft.com/office/drawing/2014/main" id="{3A42A965-5044-44A6-ACC1-DA3764F37A94}"/>
            </a:ext>
          </a:extLst>
        </xdr:cNvPr>
        <xdr:cNvCxnSpPr/>
      </xdr:nvCxnSpPr>
      <xdr:spPr>
        <a:xfrm>
          <a:off x="11268075" y="5583598"/>
          <a:ext cx="323850" cy="1651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36</xdr:row>
      <xdr:rowOff>119068</xdr:rowOff>
    </xdr:from>
    <xdr:to>
      <xdr:col>11</xdr:col>
      <xdr:colOff>161925</xdr:colOff>
      <xdr:row>36</xdr:row>
      <xdr:rowOff>158528</xdr:rowOff>
    </xdr:to>
    <xdr:cxnSp macro="">
      <xdr:nvCxnSpPr>
        <xdr:cNvPr id="61070" name="Con1_288_404">
          <a:extLst>
            <a:ext uri="{FF2B5EF4-FFF2-40B4-BE49-F238E27FC236}">
              <a16:creationId xmlns:a16="http://schemas.microsoft.com/office/drawing/2014/main" id="{EFA60273-D6AE-4FD8-9E5F-C781944EA555}"/>
            </a:ext>
          </a:extLst>
        </xdr:cNvPr>
        <xdr:cNvCxnSpPr/>
      </xdr:nvCxnSpPr>
      <xdr:spPr>
        <a:xfrm>
          <a:off x="3819525" y="5618168"/>
          <a:ext cx="323850" cy="3946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161925</xdr:colOff>
      <xdr:row>36</xdr:row>
      <xdr:rowOff>114774</xdr:rowOff>
    </xdr:from>
    <xdr:to>
      <xdr:col>27</xdr:col>
      <xdr:colOff>161925</xdr:colOff>
      <xdr:row>36</xdr:row>
      <xdr:rowOff>131921</xdr:rowOff>
    </xdr:to>
    <xdr:cxnSp macro="">
      <xdr:nvCxnSpPr>
        <xdr:cNvPr id="61071" name="Con1_696_404">
          <a:extLst>
            <a:ext uri="{FF2B5EF4-FFF2-40B4-BE49-F238E27FC236}">
              <a16:creationId xmlns:a16="http://schemas.microsoft.com/office/drawing/2014/main" id="{6063C86A-43AB-44ED-90E0-82F7FE50EBC1}"/>
            </a:ext>
          </a:extLst>
        </xdr:cNvPr>
        <xdr:cNvCxnSpPr/>
      </xdr:nvCxnSpPr>
      <xdr:spPr>
        <a:xfrm>
          <a:off x="9001125" y="5613874"/>
          <a:ext cx="323850" cy="1714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36</xdr:row>
      <xdr:rowOff>102675</xdr:rowOff>
    </xdr:from>
    <xdr:to>
      <xdr:col>31</xdr:col>
      <xdr:colOff>161925</xdr:colOff>
      <xdr:row>36</xdr:row>
      <xdr:rowOff>118225</xdr:rowOff>
    </xdr:to>
    <xdr:cxnSp macro="">
      <xdr:nvCxnSpPr>
        <xdr:cNvPr id="61072" name="Con1_798_404">
          <a:extLst>
            <a:ext uri="{FF2B5EF4-FFF2-40B4-BE49-F238E27FC236}">
              <a16:creationId xmlns:a16="http://schemas.microsoft.com/office/drawing/2014/main" id="{65E08E35-3711-4C4A-BB64-D076A721613A}"/>
            </a:ext>
          </a:extLst>
        </xdr:cNvPr>
        <xdr:cNvCxnSpPr/>
      </xdr:nvCxnSpPr>
      <xdr:spPr>
        <a:xfrm flipV="1">
          <a:off x="10296525" y="5601775"/>
          <a:ext cx="323850" cy="1555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161925</xdr:colOff>
      <xdr:row>36</xdr:row>
      <xdr:rowOff>101015</xdr:rowOff>
    </xdr:from>
    <xdr:to>
      <xdr:col>35</xdr:col>
      <xdr:colOff>161925</xdr:colOff>
      <xdr:row>37</xdr:row>
      <xdr:rowOff>101686</xdr:rowOff>
    </xdr:to>
    <xdr:cxnSp macro="">
      <xdr:nvCxnSpPr>
        <xdr:cNvPr id="61073" name="Con1_900_404">
          <a:extLst>
            <a:ext uri="{FF2B5EF4-FFF2-40B4-BE49-F238E27FC236}">
              <a16:creationId xmlns:a16="http://schemas.microsoft.com/office/drawing/2014/main" id="{D13F21A3-3220-4F37-B498-AF73FAC19164}"/>
            </a:ext>
          </a:extLst>
        </xdr:cNvPr>
        <xdr:cNvCxnSpPr/>
      </xdr:nvCxnSpPr>
      <xdr:spPr>
        <a:xfrm>
          <a:off x="11591925" y="5600115"/>
          <a:ext cx="323850" cy="184821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161925</xdr:colOff>
      <xdr:row>36</xdr:row>
      <xdr:rowOff>175979</xdr:rowOff>
    </xdr:from>
    <xdr:to>
      <xdr:col>18</xdr:col>
      <xdr:colOff>161925</xdr:colOff>
      <xdr:row>38</xdr:row>
      <xdr:rowOff>44022</xdr:rowOff>
    </xdr:to>
    <xdr:cxnSp macro="">
      <xdr:nvCxnSpPr>
        <xdr:cNvPr id="61074" name="Con1_466.5_404">
          <a:extLst>
            <a:ext uri="{FF2B5EF4-FFF2-40B4-BE49-F238E27FC236}">
              <a16:creationId xmlns:a16="http://schemas.microsoft.com/office/drawing/2014/main" id="{B46C68FD-5762-41E0-B585-20413AC1B432}"/>
            </a:ext>
          </a:extLst>
        </xdr:cNvPr>
        <xdr:cNvCxnSpPr/>
      </xdr:nvCxnSpPr>
      <xdr:spPr>
        <a:xfrm flipV="1">
          <a:off x="6086475" y="5675079"/>
          <a:ext cx="323850" cy="236343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161925</xdr:colOff>
      <xdr:row>36</xdr:row>
      <xdr:rowOff>131921</xdr:rowOff>
    </xdr:from>
    <xdr:to>
      <xdr:col>28</xdr:col>
      <xdr:colOff>161925</xdr:colOff>
      <xdr:row>37</xdr:row>
      <xdr:rowOff>124381</xdr:rowOff>
    </xdr:to>
    <xdr:cxnSp macro="">
      <xdr:nvCxnSpPr>
        <xdr:cNvPr id="61076" name="Con1_721.5_404">
          <a:extLst>
            <a:ext uri="{FF2B5EF4-FFF2-40B4-BE49-F238E27FC236}">
              <a16:creationId xmlns:a16="http://schemas.microsoft.com/office/drawing/2014/main" id="{3A0EEA54-8E2D-4B9B-9000-8A2CD29E0A03}"/>
            </a:ext>
          </a:extLst>
        </xdr:cNvPr>
        <xdr:cNvCxnSpPr/>
      </xdr:nvCxnSpPr>
      <xdr:spPr>
        <a:xfrm>
          <a:off x="9324975" y="5631021"/>
          <a:ext cx="323850" cy="17661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161925</xdr:colOff>
      <xdr:row>36</xdr:row>
      <xdr:rowOff>87364</xdr:rowOff>
    </xdr:from>
    <xdr:to>
      <xdr:col>37</xdr:col>
      <xdr:colOff>161925</xdr:colOff>
      <xdr:row>37</xdr:row>
      <xdr:rowOff>155751</xdr:rowOff>
    </xdr:to>
    <xdr:cxnSp macro="">
      <xdr:nvCxnSpPr>
        <xdr:cNvPr id="61078" name="Con1_951_404">
          <a:extLst>
            <a:ext uri="{FF2B5EF4-FFF2-40B4-BE49-F238E27FC236}">
              <a16:creationId xmlns:a16="http://schemas.microsoft.com/office/drawing/2014/main" id="{43C234FA-A1EF-4EBA-B852-DF1F31D30E87}"/>
            </a:ext>
          </a:extLst>
        </xdr:cNvPr>
        <xdr:cNvCxnSpPr/>
      </xdr:nvCxnSpPr>
      <xdr:spPr>
        <a:xfrm flipV="1">
          <a:off x="12239625" y="5586464"/>
          <a:ext cx="323850" cy="25253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161925</xdr:colOff>
      <xdr:row>36</xdr:row>
      <xdr:rowOff>87364</xdr:rowOff>
    </xdr:from>
    <xdr:to>
      <xdr:col>38</xdr:col>
      <xdr:colOff>161925</xdr:colOff>
      <xdr:row>42</xdr:row>
      <xdr:rowOff>0</xdr:rowOff>
    </xdr:to>
    <xdr:cxnSp macro="">
      <xdr:nvCxnSpPr>
        <xdr:cNvPr id="61079" name="Con1_976.5_404">
          <a:extLst>
            <a:ext uri="{FF2B5EF4-FFF2-40B4-BE49-F238E27FC236}">
              <a16:creationId xmlns:a16="http://schemas.microsoft.com/office/drawing/2014/main" id="{5F673502-5961-4ED8-AA92-C7AA946D6181}"/>
            </a:ext>
          </a:extLst>
        </xdr:cNvPr>
        <xdr:cNvCxnSpPr/>
      </xdr:nvCxnSpPr>
      <xdr:spPr>
        <a:xfrm>
          <a:off x="12563475" y="5586464"/>
          <a:ext cx="323850" cy="101753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37</xdr:row>
      <xdr:rowOff>101686</xdr:rowOff>
    </xdr:from>
    <xdr:to>
      <xdr:col>36</xdr:col>
      <xdr:colOff>161925</xdr:colOff>
      <xdr:row>37</xdr:row>
      <xdr:rowOff>155751</xdr:rowOff>
    </xdr:to>
    <xdr:cxnSp macro="">
      <xdr:nvCxnSpPr>
        <xdr:cNvPr id="61081" name="Con1_925.5_404">
          <a:extLst>
            <a:ext uri="{FF2B5EF4-FFF2-40B4-BE49-F238E27FC236}">
              <a16:creationId xmlns:a16="http://schemas.microsoft.com/office/drawing/2014/main" id="{3CED1D80-58A2-476C-B8C0-45AE18BBD54F}"/>
            </a:ext>
          </a:extLst>
        </xdr:cNvPr>
        <xdr:cNvCxnSpPr/>
      </xdr:nvCxnSpPr>
      <xdr:spPr>
        <a:xfrm>
          <a:off x="11915775" y="5784936"/>
          <a:ext cx="323850" cy="54065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161925</xdr:colOff>
      <xdr:row>37</xdr:row>
      <xdr:rowOff>146420</xdr:rowOff>
    </xdr:from>
    <xdr:to>
      <xdr:col>22</xdr:col>
      <xdr:colOff>161925</xdr:colOff>
      <xdr:row>38</xdr:row>
      <xdr:rowOff>72415</xdr:rowOff>
    </xdr:to>
    <xdr:cxnSp macro="">
      <xdr:nvCxnSpPr>
        <xdr:cNvPr id="61082" name="Con1_568.5_404">
          <a:extLst>
            <a:ext uri="{FF2B5EF4-FFF2-40B4-BE49-F238E27FC236}">
              <a16:creationId xmlns:a16="http://schemas.microsoft.com/office/drawing/2014/main" id="{AA9C2A2C-356F-4E16-96A6-371EEE3B217C}"/>
            </a:ext>
          </a:extLst>
        </xdr:cNvPr>
        <xdr:cNvCxnSpPr/>
      </xdr:nvCxnSpPr>
      <xdr:spPr>
        <a:xfrm>
          <a:off x="7381875" y="5829670"/>
          <a:ext cx="323850" cy="110145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42</xdr:row>
      <xdr:rowOff>0</xdr:rowOff>
    </xdr:from>
    <xdr:to>
      <xdr:col>15</xdr:col>
      <xdr:colOff>161925</xdr:colOff>
      <xdr:row>42</xdr:row>
      <xdr:rowOff>0</xdr:rowOff>
    </xdr:to>
    <xdr:cxnSp macro="">
      <xdr:nvCxnSpPr>
        <xdr:cNvPr id="61083" name="Con1_390_404">
          <a:extLst>
            <a:ext uri="{FF2B5EF4-FFF2-40B4-BE49-F238E27FC236}">
              <a16:creationId xmlns:a16="http://schemas.microsoft.com/office/drawing/2014/main" id="{FB828833-5ABE-490B-8A37-2A5B3CB29F35}"/>
            </a:ext>
          </a:extLst>
        </xdr:cNvPr>
        <xdr:cNvCxnSpPr/>
      </xdr:nvCxnSpPr>
      <xdr:spPr>
        <a:xfrm>
          <a:off x="5114925" y="66040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42</xdr:row>
      <xdr:rowOff>0</xdr:rowOff>
    </xdr:from>
    <xdr:to>
      <xdr:col>14</xdr:col>
      <xdr:colOff>161925</xdr:colOff>
      <xdr:row>42</xdr:row>
      <xdr:rowOff>0</xdr:rowOff>
    </xdr:to>
    <xdr:cxnSp macro="">
      <xdr:nvCxnSpPr>
        <xdr:cNvPr id="61084" name="Con1_364.5_404">
          <a:extLst>
            <a:ext uri="{FF2B5EF4-FFF2-40B4-BE49-F238E27FC236}">
              <a16:creationId xmlns:a16="http://schemas.microsoft.com/office/drawing/2014/main" id="{35F4E0D9-EB73-4DF8-8F09-4B0DF7E9C14D}"/>
            </a:ext>
          </a:extLst>
        </xdr:cNvPr>
        <xdr:cNvCxnSpPr/>
      </xdr:nvCxnSpPr>
      <xdr:spPr>
        <a:xfrm>
          <a:off x="4791075" y="66040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161925</xdr:colOff>
      <xdr:row>36</xdr:row>
      <xdr:rowOff>178229</xdr:rowOff>
    </xdr:from>
    <xdr:to>
      <xdr:col>23</xdr:col>
      <xdr:colOff>161925</xdr:colOff>
      <xdr:row>38</xdr:row>
      <xdr:rowOff>72415</xdr:rowOff>
    </xdr:to>
    <xdr:cxnSp macro="">
      <xdr:nvCxnSpPr>
        <xdr:cNvPr id="61086" name="Con1_594_404">
          <a:extLst>
            <a:ext uri="{FF2B5EF4-FFF2-40B4-BE49-F238E27FC236}">
              <a16:creationId xmlns:a16="http://schemas.microsoft.com/office/drawing/2014/main" id="{CCA1C47B-C757-46B8-ADEA-EE584CE6C42A}"/>
            </a:ext>
          </a:extLst>
        </xdr:cNvPr>
        <xdr:cNvCxnSpPr/>
      </xdr:nvCxnSpPr>
      <xdr:spPr>
        <a:xfrm flipV="1">
          <a:off x="7705725" y="5677329"/>
          <a:ext cx="323850" cy="26248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161925</xdr:colOff>
      <xdr:row>37</xdr:row>
      <xdr:rowOff>150363</xdr:rowOff>
    </xdr:from>
    <xdr:to>
      <xdr:col>17</xdr:col>
      <xdr:colOff>161925</xdr:colOff>
      <xdr:row>38</xdr:row>
      <xdr:rowOff>44022</xdr:rowOff>
    </xdr:to>
    <xdr:cxnSp macro="">
      <xdr:nvCxnSpPr>
        <xdr:cNvPr id="61087" name="Con1_441_404">
          <a:extLst>
            <a:ext uri="{FF2B5EF4-FFF2-40B4-BE49-F238E27FC236}">
              <a16:creationId xmlns:a16="http://schemas.microsoft.com/office/drawing/2014/main" id="{51D570B3-2E12-4892-940C-25B21D058F0C}"/>
            </a:ext>
          </a:extLst>
        </xdr:cNvPr>
        <xdr:cNvCxnSpPr/>
      </xdr:nvCxnSpPr>
      <xdr:spPr>
        <a:xfrm>
          <a:off x="5762625" y="5833613"/>
          <a:ext cx="323850" cy="77809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36</xdr:row>
      <xdr:rowOff>114774</xdr:rowOff>
    </xdr:from>
    <xdr:to>
      <xdr:col>26</xdr:col>
      <xdr:colOff>161925</xdr:colOff>
      <xdr:row>36</xdr:row>
      <xdr:rowOff>130824</xdr:rowOff>
    </xdr:to>
    <xdr:cxnSp macro="">
      <xdr:nvCxnSpPr>
        <xdr:cNvPr id="61088" name="Con1_670.5_404">
          <a:extLst>
            <a:ext uri="{FF2B5EF4-FFF2-40B4-BE49-F238E27FC236}">
              <a16:creationId xmlns:a16="http://schemas.microsoft.com/office/drawing/2014/main" id="{A3F0D0AF-C4DF-4E8F-AA78-903CB37A91A3}"/>
            </a:ext>
          </a:extLst>
        </xdr:cNvPr>
        <xdr:cNvCxnSpPr/>
      </xdr:nvCxnSpPr>
      <xdr:spPr>
        <a:xfrm flipV="1">
          <a:off x="8677275" y="5613874"/>
          <a:ext cx="323850" cy="1605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</xdr:row>
      <xdr:rowOff>158528</xdr:rowOff>
    </xdr:from>
    <xdr:to>
      <xdr:col>12</xdr:col>
      <xdr:colOff>161925</xdr:colOff>
      <xdr:row>42</xdr:row>
      <xdr:rowOff>0</xdr:rowOff>
    </xdr:to>
    <xdr:cxnSp macro="">
      <xdr:nvCxnSpPr>
        <xdr:cNvPr id="61089" name="Con1_313.5_404">
          <a:extLst>
            <a:ext uri="{FF2B5EF4-FFF2-40B4-BE49-F238E27FC236}">
              <a16:creationId xmlns:a16="http://schemas.microsoft.com/office/drawing/2014/main" id="{E0D9FBBD-8163-4280-98EE-2FF799A51F71}"/>
            </a:ext>
          </a:extLst>
        </xdr:cNvPr>
        <xdr:cNvCxnSpPr/>
      </xdr:nvCxnSpPr>
      <xdr:spPr>
        <a:xfrm>
          <a:off x="4143375" y="5657628"/>
          <a:ext cx="323850" cy="94637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6</xdr:row>
      <xdr:rowOff>6721</xdr:rowOff>
    </xdr:from>
    <xdr:to>
      <xdr:col>37</xdr:col>
      <xdr:colOff>0</xdr:colOff>
      <xdr:row>6</xdr:row>
      <xdr:rowOff>167102</xdr:rowOff>
    </xdr:to>
    <xdr:cxnSp macro="">
      <xdr:nvCxnSpPr>
        <xdr:cNvPr id="9229" name="Hist_10_2_11">
          <a:extLst>
            <a:ext uri="{FF2B5EF4-FFF2-40B4-BE49-F238E27FC236}">
              <a16:creationId xmlns:a16="http://schemas.microsoft.com/office/drawing/2014/main" id="{5194D671-2D22-4512-BDFE-168E24627B6B}"/>
            </a:ext>
          </a:extLst>
        </xdr:cNvPr>
        <xdr:cNvCxnSpPr/>
      </xdr:nvCxnSpPr>
      <xdr:spPr>
        <a:xfrm flipV="1">
          <a:off x="12077700" y="1111621"/>
          <a:ext cx="323850" cy="160381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0</xdr:rowOff>
    </xdr:from>
    <xdr:to>
      <xdr:col>37</xdr:col>
      <xdr:colOff>0</xdr:colOff>
      <xdr:row>12</xdr:row>
      <xdr:rowOff>0</xdr:rowOff>
    </xdr:to>
    <xdr:cxnSp macro="">
      <xdr:nvCxnSpPr>
        <xdr:cNvPr id="173" name="Hist_14_6_11">
          <a:extLst>
            <a:ext uri="{FF2B5EF4-FFF2-40B4-BE49-F238E27FC236}">
              <a16:creationId xmlns:a16="http://schemas.microsoft.com/office/drawing/2014/main" id="{021A73C6-E210-4345-9053-9DB6CFDF4C9E}"/>
            </a:ext>
          </a:extLst>
        </xdr:cNvPr>
        <xdr:cNvCxnSpPr/>
      </xdr:nvCxnSpPr>
      <xdr:spPr>
        <a:xfrm>
          <a:off x="12077700" y="22098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127778</xdr:rowOff>
    </xdr:from>
    <xdr:to>
      <xdr:col>35</xdr:col>
      <xdr:colOff>0</xdr:colOff>
      <xdr:row>8</xdr:row>
      <xdr:rowOff>102215</xdr:rowOff>
    </xdr:to>
    <xdr:cxnSp macro="">
      <xdr:nvCxnSpPr>
        <xdr:cNvPr id="174" name="Hist_10_2_9">
          <a:extLst>
            <a:ext uri="{FF2B5EF4-FFF2-40B4-BE49-F238E27FC236}">
              <a16:creationId xmlns:a16="http://schemas.microsoft.com/office/drawing/2014/main" id="{FAAE1476-418A-421C-9FCA-541EA715C2F0}"/>
            </a:ext>
          </a:extLst>
        </xdr:cNvPr>
        <xdr:cNvCxnSpPr/>
      </xdr:nvCxnSpPr>
      <xdr:spPr>
        <a:xfrm flipV="1">
          <a:off x="11430000" y="1416828"/>
          <a:ext cx="323850" cy="158587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67330</xdr:rowOff>
    </xdr:from>
    <xdr:to>
      <xdr:col>30</xdr:col>
      <xdr:colOff>0</xdr:colOff>
      <xdr:row>8</xdr:row>
      <xdr:rowOff>77918</xdr:rowOff>
    </xdr:to>
    <xdr:cxnSp macro="">
      <xdr:nvCxnSpPr>
        <xdr:cNvPr id="175" name="Hist_14_6_4">
          <a:extLst>
            <a:ext uri="{FF2B5EF4-FFF2-40B4-BE49-F238E27FC236}">
              <a16:creationId xmlns:a16="http://schemas.microsoft.com/office/drawing/2014/main" id="{5C5F84B0-8AF7-4745-983D-CE0034FC0333}"/>
            </a:ext>
          </a:extLst>
        </xdr:cNvPr>
        <xdr:cNvCxnSpPr/>
      </xdr:nvCxnSpPr>
      <xdr:spPr>
        <a:xfrm>
          <a:off x="9810750" y="1172230"/>
          <a:ext cx="323850" cy="378888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10</xdr:row>
      <xdr:rowOff>165460</xdr:rowOff>
    </xdr:from>
    <xdr:to>
      <xdr:col>33</xdr:col>
      <xdr:colOff>0</xdr:colOff>
      <xdr:row>11</xdr:row>
      <xdr:rowOff>22266</xdr:rowOff>
    </xdr:to>
    <xdr:cxnSp macro="">
      <xdr:nvCxnSpPr>
        <xdr:cNvPr id="176" name="Hist_12_4_7">
          <a:extLst>
            <a:ext uri="{FF2B5EF4-FFF2-40B4-BE49-F238E27FC236}">
              <a16:creationId xmlns:a16="http://schemas.microsoft.com/office/drawing/2014/main" id="{DD367213-C20D-43A0-814D-0F05FECBFF53}"/>
            </a:ext>
          </a:extLst>
        </xdr:cNvPr>
        <xdr:cNvCxnSpPr/>
      </xdr:nvCxnSpPr>
      <xdr:spPr>
        <a:xfrm flipV="1">
          <a:off x="10782300" y="2006960"/>
          <a:ext cx="323850" cy="40956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35735</xdr:rowOff>
    </xdr:from>
    <xdr:to>
      <xdr:col>33</xdr:col>
      <xdr:colOff>0</xdr:colOff>
      <xdr:row>9</xdr:row>
      <xdr:rowOff>180471</xdr:rowOff>
    </xdr:to>
    <xdr:cxnSp macro="">
      <xdr:nvCxnSpPr>
        <xdr:cNvPr id="177" name="Hist_13_5_7">
          <a:extLst>
            <a:ext uri="{FF2B5EF4-FFF2-40B4-BE49-F238E27FC236}">
              <a16:creationId xmlns:a16="http://schemas.microsoft.com/office/drawing/2014/main" id="{BB1B861F-ED4F-4833-B79E-DB0C865BDFF9}"/>
            </a:ext>
          </a:extLst>
        </xdr:cNvPr>
        <xdr:cNvCxnSpPr/>
      </xdr:nvCxnSpPr>
      <xdr:spPr>
        <a:xfrm flipV="1">
          <a:off x="10782300" y="1693085"/>
          <a:ext cx="323850" cy="144736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6</xdr:row>
      <xdr:rowOff>109739</xdr:rowOff>
    </xdr:from>
    <xdr:to>
      <xdr:col>38</xdr:col>
      <xdr:colOff>0</xdr:colOff>
      <xdr:row>7</xdr:row>
      <xdr:rowOff>46369</xdr:rowOff>
    </xdr:to>
    <xdr:cxnSp macro="">
      <xdr:nvCxnSpPr>
        <xdr:cNvPr id="179" name="Hist_09_1_12">
          <a:extLst>
            <a:ext uri="{FF2B5EF4-FFF2-40B4-BE49-F238E27FC236}">
              <a16:creationId xmlns:a16="http://schemas.microsoft.com/office/drawing/2014/main" id="{52A24F38-A08A-477F-A990-3C1FF8BC09D1}"/>
            </a:ext>
          </a:extLst>
        </xdr:cNvPr>
        <xdr:cNvCxnSpPr/>
      </xdr:nvCxnSpPr>
      <xdr:spPr>
        <a:xfrm flipV="1">
          <a:off x="12401550" y="1214639"/>
          <a:ext cx="323850" cy="120780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169193</xdr:rowOff>
    </xdr:from>
    <xdr:to>
      <xdr:col>30</xdr:col>
      <xdr:colOff>0</xdr:colOff>
      <xdr:row>8</xdr:row>
      <xdr:rowOff>62626</xdr:rowOff>
    </xdr:to>
    <xdr:cxnSp macro="">
      <xdr:nvCxnSpPr>
        <xdr:cNvPr id="180" name="Hist_13_5_4">
          <a:extLst>
            <a:ext uri="{FF2B5EF4-FFF2-40B4-BE49-F238E27FC236}">
              <a16:creationId xmlns:a16="http://schemas.microsoft.com/office/drawing/2014/main" id="{39E679DF-2E07-45A6-A6FC-F720F89BEC58}"/>
            </a:ext>
          </a:extLst>
        </xdr:cNvPr>
        <xdr:cNvCxnSpPr/>
      </xdr:nvCxnSpPr>
      <xdr:spPr>
        <a:xfrm>
          <a:off x="9810750" y="1274093"/>
          <a:ext cx="323850" cy="261733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4</xdr:row>
      <xdr:rowOff>179167</xdr:rowOff>
    </xdr:from>
    <xdr:to>
      <xdr:col>29</xdr:col>
      <xdr:colOff>0</xdr:colOff>
      <xdr:row>6</xdr:row>
      <xdr:rowOff>67330</xdr:rowOff>
    </xdr:to>
    <xdr:cxnSp macro="">
      <xdr:nvCxnSpPr>
        <xdr:cNvPr id="181" name="Hist_14_6_3">
          <a:extLst>
            <a:ext uri="{FF2B5EF4-FFF2-40B4-BE49-F238E27FC236}">
              <a16:creationId xmlns:a16="http://schemas.microsoft.com/office/drawing/2014/main" id="{15ADCB1A-C830-4EC0-AB7E-B6B7D76A4E34}"/>
            </a:ext>
          </a:extLst>
        </xdr:cNvPr>
        <xdr:cNvCxnSpPr/>
      </xdr:nvCxnSpPr>
      <xdr:spPr>
        <a:xfrm>
          <a:off x="9486900" y="915767"/>
          <a:ext cx="323850" cy="256463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6</xdr:row>
      <xdr:rowOff>28678</xdr:rowOff>
    </xdr:from>
    <xdr:to>
      <xdr:col>27</xdr:col>
      <xdr:colOff>0</xdr:colOff>
      <xdr:row>6</xdr:row>
      <xdr:rowOff>109739</xdr:rowOff>
    </xdr:to>
    <xdr:cxnSp macro="">
      <xdr:nvCxnSpPr>
        <xdr:cNvPr id="182" name="Hist_10_2_1">
          <a:extLst>
            <a:ext uri="{FF2B5EF4-FFF2-40B4-BE49-F238E27FC236}">
              <a16:creationId xmlns:a16="http://schemas.microsoft.com/office/drawing/2014/main" id="{FCA507CA-0B0E-40D4-875B-A3DB6D4BA939}"/>
            </a:ext>
          </a:extLst>
        </xdr:cNvPr>
        <xdr:cNvCxnSpPr/>
      </xdr:nvCxnSpPr>
      <xdr:spPr>
        <a:xfrm flipV="1">
          <a:off x="8839200" y="1133578"/>
          <a:ext cx="323850" cy="81061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9</xdr:row>
      <xdr:rowOff>11152</xdr:rowOff>
    </xdr:from>
    <xdr:to>
      <xdr:col>35</xdr:col>
      <xdr:colOff>0</xdr:colOff>
      <xdr:row>9</xdr:row>
      <xdr:rowOff>11152</xdr:rowOff>
    </xdr:to>
    <xdr:cxnSp macro="">
      <xdr:nvCxnSpPr>
        <xdr:cNvPr id="183" name="Hist_14_6_9">
          <a:extLst>
            <a:ext uri="{FF2B5EF4-FFF2-40B4-BE49-F238E27FC236}">
              <a16:creationId xmlns:a16="http://schemas.microsoft.com/office/drawing/2014/main" id="{7D5B7FB2-B95D-440F-ADD6-2F8E9A0C53AD}"/>
            </a:ext>
          </a:extLst>
        </xdr:cNvPr>
        <xdr:cNvCxnSpPr/>
      </xdr:nvCxnSpPr>
      <xdr:spPr>
        <a:xfrm>
          <a:off x="11430000" y="1668502"/>
          <a:ext cx="323850" cy="0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</xdr:row>
      <xdr:rowOff>145581</xdr:rowOff>
    </xdr:from>
    <xdr:to>
      <xdr:col>36</xdr:col>
      <xdr:colOff>0</xdr:colOff>
      <xdr:row>8</xdr:row>
      <xdr:rowOff>147809</xdr:rowOff>
    </xdr:to>
    <xdr:cxnSp macro="">
      <xdr:nvCxnSpPr>
        <xdr:cNvPr id="184" name="Hist_12_4_10">
          <a:extLst>
            <a:ext uri="{FF2B5EF4-FFF2-40B4-BE49-F238E27FC236}">
              <a16:creationId xmlns:a16="http://schemas.microsoft.com/office/drawing/2014/main" id="{A19A945A-A9C1-4337-B606-DC7E0706C563}"/>
            </a:ext>
          </a:extLst>
        </xdr:cNvPr>
        <xdr:cNvCxnSpPr/>
      </xdr:nvCxnSpPr>
      <xdr:spPr>
        <a:xfrm flipV="1">
          <a:off x="11753850" y="1434631"/>
          <a:ext cx="323850" cy="186378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6</xdr:row>
      <xdr:rowOff>84010</xdr:rowOff>
    </xdr:from>
    <xdr:to>
      <xdr:col>27</xdr:col>
      <xdr:colOff>0</xdr:colOff>
      <xdr:row>6</xdr:row>
      <xdr:rowOff>95330</xdr:rowOff>
    </xdr:to>
    <xdr:cxnSp macro="">
      <xdr:nvCxnSpPr>
        <xdr:cNvPr id="185" name="Hist_09_1_1">
          <a:extLst>
            <a:ext uri="{FF2B5EF4-FFF2-40B4-BE49-F238E27FC236}">
              <a16:creationId xmlns:a16="http://schemas.microsoft.com/office/drawing/2014/main" id="{98925E44-5B9B-4433-8E6A-ECD8A357D190}"/>
            </a:ext>
          </a:extLst>
        </xdr:cNvPr>
        <xdr:cNvCxnSpPr/>
      </xdr:nvCxnSpPr>
      <xdr:spPr>
        <a:xfrm flipV="1">
          <a:off x="8839200" y="1188910"/>
          <a:ext cx="323850" cy="11320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4</xdr:row>
      <xdr:rowOff>176481</xdr:rowOff>
    </xdr:from>
    <xdr:to>
      <xdr:col>37</xdr:col>
      <xdr:colOff>0</xdr:colOff>
      <xdr:row>5</xdr:row>
      <xdr:rowOff>119420</xdr:rowOff>
    </xdr:to>
    <xdr:cxnSp macro="">
      <xdr:nvCxnSpPr>
        <xdr:cNvPr id="186" name="Hist_13_5_11">
          <a:extLst>
            <a:ext uri="{FF2B5EF4-FFF2-40B4-BE49-F238E27FC236}">
              <a16:creationId xmlns:a16="http://schemas.microsoft.com/office/drawing/2014/main" id="{038B496D-2F7C-4B62-9646-44D4AA37A90E}"/>
            </a:ext>
          </a:extLst>
        </xdr:cNvPr>
        <xdr:cNvCxnSpPr/>
      </xdr:nvCxnSpPr>
      <xdr:spPr>
        <a:xfrm flipV="1">
          <a:off x="12077700" y="913081"/>
          <a:ext cx="323850" cy="127089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6</xdr:row>
      <xdr:rowOff>122256</xdr:rowOff>
    </xdr:from>
    <xdr:to>
      <xdr:col>35</xdr:col>
      <xdr:colOff>0</xdr:colOff>
      <xdr:row>7</xdr:row>
      <xdr:rowOff>159487</xdr:rowOff>
    </xdr:to>
    <xdr:cxnSp macro="">
      <xdr:nvCxnSpPr>
        <xdr:cNvPr id="187" name="Hist_13_5_9">
          <a:extLst>
            <a:ext uri="{FF2B5EF4-FFF2-40B4-BE49-F238E27FC236}">
              <a16:creationId xmlns:a16="http://schemas.microsoft.com/office/drawing/2014/main" id="{C9E51674-087F-45A2-964F-CA8221BD646B}"/>
            </a:ext>
          </a:extLst>
        </xdr:cNvPr>
        <xdr:cNvCxnSpPr/>
      </xdr:nvCxnSpPr>
      <xdr:spPr>
        <a:xfrm flipV="1">
          <a:off x="11430000" y="1227156"/>
          <a:ext cx="323850" cy="221381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8</xdr:row>
      <xdr:rowOff>164113</xdr:rowOff>
    </xdr:from>
    <xdr:to>
      <xdr:col>31</xdr:col>
      <xdr:colOff>0</xdr:colOff>
      <xdr:row>9</xdr:row>
      <xdr:rowOff>144109</xdr:rowOff>
    </xdr:to>
    <xdr:cxnSp macro="">
      <xdr:nvCxnSpPr>
        <xdr:cNvPr id="188" name="Hist_10_2_5">
          <a:extLst>
            <a:ext uri="{FF2B5EF4-FFF2-40B4-BE49-F238E27FC236}">
              <a16:creationId xmlns:a16="http://schemas.microsoft.com/office/drawing/2014/main" id="{963A6420-B8AE-496E-A040-0E83B90A328C}"/>
            </a:ext>
          </a:extLst>
        </xdr:cNvPr>
        <xdr:cNvCxnSpPr/>
      </xdr:nvCxnSpPr>
      <xdr:spPr>
        <a:xfrm>
          <a:off x="10134600" y="1637313"/>
          <a:ext cx="323850" cy="164146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6</xdr:row>
      <xdr:rowOff>23022</xdr:rowOff>
    </xdr:from>
    <xdr:to>
      <xdr:col>38</xdr:col>
      <xdr:colOff>0</xdr:colOff>
      <xdr:row>6</xdr:row>
      <xdr:rowOff>124545</xdr:rowOff>
    </xdr:to>
    <xdr:cxnSp macro="">
      <xdr:nvCxnSpPr>
        <xdr:cNvPr id="189" name="Hist_12_4_12">
          <a:extLst>
            <a:ext uri="{FF2B5EF4-FFF2-40B4-BE49-F238E27FC236}">
              <a16:creationId xmlns:a16="http://schemas.microsoft.com/office/drawing/2014/main" id="{93E9EB25-F7A3-4BBB-A58D-C06A05AA7648}"/>
            </a:ext>
          </a:extLst>
        </xdr:cNvPr>
        <xdr:cNvCxnSpPr/>
      </xdr:nvCxnSpPr>
      <xdr:spPr>
        <a:xfrm flipV="1">
          <a:off x="12401550" y="1127922"/>
          <a:ext cx="323850" cy="101523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8</xdr:row>
      <xdr:rowOff>62626</xdr:rowOff>
    </xdr:from>
    <xdr:to>
      <xdr:col>31</xdr:col>
      <xdr:colOff>0</xdr:colOff>
      <xdr:row>9</xdr:row>
      <xdr:rowOff>81559</xdr:rowOff>
    </xdr:to>
    <xdr:cxnSp macro="">
      <xdr:nvCxnSpPr>
        <xdr:cNvPr id="190" name="Hist_13_5_5">
          <a:extLst>
            <a:ext uri="{FF2B5EF4-FFF2-40B4-BE49-F238E27FC236}">
              <a16:creationId xmlns:a16="http://schemas.microsoft.com/office/drawing/2014/main" id="{2BC8E611-5715-42C5-9BF8-5119F45B7DFE}"/>
            </a:ext>
          </a:extLst>
        </xdr:cNvPr>
        <xdr:cNvCxnSpPr/>
      </xdr:nvCxnSpPr>
      <xdr:spPr>
        <a:xfrm>
          <a:off x="10134600" y="1535826"/>
          <a:ext cx="323850" cy="203083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105096</xdr:rowOff>
    </xdr:from>
    <xdr:to>
      <xdr:col>33</xdr:col>
      <xdr:colOff>0</xdr:colOff>
      <xdr:row>10</xdr:row>
      <xdr:rowOff>64320</xdr:rowOff>
    </xdr:to>
    <xdr:cxnSp macro="">
      <xdr:nvCxnSpPr>
        <xdr:cNvPr id="191" name="Hist_10_2_7">
          <a:extLst>
            <a:ext uri="{FF2B5EF4-FFF2-40B4-BE49-F238E27FC236}">
              <a16:creationId xmlns:a16="http://schemas.microsoft.com/office/drawing/2014/main" id="{F750CDBE-7712-4927-8EC9-FD238E824704}"/>
            </a:ext>
          </a:extLst>
        </xdr:cNvPr>
        <xdr:cNvCxnSpPr/>
      </xdr:nvCxnSpPr>
      <xdr:spPr>
        <a:xfrm flipV="1">
          <a:off x="10782300" y="1762446"/>
          <a:ext cx="323850" cy="143374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8</xdr:row>
      <xdr:rowOff>147809</xdr:rowOff>
    </xdr:from>
    <xdr:to>
      <xdr:col>35</xdr:col>
      <xdr:colOff>0</xdr:colOff>
      <xdr:row>9</xdr:row>
      <xdr:rowOff>157953</xdr:rowOff>
    </xdr:to>
    <xdr:cxnSp macro="">
      <xdr:nvCxnSpPr>
        <xdr:cNvPr id="9249" name="Hist_12_4_9">
          <a:extLst>
            <a:ext uri="{FF2B5EF4-FFF2-40B4-BE49-F238E27FC236}">
              <a16:creationId xmlns:a16="http://schemas.microsoft.com/office/drawing/2014/main" id="{ACD23439-63BC-4139-9F1C-AC12DC637CD5}"/>
            </a:ext>
          </a:extLst>
        </xdr:cNvPr>
        <xdr:cNvCxnSpPr/>
      </xdr:nvCxnSpPr>
      <xdr:spPr>
        <a:xfrm flipV="1">
          <a:off x="11430000" y="1621009"/>
          <a:ext cx="323850" cy="194294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6</xdr:row>
      <xdr:rowOff>84010</xdr:rowOff>
    </xdr:from>
    <xdr:to>
      <xdr:col>28</xdr:col>
      <xdr:colOff>0</xdr:colOff>
      <xdr:row>6</xdr:row>
      <xdr:rowOff>157896</xdr:rowOff>
    </xdr:to>
    <xdr:cxnSp macro="">
      <xdr:nvCxnSpPr>
        <xdr:cNvPr id="9250" name="Hist_09_1_2">
          <a:extLst>
            <a:ext uri="{FF2B5EF4-FFF2-40B4-BE49-F238E27FC236}">
              <a16:creationId xmlns:a16="http://schemas.microsoft.com/office/drawing/2014/main" id="{B24E0990-D487-49AE-917F-A0C2D8CF50D3}"/>
            </a:ext>
          </a:extLst>
        </xdr:cNvPr>
        <xdr:cNvCxnSpPr/>
      </xdr:nvCxnSpPr>
      <xdr:spPr>
        <a:xfrm>
          <a:off x="9163050" y="1188910"/>
          <a:ext cx="323850" cy="73886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5</xdr:row>
      <xdr:rowOff>114434</xdr:rowOff>
    </xdr:from>
    <xdr:to>
      <xdr:col>27</xdr:col>
      <xdr:colOff>0</xdr:colOff>
      <xdr:row>6</xdr:row>
      <xdr:rowOff>23022</xdr:rowOff>
    </xdr:to>
    <xdr:cxnSp macro="">
      <xdr:nvCxnSpPr>
        <xdr:cNvPr id="9251" name="Hist_13_5_1">
          <a:extLst>
            <a:ext uri="{FF2B5EF4-FFF2-40B4-BE49-F238E27FC236}">
              <a16:creationId xmlns:a16="http://schemas.microsoft.com/office/drawing/2014/main" id="{81899171-29FB-4C1C-A2DD-276C55F75BF4}"/>
            </a:ext>
          </a:extLst>
        </xdr:cNvPr>
        <xdr:cNvCxnSpPr/>
      </xdr:nvCxnSpPr>
      <xdr:spPr>
        <a:xfrm flipV="1">
          <a:off x="8839200" y="1035184"/>
          <a:ext cx="323850" cy="92738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91474</xdr:rowOff>
    </xdr:from>
    <xdr:to>
      <xdr:col>34</xdr:col>
      <xdr:colOff>0</xdr:colOff>
      <xdr:row>10</xdr:row>
      <xdr:rowOff>72415</xdr:rowOff>
    </xdr:to>
    <xdr:cxnSp macro="">
      <xdr:nvCxnSpPr>
        <xdr:cNvPr id="9252" name="Hist_09_1_8">
          <a:extLst>
            <a:ext uri="{FF2B5EF4-FFF2-40B4-BE49-F238E27FC236}">
              <a16:creationId xmlns:a16="http://schemas.microsoft.com/office/drawing/2014/main" id="{AC13922D-12C2-4090-96BD-C8CFC1BD3CE5}"/>
            </a:ext>
          </a:extLst>
        </xdr:cNvPr>
        <xdr:cNvCxnSpPr/>
      </xdr:nvCxnSpPr>
      <xdr:spPr>
        <a:xfrm flipV="1">
          <a:off x="11106150" y="1748824"/>
          <a:ext cx="323850" cy="165091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5</xdr:row>
      <xdr:rowOff>75708</xdr:rowOff>
    </xdr:from>
    <xdr:to>
      <xdr:col>38</xdr:col>
      <xdr:colOff>0</xdr:colOff>
      <xdr:row>6</xdr:row>
      <xdr:rowOff>6721</xdr:rowOff>
    </xdr:to>
    <xdr:cxnSp macro="">
      <xdr:nvCxnSpPr>
        <xdr:cNvPr id="9253" name="Hist_10_2_12">
          <a:extLst>
            <a:ext uri="{FF2B5EF4-FFF2-40B4-BE49-F238E27FC236}">
              <a16:creationId xmlns:a16="http://schemas.microsoft.com/office/drawing/2014/main" id="{5699203F-2FB0-4893-85B5-0EFAF78098B0}"/>
            </a:ext>
          </a:extLst>
        </xdr:cNvPr>
        <xdr:cNvCxnSpPr/>
      </xdr:nvCxnSpPr>
      <xdr:spPr>
        <a:xfrm flipV="1">
          <a:off x="12401550" y="996458"/>
          <a:ext cx="323850" cy="115163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6</xdr:row>
      <xdr:rowOff>108599</xdr:rowOff>
    </xdr:from>
    <xdr:to>
      <xdr:col>36</xdr:col>
      <xdr:colOff>0</xdr:colOff>
      <xdr:row>7</xdr:row>
      <xdr:rowOff>66719</xdr:rowOff>
    </xdr:to>
    <xdr:cxnSp macro="">
      <xdr:nvCxnSpPr>
        <xdr:cNvPr id="9254" name="Hist_11_3_10">
          <a:extLst>
            <a:ext uri="{FF2B5EF4-FFF2-40B4-BE49-F238E27FC236}">
              <a16:creationId xmlns:a16="http://schemas.microsoft.com/office/drawing/2014/main" id="{DBE660B3-1773-46B0-BBD6-F5400973F48A}"/>
            </a:ext>
          </a:extLst>
        </xdr:cNvPr>
        <xdr:cNvCxnSpPr/>
      </xdr:nvCxnSpPr>
      <xdr:spPr>
        <a:xfrm flipV="1">
          <a:off x="11753850" y="1213499"/>
          <a:ext cx="323850" cy="142270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7</xdr:row>
      <xdr:rowOff>159487</xdr:rowOff>
    </xdr:from>
    <xdr:to>
      <xdr:col>34</xdr:col>
      <xdr:colOff>0</xdr:colOff>
      <xdr:row>9</xdr:row>
      <xdr:rowOff>35735</xdr:rowOff>
    </xdr:to>
    <xdr:cxnSp macro="">
      <xdr:nvCxnSpPr>
        <xdr:cNvPr id="9255" name="Hist_13_5_8">
          <a:extLst>
            <a:ext uri="{FF2B5EF4-FFF2-40B4-BE49-F238E27FC236}">
              <a16:creationId xmlns:a16="http://schemas.microsoft.com/office/drawing/2014/main" id="{23A26B99-DE17-406A-AAB9-466ED75882D2}"/>
            </a:ext>
          </a:extLst>
        </xdr:cNvPr>
        <xdr:cNvCxnSpPr/>
      </xdr:nvCxnSpPr>
      <xdr:spPr>
        <a:xfrm flipV="1">
          <a:off x="11106150" y="1448537"/>
          <a:ext cx="323850" cy="244548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9</xdr:row>
      <xdr:rowOff>68770</xdr:rowOff>
    </xdr:from>
    <xdr:to>
      <xdr:col>33</xdr:col>
      <xdr:colOff>0</xdr:colOff>
      <xdr:row>10</xdr:row>
      <xdr:rowOff>50465</xdr:rowOff>
    </xdr:to>
    <xdr:cxnSp macro="">
      <xdr:nvCxnSpPr>
        <xdr:cNvPr id="9256" name="Hist_11_3_7">
          <a:extLst>
            <a:ext uri="{FF2B5EF4-FFF2-40B4-BE49-F238E27FC236}">
              <a16:creationId xmlns:a16="http://schemas.microsoft.com/office/drawing/2014/main" id="{865469BA-ABEA-4F16-844B-2438F4BE9364}"/>
            </a:ext>
          </a:extLst>
        </xdr:cNvPr>
        <xdr:cNvCxnSpPr/>
      </xdr:nvCxnSpPr>
      <xdr:spPr>
        <a:xfrm flipV="1">
          <a:off x="10782300" y="1726120"/>
          <a:ext cx="323850" cy="165845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10</xdr:row>
      <xdr:rowOff>97424</xdr:rowOff>
    </xdr:from>
    <xdr:to>
      <xdr:col>32</xdr:col>
      <xdr:colOff>0</xdr:colOff>
      <xdr:row>10</xdr:row>
      <xdr:rowOff>175267</xdr:rowOff>
    </xdr:to>
    <xdr:cxnSp macro="">
      <xdr:nvCxnSpPr>
        <xdr:cNvPr id="9257" name="Hist_09_1_6">
          <a:extLst>
            <a:ext uri="{FF2B5EF4-FFF2-40B4-BE49-F238E27FC236}">
              <a16:creationId xmlns:a16="http://schemas.microsoft.com/office/drawing/2014/main" id="{8CA1709D-4564-49D1-B9AA-B16ED62FE32C}"/>
            </a:ext>
          </a:extLst>
        </xdr:cNvPr>
        <xdr:cNvCxnSpPr/>
      </xdr:nvCxnSpPr>
      <xdr:spPr>
        <a:xfrm>
          <a:off x="10458450" y="1938924"/>
          <a:ext cx="323850" cy="77843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</xdr:row>
      <xdr:rowOff>114434</xdr:rowOff>
    </xdr:from>
    <xdr:to>
      <xdr:col>28</xdr:col>
      <xdr:colOff>0</xdr:colOff>
      <xdr:row>6</xdr:row>
      <xdr:rowOff>39512</xdr:rowOff>
    </xdr:to>
    <xdr:cxnSp macro="">
      <xdr:nvCxnSpPr>
        <xdr:cNvPr id="9258" name="Hist_13_5_2">
          <a:extLst>
            <a:ext uri="{FF2B5EF4-FFF2-40B4-BE49-F238E27FC236}">
              <a16:creationId xmlns:a16="http://schemas.microsoft.com/office/drawing/2014/main" id="{E1A67A91-06B0-49B8-BC3B-41B5D29E93E5}"/>
            </a:ext>
          </a:extLst>
        </xdr:cNvPr>
        <xdr:cNvCxnSpPr/>
      </xdr:nvCxnSpPr>
      <xdr:spPr>
        <a:xfrm>
          <a:off x="9163050" y="1035184"/>
          <a:ext cx="323850" cy="109228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8</xdr:row>
      <xdr:rowOff>26755</xdr:rowOff>
    </xdr:from>
    <xdr:to>
      <xdr:col>31</xdr:col>
      <xdr:colOff>0</xdr:colOff>
      <xdr:row>10</xdr:row>
      <xdr:rowOff>173</xdr:rowOff>
    </xdr:to>
    <xdr:cxnSp macro="">
      <xdr:nvCxnSpPr>
        <xdr:cNvPr id="9259" name="Hist_12_4_5">
          <a:extLst>
            <a:ext uri="{FF2B5EF4-FFF2-40B4-BE49-F238E27FC236}">
              <a16:creationId xmlns:a16="http://schemas.microsoft.com/office/drawing/2014/main" id="{8DC07960-4F40-401F-B95D-05E5CDA1249A}"/>
            </a:ext>
          </a:extLst>
        </xdr:cNvPr>
        <xdr:cNvCxnSpPr/>
      </xdr:nvCxnSpPr>
      <xdr:spPr>
        <a:xfrm>
          <a:off x="10134600" y="1499955"/>
          <a:ext cx="323850" cy="341718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8</xdr:row>
      <xdr:rowOff>155865</xdr:rowOff>
    </xdr:from>
    <xdr:to>
      <xdr:col>31</xdr:col>
      <xdr:colOff>0</xdr:colOff>
      <xdr:row>10</xdr:row>
      <xdr:rowOff>66777</xdr:rowOff>
    </xdr:to>
    <xdr:cxnSp macro="">
      <xdr:nvCxnSpPr>
        <xdr:cNvPr id="9260" name="Hist_11_3_5">
          <a:extLst>
            <a:ext uri="{FF2B5EF4-FFF2-40B4-BE49-F238E27FC236}">
              <a16:creationId xmlns:a16="http://schemas.microsoft.com/office/drawing/2014/main" id="{1273C113-A4D4-485B-AACB-EC52E1B11A5C}"/>
            </a:ext>
          </a:extLst>
        </xdr:cNvPr>
        <xdr:cNvCxnSpPr/>
      </xdr:nvCxnSpPr>
      <xdr:spPr>
        <a:xfrm>
          <a:off x="10134600" y="1629065"/>
          <a:ext cx="323850" cy="279212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5</xdr:row>
      <xdr:rowOff>49584</xdr:rowOff>
    </xdr:from>
    <xdr:to>
      <xdr:col>27</xdr:col>
      <xdr:colOff>0</xdr:colOff>
      <xdr:row>5</xdr:row>
      <xdr:rowOff>75708</xdr:rowOff>
    </xdr:to>
    <xdr:cxnSp macro="">
      <xdr:nvCxnSpPr>
        <xdr:cNvPr id="9261" name="Hist_11_3_1">
          <a:extLst>
            <a:ext uri="{FF2B5EF4-FFF2-40B4-BE49-F238E27FC236}">
              <a16:creationId xmlns:a16="http://schemas.microsoft.com/office/drawing/2014/main" id="{079EE3C5-D1D6-453B-ACA4-F44571AAA661}"/>
            </a:ext>
          </a:extLst>
        </xdr:cNvPr>
        <xdr:cNvCxnSpPr/>
      </xdr:nvCxnSpPr>
      <xdr:spPr>
        <a:xfrm flipV="1">
          <a:off x="8839200" y="970334"/>
          <a:ext cx="323850" cy="26124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10</xdr:row>
      <xdr:rowOff>50465</xdr:rowOff>
    </xdr:from>
    <xdr:to>
      <xdr:col>32</xdr:col>
      <xdr:colOff>0</xdr:colOff>
      <xdr:row>10</xdr:row>
      <xdr:rowOff>66777</xdr:rowOff>
    </xdr:to>
    <xdr:cxnSp macro="">
      <xdr:nvCxnSpPr>
        <xdr:cNvPr id="9262" name="Hist_11_3_6">
          <a:extLst>
            <a:ext uri="{FF2B5EF4-FFF2-40B4-BE49-F238E27FC236}">
              <a16:creationId xmlns:a16="http://schemas.microsoft.com/office/drawing/2014/main" id="{C7767F2F-FDAB-47BB-B654-F0E1C24EEE55}"/>
            </a:ext>
          </a:extLst>
        </xdr:cNvPr>
        <xdr:cNvCxnSpPr/>
      </xdr:nvCxnSpPr>
      <xdr:spPr>
        <a:xfrm flipV="1">
          <a:off x="10458450" y="1891965"/>
          <a:ext cx="323850" cy="16312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4</xdr:row>
      <xdr:rowOff>77831</xdr:rowOff>
    </xdr:from>
    <xdr:to>
      <xdr:col>28</xdr:col>
      <xdr:colOff>0</xdr:colOff>
      <xdr:row>4</xdr:row>
      <xdr:rowOff>179167</xdr:rowOff>
    </xdr:to>
    <xdr:cxnSp macro="">
      <xdr:nvCxnSpPr>
        <xdr:cNvPr id="9263" name="Hist_14_6_2">
          <a:extLst>
            <a:ext uri="{FF2B5EF4-FFF2-40B4-BE49-F238E27FC236}">
              <a16:creationId xmlns:a16="http://schemas.microsoft.com/office/drawing/2014/main" id="{68338FE5-2370-4A97-B535-F9ECCBAF0461}"/>
            </a:ext>
          </a:extLst>
        </xdr:cNvPr>
        <xdr:cNvCxnSpPr/>
      </xdr:nvCxnSpPr>
      <xdr:spPr>
        <a:xfrm>
          <a:off x="9163050" y="814431"/>
          <a:ext cx="323850" cy="101336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100710</xdr:rowOff>
    </xdr:from>
    <xdr:to>
      <xdr:col>30</xdr:col>
      <xdr:colOff>0</xdr:colOff>
      <xdr:row>8</xdr:row>
      <xdr:rowOff>26755</xdr:rowOff>
    </xdr:to>
    <xdr:cxnSp macro="">
      <xdr:nvCxnSpPr>
        <xdr:cNvPr id="9264" name="Hist_12_4_4">
          <a:extLst>
            <a:ext uri="{FF2B5EF4-FFF2-40B4-BE49-F238E27FC236}">
              <a16:creationId xmlns:a16="http://schemas.microsoft.com/office/drawing/2014/main" id="{C09E89E4-6AD1-4808-ADD6-85C9ADEA8CEB}"/>
            </a:ext>
          </a:extLst>
        </xdr:cNvPr>
        <xdr:cNvCxnSpPr/>
      </xdr:nvCxnSpPr>
      <xdr:spPr>
        <a:xfrm>
          <a:off x="9810750" y="1205610"/>
          <a:ext cx="323850" cy="294345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157953</xdr:rowOff>
    </xdr:from>
    <xdr:to>
      <xdr:col>34</xdr:col>
      <xdr:colOff>0</xdr:colOff>
      <xdr:row>10</xdr:row>
      <xdr:rowOff>165460</xdr:rowOff>
    </xdr:to>
    <xdr:cxnSp macro="">
      <xdr:nvCxnSpPr>
        <xdr:cNvPr id="9265" name="Hist_12_4_8">
          <a:extLst>
            <a:ext uri="{FF2B5EF4-FFF2-40B4-BE49-F238E27FC236}">
              <a16:creationId xmlns:a16="http://schemas.microsoft.com/office/drawing/2014/main" id="{536AABD9-CD76-46AB-8355-8147BCE3F4C6}"/>
            </a:ext>
          </a:extLst>
        </xdr:cNvPr>
        <xdr:cNvCxnSpPr/>
      </xdr:nvCxnSpPr>
      <xdr:spPr>
        <a:xfrm flipV="1">
          <a:off x="11106150" y="1815303"/>
          <a:ext cx="323850" cy="191657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11152</xdr:rowOff>
    </xdr:from>
    <xdr:to>
      <xdr:col>34</xdr:col>
      <xdr:colOff>0</xdr:colOff>
      <xdr:row>10</xdr:row>
      <xdr:rowOff>76317</xdr:rowOff>
    </xdr:to>
    <xdr:cxnSp macro="">
      <xdr:nvCxnSpPr>
        <xdr:cNvPr id="9266" name="Hist_14_6_8">
          <a:extLst>
            <a:ext uri="{FF2B5EF4-FFF2-40B4-BE49-F238E27FC236}">
              <a16:creationId xmlns:a16="http://schemas.microsoft.com/office/drawing/2014/main" id="{594D4749-6FAF-4527-AEBE-99B976CCA3A1}"/>
            </a:ext>
          </a:extLst>
        </xdr:cNvPr>
        <xdr:cNvCxnSpPr/>
      </xdr:nvCxnSpPr>
      <xdr:spPr>
        <a:xfrm flipV="1">
          <a:off x="11106150" y="1668502"/>
          <a:ext cx="323850" cy="249315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</xdr:row>
      <xdr:rowOff>7385</xdr:rowOff>
    </xdr:from>
    <xdr:to>
      <xdr:col>28</xdr:col>
      <xdr:colOff>0</xdr:colOff>
      <xdr:row>5</xdr:row>
      <xdr:rowOff>66014</xdr:rowOff>
    </xdr:to>
    <xdr:cxnSp macro="">
      <xdr:nvCxnSpPr>
        <xdr:cNvPr id="9267" name="Hist_12_4_2">
          <a:extLst>
            <a:ext uri="{FF2B5EF4-FFF2-40B4-BE49-F238E27FC236}">
              <a16:creationId xmlns:a16="http://schemas.microsoft.com/office/drawing/2014/main" id="{4E4F8F30-5F6B-4D77-BAC7-3F55EAB030CD}"/>
            </a:ext>
          </a:extLst>
        </xdr:cNvPr>
        <xdr:cNvCxnSpPr/>
      </xdr:nvCxnSpPr>
      <xdr:spPr>
        <a:xfrm>
          <a:off x="9163050" y="928135"/>
          <a:ext cx="323850" cy="58629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5</xdr:row>
      <xdr:rowOff>150702</xdr:rowOff>
    </xdr:from>
    <xdr:to>
      <xdr:col>37</xdr:col>
      <xdr:colOff>0</xdr:colOff>
      <xdr:row>6</xdr:row>
      <xdr:rowOff>108599</xdr:rowOff>
    </xdr:to>
    <xdr:cxnSp macro="">
      <xdr:nvCxnSpPr>
        <xdr:cNvPr id="9268" name="Hist_11_3_11">
          <a:extLst>
            <a:ext uri="{FF2B5EF4-FFF2-40B4-BE49-F238E27FC236}">
              <a16:creationId xmlns:a16="http://schemas.microsoft.com/office/drawing/2014/main" id="{26B0A9B1-9DD7-467F-9DB8-FDD3B41E12C5}"/>
            </a:ext>
          </a:extLst>
        </xdr:cNvPr>
        <xdr:cNvCxnSpPr/>
      </xdr:nvCxnSpPr>
      <xdr:spPr>
        <a:xfrm flipV="1">
          <a:off x="12077700" y="1071452"/>
          <a:ext cx="323850" cy="142047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6</xdr:row>
      <xdr:rowOff>11409</xdr:rowOff>
    </xdr:from>
    <xdr:to>
      <xdr:col>29</xdr:col>
      <xdr:colOff>0</xdr:colOff>
      <xdr:row>7</xdr:row>
      <xdr:rowOff>52556</xdr:rowOff>
    </xdr:to>
    <xdr:cxnSp macro="">
      <xdr:nvCxnSpPr>
        <xdr:cNvPr id="9269" name="Hist_11_3_3">
          <a:extLst>
            <a:ext uri="{FF2B5EF4-FFF2-40B4-BE49-F238E27FC236}">
              <a16:creationId xmlns:a16="http://schemas.microsoft.com/office/drawing/2014/main" id="{BF3E0D6E-5754-46A0-94C3-9FB49B11DC60}"/>
            </a:ext>
          </a:extLst>
        </xdr:cNvPr>
        <xdr:cNvCxnSpPr/>
      </xdr:nvCxnSpPr>
      <xdr:spPr>
        <a:xfrm>
          <a:off x="9486900" y="1116309"/>
          <a:ext cx="323850" cy="225297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6</xdr:row>
      <xdr:rowOff>124545</xdr:rowOff>
    </xdr:from>
    <xdr:to>
      <xdr:col>37</xdr:col>
      <xdr:colOff>0</xdr:colOff>
      <xdr:row>7</xdr:row>
      <xdr:rowOff>145581</xdr:rowOff>
    </xdr:to>
    <xdr:cxnSp macro="">
      <xdr:nvCxnSpPr>
        <xdr:cNvPr id="9270" name="Hist_12_4_11">
          <a:extLst>
            <a:ext uri="{FF2B5EF4-FFF2-40B4-BE49-F238E27FC236}">
              <a16:creationId xmlns:a16="http://schemas.microsoft.com/office/drawing/2014/main" id="{6E8AF5FC-3896-411C-8A68-0ED0448960B6}"/>
            </a:ext>
          </a:extLst>
        </xdr:cNvPr>
        <xdr:cNvCxnSpPr/>
      </xdr:nvCxnSpPr>
      <xdr:spPr>
        <a:xfrm flipV="1">
          <a:off x="12077700" y="1229445"/>
          <a:ext cx="323850" cy="205186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6</xdr:row>
      <xdr:rowOff>28678</xdr:rowOff>
    </xdr:from>
    <xdr:to>
      <xdr:col>28</xdr:col>
      <xdr:colOff>0</xdr:colOff>
      <xdr:row>6</xdr:row>
      <xdr:rowOff>66036</xdr:rowOff>
    </xdr:to>
    <xdr:cxnSp macro="">
      <xdr:nvCxnSpPr>
        <xdr:cNvPr id="9271" name="Hist_10_2_2">
          <a:extLst>
            <a:ext uri="{FF2B5EF4-FFF2-40B4-BE49-F238E27FC236}">
              <a16:creationId xmlns:a16="http://schemas.microsoft.com/office/drawing/2014/main" id="{F93EEEDA-EE93-4A60-9CE3-07183F5F10DC}"/>
            </a:ext>
          </a:extLst>
        </xdr:cNvPr>
        <xdr:cNvCxnSpPr/>
      </xdr:nvCxnSpPr>
      <xdr:spPr>
        <a:xfrm>
          <a:off x="9163050" y="1133578"/>
          <a:ext cx="323850" cy="37358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6</xdr:row>
      <xdr:rowOff>39512</xdr:rowOff>
    </xdr:from>
    <xdr:to>
      <xdr:col>29</xdr:col>
      <xdr:colOff>0</xdr:colOff>
      <xdr:row>6</xdr:row>
      <xdr:rowOff>169193</xdr:rowOff>
    </xdr:to>
    <xdr:cxnSp macro="">
      <xdr:nvCxnSpPr>
        <xdr:cNvPr id="9272" name="Hist_13_5_3">
          <a:extLst>
            <a:ext uri="{FF2B5EF4-FFF2-40B4-BE49-F238E27FC236}">
              <a16:creationId xmlns:a16="http://schemas.microsoft.com/office/drawing/2014/main" id="{9C5F76AB-CF32-45D4-AB69-D5F1E303FA60}"/>
            </a:ext>
          </a:extLst>
        </xdr:cNvPr>
        <xdr:cNvCxnSpPr/>
      </xdr:nvCxnSpPr>
      <xdr:spPr>
        <a:xfrm>
          <a:off x="9486900" y="1144412"/>
          <a:ext cx="323850" cy="129681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10</xdr:row>
      <xdr:rowOff>76317</xdr:rowOff>
    </xdr:from>
    <xdr:to>
      <xdr:col>33</xdr:col>
      <xdr:colOff>0</xdr:colOff>
      <xdr:row>11</xdr:row>
      <xdr:rowOff>42105</xdr:rowOff>
    </xdr:to>
    <xdr:cxnSp macro="">
      <xdr:nvCxnSpPr>
        <xdr:cNvPr id="9273" name="Hist_14_6_7">
          <a:extLst>
            <a:ext uri="{FF2B5EF4-FFF2-40B4-BE49-F238E27FC236}">
              <a16:creationId xmlns:a16="http://schemas.microsoft.com/office/drawing/2014/main" id="{6C9D97B5-6AA1-4CAC-84D8-305E5C307AAB}"/>
            </a:ext>
          </a:extLst>
        </xdr:cNvPr>
        <xdr:cNvCxnSpPr/>
      </xdr:nvCxnSpPr>
      <xdr:spPr>
        <a:xfrm flipV="1">
          <a:off x="10782300" y="1917817"/>
          <a:ext cx="323850" cy="149938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8</xdr:row>
      <xdr:rowOff>109854</xdr:rowOff>
    </xdr:from>
    <xdr:to>
      <xdr:col>35</xdr:col>
      <xdr:colOff>0</xdr:colOff>
      <xdr:row>9</xdr:row>
      <xdr:rowOff>91474</xdr:rowOff>
    </xdr:to>
    <xdr:cxnSp macro="">
      <xdr:nvCxnSpPr>
        <xdr:cNvPr id="9274" name="Hist_09_1_9">
          <a:extLst>
            <a:ext uri="{FF2B5EF4-FFF2-40B4-BE49-F238E27FC236}">
              <a16:creationId xmlns:a16="http://schemas.microsoft.com/office/drawing/2014/main" id="{A079C06B-F8CF-47A1-A319-DB7CABA6332F}"/>
            </a:ext>
          </a:extLst>
        </xdr:cNvPr>
        <xdr:cNvCxnSpPr/>
      </xdr:nvCxnSpPr>
      <xdr:spPr>
        <a:xfrm flipV="1">
          <a:off x="11430000" y="1583054"/>
          <a:ext cx="323850" cy="165770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9</xdr:row>
      <xdr:rowOff>102393</xdr:rowOff>
    </xdr:from>
    <xdr:to>
      <xdr:col>31</xdr:col>
      <xdr:colOff>0</xdr:colOff>
      <xdr:row>10</xdr:row>
      <xdr:rowOff>97424</xdr:rowOff>
    </xdr:to>
    <xdr:cxnSp macro="">
      <xdr:nvCxnSpPr>
        <xdr:cNvPr id="9275" name="Hist_09_1_5">
          <a:extLst>
            <a:ext uri="{FF2B5EF4-FFF2-40B4-BE49-F238E27FC236}">
              <a16:creationId xmlns:a16="http://schemas.microsoft.com/office/drawing/2014/main" id="{BCD073E7-EE9C-4E73-813A-CD52F7ECA937}"/>
            </a:ext>
          </a:extLst>
        </xdr:cNvPr>
        <xdr:cNvCxnSpPr/>
      </xdr:nvCxnSpPr>
      <xdr:spPr>
        <a:xfrm>
          <a:off x="10134600" y="1759743"/>
          <a:ext cx="323850" cy="179181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6</xdr:row>
      <xdr:rowOff>167102</xdr:rowOff>
    </xdr:from>
    <xdr:to>
      <xdr:col>36</xdr:col>
      <xdr:colOff>0</xdr:colOff>
      <xdr:row>7</xdr:row>
      <xdr:rowOff>127778</xdr:rowOff>
    </xdr:to>
    <xdr:cxnSp macro="">
      <xdr:nvCxnSpPr>
        <xdr:cNvPr id="9276" name="Hist_10_2_10">
          <a:extLst>
            <a:ext uri="{FF2B5EF4-FFF2-40B4-BE49-F238E27FC236}">
              <a16:creationId xmlns:a16="http://schemas.microsoft.com/office/drawing/2014/main" id="{C10AA7CA-718B-4135-8440-EE988C3D5846}"/>
            </a:ext>
          </a:extLst>
        </xdr:cNvPr>
        <xdr:cNvCxnSpPr/>
      </xdr:nvCxnSpPr>
      <xdr:spPr>
        <a:xfrm flipV="1">
          <a:off x="11753850" y="1272002"/>
          <a:ext cx="323850" cy="144826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</xdr:row>
      <xdr:rowOff>144109</xdr:rowOff>
    </xdr:from>
    <xdr:to>
      <xdr:col>32</xdr:col>
      <xdr:colOff>0</xdr:colOff>
      <xdr:row>10</xdr:row>
      <xdr:rowOff>64320</xdr:rowOff>
    </xdr:to>
    <xdr:cxnSp macro="">
      <xdr:nvCxnSpPr>
        <xdr:cNvPr id="9277" name="Hist_10_2_6">
          <a:extLst>
            <a:ext uri="{FF2B5EF4-FFF2-40B4-BE49-F238E27FC236}">
              <a16:creationId xmlns:a16="http://schemas.microsoft.com/office/drawing/2014/main" id="{F84F85A7-4EB7-402F-994E-6B52726045F2}"/>
            </a:ext>
          </a:extLst>
        </xdr:cNvPr>
        <xdr:cNvCxnSpPr/>
      </xdr:nvCxnSpPr>
      <xdr:spPr>
        <a:xfrm>
          <a:off x="10458450" y="1801459"/>
          <a:ext cx="323850" cy="104361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6</xdr:row>
      <xdr:rowOff>157896</xdr:rowOff>
    </xdr:from>
    <xdr:to>
      <xdr:col>29</xdr:col>
      <xdr:colOff>0</xdr:colOff>
      <xdr:row>7</xdr:row>
      <xdr:rowOff>173867</xdr:rowOff>
    </xdr:to>
    <xdr:cxnSp macro="">
      <xdr:nvCxnSpPr>
        <xdr:cNvPr id="9278" name="Hist_09_1_3">
          <a:extLst>
            <a:ext uri="{FF2B5EF4-FFF2-40B4-BE49-F238E27FC236}">
              <a16:creationId xmlns:a16="http://schemas.microsoft.com/office/drawing/2014/main" id="{E9CB779F-4E85-4961-82A2-AEDB74A0BA24}"/>
            </a:ext>
          </a:extLst>
        </xdr:cNvPr>
        <xdr:cNvCxnSpPr/>
      </xdr:nvCxnSpPr>
      <xdr:spPr>
        <a:xfrm>
          <a:off x="9486900" y="1262796"/>
          <a:ext cx="323850" cy="200121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7</xdr:row>
      <xdr:rowOff>173867</xdr:rowOff>
    </xdr:from>
    <xdr:to>
      <xdr:col>30</xdr:col>
      <xdr:colOff>0</xdr:colOff>
      <xdr:row>9</xdr:row>
      <xdr:rowOff>102393</xdr:rowOff>
    </xdr:to>
    <xdr:cxnSp macro="">
      <xdr:nvCxnSpPr>
        <xdr:cNvPr id="9279" name="Hist_09_1_4">
          <a:extLst>
            <a:ext uri="{FF2B5EF4-FFF2-40B4-BE49-F238E27FC236}">
              <a16:creationId xmlns:a16="http://schemas.microsoft.com/office/drawing/2014/main" id="{4B6A9358-09C7-46D0-A6EB-7BEF43B9273C}"/>
            </a:ext>
          </a:extLst>
        </xdr:cNvPr>
        <xdr:cNvCxnSpPr/>
      </xdr:nvCxnSpPr>
      <xdr:spPr>
        <a:xfrm>
          <a:off x="9810750" y="1462917"/>
          <a:ext cx="323850" cy="296826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6</xdr:row>
      <xdr:rowOff>66036</xdr:rowOff>
    </xdr:from>
    <xdr:to>
      <xdr:col>29</xdr:col>
      <xdr:colOff>0</xdr:colOff>
      <xdr:row>7</xdr:row>
      <xdr:rowOff>116739</xdr:rowOff>
    </xdr:to>
    <xdr:cxnSp macro="">
      <xdr:nvCxnSpPr>
        <xdr:cNvPr id="36512" name="Hist_10_2_3">
          <a:extLst>
            <a:ext uri="{FF2B5EF4-FFF2-40B4-BE49-F238E27FC236}">
              <a16:creationId xmlns:a16="http://schemas.microsoft.com/office/drawing/2014/main" id="{F205B849-D131-42DD-B257-00A31961DFDE}"/>
            </a:ext>
          </a:extLst>
        </xdr:cNvPr>
        <xdr:cNvCxnSpPr/>
      </xdr:nvCxnSpPr>
      <xdr:spPr>
        <a:xfrm>
          <a:off x="9486900" y="1170936"/>
          <a:ext cx="323850" cy="234853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12</xdr:row>
      <xdr:rowOff>0</xdr:rowOff>
    </xdr:from>
    <xdr:to>
      <xdr:col>38</xdr:col>
      <xdr:colOff>0</xdr:colOff>
      <xdr:row>12</xdr:row>
      <xdr:rowOff>0</xdr:rowOff>
    </xdr:to>
    <xdr:cxnSp macro="">
      <xdr:nvCxnSpPr>
        <xdr:cNvPr id="36513" name="Hist_14_6_12">
          <a:extLst>
            <a:ext uri="{FF2B5EF4-FFF2-40B4-BE49-F238E27FC236}">
              <a16:creationId xmlns:a16="http://schemas.microsoft.com/office/drawing/2014/main" id="{CEAFC5EE-FFD2-44D3-A60A-AFBAB5FD65C5}"/>
            </a:ext>
          </a:extLst>
        </xdr:cNvPr>
        <xdr:cNvCxnSpPr/>
      </xdr:nvCxnSpPr>
      <xdr:spPr>
        <a:xfrm>
          <a:off x="12401550" y="22098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9</xdr:row>
      <xdr:rowOff>81559</xdr:rowOff>
    </xdr:from>
    <xdr:to>
      <xdr:col>32</xdr:col>
      <xdr:colOff>0</xdr:colOff>
      <xdr:row>9</xdr:row>
      <xdr:rowOff>180471</xdr:rowOff>
    </xdr:to>
    <xdr:cxnSp macro="">
      <xdr:nvCxnSpPr>
        <xdr:cNvPr id="36514" name="Hist_13_5_6">
          <a:extLst>
            <a:ext uri="{FF2B5EF4-FFF2-40B4-BE49-F238E27FC236}">
              <a16:creationId xmlns:a16="http://schemas.microsoft.com/office/drawing/2014/main" id="{BE87A221-D404-4AE7-9569-53C017943B16}"/>
            </a:ext>
          </a:extLst>
        </xdr:cNvPr>
        <xdr:cNvCxnSpPr/>
      </xdr:nvCxnSpPr>
      <xdr:spPr>
        <a:xfrm>
          <a:off x="10458450" y="1738909"/>
          <a:ext cx="323850" cy="98912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0</xdr:colOff>
      <xdr:row>10</xdr:row>
      <xdr:rowOff>72415</xdr:rowOff>
    </xdr:from>
    <xdr:to>
      <xdr:col>33</xdr:col>
      <xdr:colOff>0</xdr:colOff>
      <xdr:row>10</xdr:row>
      <xdr:rowOff>175267</xdr:rowOff>
    </xdr:to>
    <xdr:cxnSp macro="">
      <xdr:nvCxnSpPr>
        <xdr:cNvPr id="36515" name="Hist_09_1_7">
          <a:extLst>
            <a:ext uri="{FF2B5EF4-FFF2-40B4-BE49-F238E27FC236}">
              <a16:creationId xmlns:a16="http://schemas.microsoft.com/office/drawing/2014/main" id="{2B67FA23-D061-4284-AAB7-8CB50944DF8F}"/>
            </a:ext>
          </a:extLst>
        </xdr:cNvPr>
        <xdr:cNvCxnSpPr/>
      </xdr:nvCxnSpPr>
      <xdr:spPr>
        <a:xfrm flipV="1">
          <a:off x="10782300" y="1913915"/>
          <a:ext cx="323850" cy="102852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8</xdr:row>
      <xdr:rowOff>77918</xdr:rowOff>
    </xdr:from>
    <xdr:to>
      <xdr:col>31</xdr:col>
      <xdr:colOff>0</xdr:colOff>
      <xdr:row>10</xdr:row>
      <xdr:rowOff>59622</xdr:rowOff>
    </xdr:to>
    <xdr:cxnSp macro="">
      <xdr:nvCxnSpPr>
        <xdr:cNvPr id="36516" name="Hist_14_6_5">
          <a:extLst>
            <a:ext uri="{FF2B5EF4-FFF2-40B4-BE49-F238E27FC236}">
              <a16:creationId xmlns:a16="http://schemas.microsoft.com/office/drawing/2014/main" id="{07115F07-3FDD-41E7-A345-1D099CCCF681}"/>
            </a:ext>
          </a:extLst>
        </xdr:cNvPr>
        <xdr:cNvCxnSpPr/>
      </xdr:nvCxnSpPr>
      <xdr:spPr>
        <a:xfrm>
          <a:off x="10134600" y="1551118"/>
          <a:ext cx="323850" cy="350004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5</xdr:row>
      <xdr:rowOff>7385</xdr:rowOff>
    </xdr:from>
    <xdr:to>
      <xdr:col>27</xdr:col>
      <xdr:colOff>0</xdr:colOff>
      <xdr:row>5</xdr:row>
      <xdr:rowOff>49281</xdr:rowOff>
    </xdr:to>
    <xdr:cxnSp macro="">
      <xdr:nvCxnSpPr>
        <xdr:cNvPr id="36517" name="Hist_12_4_1">
          <a:extLst>
            <a:ext uri="{FF2B5EF4-FFF2-40B4-BE49-F238E27FC236}">
              <a16:creationId xmlns:a16="http://schemas.microsoft.com/office/drawing/2014/main" id="{15A111E2-F51D-4347-9BC6-9F589A296E2B}"/>
            </a:ext>
          </a:extLst>
        </xdr:cNvPr>
        <xdr:cNvCxnSpPr/>
      </xdr:nvCxnSpPr>
      <xdr:spPr>
        <a:xfrm flipV="1">
          <a:off x="8839200" y="928135"/>
          <a:ext cx="323850" cy="41896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66719</xdr:rowOff>
    </xdr:from>
    <xdr:to>
      <xdr:col>35</xdr:col>
      <xdr:colOff>0</xdr:colOff>
      <xdr:row>8</xdr:row>
      <xdr:rowOff>50645</xdr:rowOff>
    </xdr:to>
    <xdr:cxnSp macro="">
      <xdr:nvCxnSpPr>
        <xdr:cNvPr id="36518" name="Hist_11_3_9">
          <a:extLst>
            <a:ext uri="{FF2B5EF4-FFF2-40B4-BE49-F238E27FC236}">
              <a16:creationId xmlns:a16="http://schemas.microsoft.com/office/drawing/2014/main" id="{842D1916-7B8F-47B3-9E3F-F3BF2507389A}"/>
            </a:ext>
          </a:extLst>
        </xdr:cNvPr>
        <xdr:cNvCxnSpPr/>
      </xdr:nvCxnSpPr>
      <xdr:spPr>
        <a:xfrm flipV="1">
          <a:off x="11430000" y="1355769"/>
          <a:ext cx="323850" cy="168076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4</xdr:row>
      <xdr:rowOff>98497</xdr:rowOff>
    </xdr:from>
    <xdr:to>
      <xdr:col>38</xdr:col>
      <xdr:colOff>0</xdr:colOff>
      <xdr:row>4</xdr:row>
      <xdr:rowOff>176481</xdr:rowOff>
    </xdr:to>
    <xdr:cxnSp macro="">
      <xdr:nvCxnSpPr>
        <xdr:cNvPr id="36519" name="Hist_13_5_12">
          <a:extLst>
            <a:ext uri="{FF2B5EF4-FFF2-40B4-BE49-F238E27FC236}">
              <a16:creationId xmlns:a16="http://schemas.microsoft.com/office/drawing/2014/main" id="{846B68FC-B0A4-4F59-8E4F-4A340B47CD9D}"/>
            </a:ext>
          </a:extLst>
        </xdr:cNvPr>
        <xdr:cNvCxnSpPr/>
      </xdr:nvCxnSpPr>
      <xdr:spPr>
        <a:xfrm flipV="1">
          <a:off x="12401550" y="835097"/>
          <a:ext cx="323850" cy="77984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10</xdr:row>
      <xdr:rowOff>173</xdr:rowOff>
    </xdr:from>
    <xdr:to>
      <xdr:col>32</xdr:col>
      <xdr:colOff>0</xdr:colOff>
      <xdr:row>11</xdr:row>
      <xdr:rowOff>22266</xdr:rowOff>
    </xdr:to>
    <xdr:cxnSp macro="">
      <xdr:nvCxnSpPr>
        <xdr:cNvPr id="36520" name="Hist_12_4_6">
          <a:extLst>
            <a:ext uri="{FF2B5EF4-FFF2-40B4-BE49-F238E27FC236}">
              <a16:creationId xmlns:a16="http://schemas.microsoft.com/office/drawing/2014/main" id="{4FEB9767-72C6-468B-B4B1-6F2A5BD2A3FA}"/>
            </a:ext>
          </a:extLst>
        </xdr:cNvPr>
        <xdr:cNvCxnSpPr/>
      </xdr:nvCxnSpPr>
      <xdr:spPr>
        <a:xfrm>
          <a:off x="10458450" y="1841673"/>
          <a:ext cx="323850" cy="206243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8</xdr:row>
      <xdr:rowOff>102215</xdr:rowOff>
    </xdr:from>
    <xdr:to>
      <xdr:col>34</xdr:col>
      <xdr:colOff>0</xdr:colOff>
      <xdr:row>9</xdr:row>
      <xdr:rowOff>105096</xdr:rowOff>
    </xdr:to>
    <xdr:cxnSp macro="">
      <xdr:nvCxnSpPr>
        <xdr:cNvPr id="36521" name="Hist_10_2_8">
          <a:extLst>
            <a:ext uri="{FF2B5EF4-FFF2-40B4-BE49-F238E27FC236}">
              <a16:creationId xmlns:a16="http://schemas.microsoft.com/office/drawing/2014/main" id="{1FDDEFF3-E4C1-47DB-A069-75FEDE0C0CF0}"/>
            </a:ext>
          </a:extLst>
        </xdr:cNvPr>
        <xdr:cNvCxnSpPr/>
      </xdr:nvCxnSpPr>
      <xdr:spPr>
        <a:xfrm flipV="1">
          <a:off x="11106150" y="1575415"/>
          <a:ext cx="323850" cy="187031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0</xdr:colOff>
      <xdr:row>10</xdr:row>
      <xdr:rowOff>59622</xdr:rowOff>
    </xdr:from>
    <xdr:to>
      <xdr:col>32</xdr:col>
      <xdr:colOff>0</xdr:colOff>
      <xdr:row>11</xdr:row>
      <xdr:rowOff>42105</xdr:rowOff>
    </xdr:to>
    <xdr:cxnSp macro="">
      <xdr:nvCxnSpPr>
        <xdr:cNvPr id="36522" name="Hist_14_6_6">
          <a:extLst>
            <a:ext uri="{FF2B5EF4-FFF2-40B4-BE49-F238E27FC236}">
              <a16:creationId xmlns:a16="http://schemas.microsoft.com/office/drawing/2014/main" id="{3F9D3FD6-5001-4378-A283-663FB076C98B}"/>
            </a:ext>
          </a:extLst>
        </xdr:cNvPr>
        <xdr:cNvCxnSpPr/>
      </xdr:nvCxnSpPr>
      <xdr:spPr>
        <a:xfrm>
          <a:off x="10458450" y="1901122"/>
          <a:ext cx="323850" cy="166633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8</xdr:row>
      <xdr:rowOff>50645</xdr:rowOff>
    </xdr:from>
    <xdr:to>
      <xdr:col>34</xdr:col>
      <xdr:colOff>0</xdr:colOff>
      <xdr:row>9</xdr:row>
      <xdr:rowOff>68770</xdr:rowOff>
    </xdr:to>
    <xdr:cxnSp macro="">
      <xdr:nvCxnSpPr>
        <xdr:cNvPr id="36523" name="Hist_11_3_8">
          <a:extLst>
            <a:ext uri="{FF2B5EF4-FFF2-40B4-BE49-F238E27FC236}">
              <a16:creationId xmlns:a16="http://schemas.microsoft.com/office/drawing/2014/main" id="{7607667C-DA43-44EA-AC83-36F876C25DA5}"/>
            </a:ext>
          </a:extLst>
        </xdr:cNvPr>
        <xdr:cNvCxnSpPr/>
      </xdr:nvCxnSpPr>
      <xdr:spPr>
        <a:xfrm flipV="1">
          <a:off x="11106150" y="1523845"/>
          <a:ext cx="323850" cy="202275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0</xdr:colOff>
      <xdr:row>5</xdr:row>
      <xdr:rowOff>66014</xdr:rowOff>
    </xdr:from>
    <xdr:to>
      <xdr:col>29</xdr:col>
      <xdr:colOff>0</xdr:colOff>
      <xdr:row>6</xdr:row>
      <xdr:rowOff>100710</xdr:rowOff>
    </xdr:to>
    <xdr:cxnSp macro="">
      <xdr:nvCxnSpPr>
        <xdr:cNvPr id="36524" name="Hist_12_4_3">
          <a:extLst>
            <a:ext uri="{FF2B5EF4-FFF2-40B4-BE49-F238E27FC236}">
              <a16:creationId xmlns:a16="http://schemas.microsoft.com/office/drawing/2014/main" id="{0AD6E99C-7A63-473F-9BF0-A11265E3EB6D}"/>
            </a:ext>
          </a:extLst>
        </xdr:cNvPr>
        <xdr:cNvCxnSpPr/>
      </xdr:nvCxnSpPr>
      <xdr:spPr>
        <a:xfrm>
          <a:off x="9486900" y="986764"/>
          <a:ext cx="323850" cy="218846"/>
        </a:xfrm>
        <a:prstGeom prst="straightConnector1">
          <a:avLst/>
        </a:prstGeom>
        <a:ln w="6350" cap="flat" cmpd="sng" algn="ctr">
          <a:solidFill>
            <a:srgbClr val="80008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7</xdr:row>
      <xdr:rowOff>52556</xdr:rowOff>
    </xdr:from>
    <xdr:to>
      <xdr:col>30</xdr:col>
      <xdr:colOff>0</xdr:colOff>
      <xdr:row>8</xdr:row>
      <xdr:rowOff>155865</xdr:rowOff>
    </xdr:to>
    <xdr:cxnSp macro="">
      <xdr:nvCxnSpPr>
        <xdr:cNvPr id="36525" name="Hist_11_3_4">
          <a:extLst>
            <a:ext uri="{FF2B5EF4-FFF2-40B4-BE49-F238E27FC236}">
              <a16:creationId xmlns:a16="http://schemas.microsoft.com/office/drawing/2014/main" id="{41FDF2D2-E468-4319-84EC-237312A2E859}"/>
            </a:ext>
          </a:extLst>
        </xdr:cNvPr>
        <xdr:cNvCxnSpPr/>
      </xdr:nvCxnSpPr>
      <xdr:spPr>
        <a:xfrm>
          <a:off x="9810750" y="1341606"/>
          <a:ext cx="323850" cy="287459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5</xdr:row>
      <xdr:rowOff>49584</xdr:rowOff>
    </xdr:from>
    <xdr:to>
      <xdr:col>28</xdr:col>
      <xdr:colOff>0</xdr:colOff>
      <xdr:row>6</xdr:row>
      <xdr:rowOff>11409</xdr:rowOff>
    </xdr:to>
    <xdr:cxnSp macro="">
      <xdr:nvCxnSpPr>
        <xdr:cNvPr id="36526" name="Hist_11_3_2">
          <a:extLst>
            <a:ext uri="{FF2B5EF4-FFF2-40B4-BE49-F238E27FC236}">
              <a16:creationId xmlns:a16="http://schemas.microsoft.com/office/drawing/2014/main" id="{22F92691-0FF1-4A66-8B8D-FB50A3921A07}"/>
            </a:ext>
          </a:extLst>
        </xdr:cNvPr>
        <xdr:cNvCxnSpPr/>
      </xdr:nvCxnSpPr>
      <xdr:spPr>
        <a:xfrm>
          <a:off x="9163050" y="970334"/>
          <a:ext cx="323850" cy="145975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0</xdr:colOff>
      <xdr:row>5</xdr:row>
      <xdr:rowOff>49281</xdr:rowOff>
    </xdr:from>
    <xdr:to>
      <xdr:col>38</xdr:col>
      <xdr:colOff>0</xdr:colOff>
      <xdr:row>5</xdr:row>
      <xdr:rowOff>150702</xdr:rowOff>
    </xdr:to>
    <xdr:cxnSp macro="">
      <xdr:nvCxnSpPr>
        <xdr:cNvPr id="36527" name="Hist_11_3_12">
          <a:extLst>
            <a:ext uri="{FF2B5EF4-FFF2-40B4-BE49-F238E27FC236}">
              <a16:creationId xmlns:a16="http://schemas.microsoft.com/office/drawing/2014/main" id="{D1D58C57-47CA-4F81-9526-BBE933A9ED41}"/>
            </a:ext>
          </a:extLst>
        </xdr:cNvPr>
        <xdr:cNvCxnSpPr/>
      </xdr:nvCxnSpPr>
      <xdr:spPr>
        <a:xfrm flipV="1">
          <a:off x="12401550" y="970031"/>
          <a:ext cx="323850" cy="101421"/>
        </a:xfrm>
        <a:prstGeom prst="straightConnector1">
          <a:avLst/>
        </a:prstGeom>
        <a:ln w="6350" cap="flat" cmpd="sng" algn="ctr">
          <a:solidFill>
            <a:srgbClr val="FF99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7</xdr:row>
      <xdr:rowOff>165410</xdr:rowOff>
    </xdr:from>
    <xdr:to>
      <xdr:col>36</xdr:col>
      <xdr:colOff>0</xdr:colOff>
      <xdr:row>8</xdr:row>
      <xdr:rowOff>109854</xdr:rowOff>
    </xdr:to>
    <xdr:cxnSp macro="">
      <xdr:nvCxnSpPr>
        <xdr:cNvPr id="36528" name="Hist_09_1_10">
          <a:extLst>
            <a:ext uri="{FF2B5EF4-FFF2-40B4-BE49-F238E27FC236}">
              <a16:creationId xmlns:a16="http://schemas.microsoft.com/office/drawing/2014/main" id="{5167E741-3D54-42E2-B84B-CB261F211B88}"/>
            </a:ext>
          </a:extLst>
        </xdr:cNvPr>
        <xdr:cNvCxnSpPr/>
      </xdr:nvCxnSpPr>
      <xdr:spPr>
        <a:xfrm flipV="1">
          <a:off x="11753850" y="1454460"/>
          <a:ext cx="323850" cy="128594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7</xdr:row>
      <xdr:rowOff>46369</xdr:rowOff>
    </xdr:from>
    <xdr:to>
      <xdr:col>37</xdr:col>
      <xdr:colOff>0</xdr:colOff>
      <xdr:row>7</xdr:row>
      <xdr:rowOff>165410</xdr:rowOff>
    </xdr:to>
    <xdr:cxnSp macro="">
      <xdr:nvCxnSpPr>
        <xdr:cNvPr id="36529" name="Hist_09_1_11">
          <a:extLst>
            <a:ext uri="{FF2B5EF4-FFF2-40B4-BE49-F238E27FC236}">
              <a16:creationId xmlns:a16="http://schemas.microsoft.com/office/drawing/2014/main" id="{7C0CDD73-2D1E-4201-9B33-21E2577A8083}"/>
            </a:ext>
          </a:extLst>
        </xdr:cNvPr>
        <xdr:cNvCxnSpPr/>
      </xdr:nvCxnSpPr>
      <xdr:spPr>
        <a:xfrm flipV="1">
          <a:off x="12077700" y="1335419"/>
          <a:ext cx="323850" cy="119041"/>
        </a:xfrm>
        <a:prstGeom prst="straightConnector1">
          <a:avLst/>
        </a:prstGeom>
        <a:ln w="6350" cap="flat" cmpd="sng" algn="ctr">
          <a:solidFill>
            <a:srgbClr val="77933C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7</xdr:row>
      <xdr:rowOff>116739</xdr:rowOff>
    </xdr:from>
    <xdr:to>
      <xdr:col>30</xdr:col>
      <xdr:colOff>0</xdr:colOff>
      <xdr:row>8</xdr:row>
      <xdr:rowOff>164113</xdr:rowOff>
    </xdr:to>
    <xdr:cxnSp macro="">
      <xdr:nvCxnSpPr>
        <xdr:cNvPr id="36530" name="Hist_10_2_4">
          <a:extLst>
            <a:ext uri="{FF2B5EF4-FFF2-40B4-BE49-F238E27FC236}">
              <a16:creationId xmlns:a16="http://schemas.microsoft.com/office/drawing/2014/main" id="{A6ABEF55-C275-4571-B5C8-7E3A6C22A746}"/>
            </a:ext>
          </a:extLst>
        </xdr:cNvPr>
        <xdr:cNvCxnSpPr/>
      </xdr:nvCxnSpPr>
      <xdr:spPr>
        <a:xfrm>
          <a:off x="9810750" y="1405789"/>
          <a:ext cx="323850" cy="231524"/>
        </a:xfrm>
        <a:prstGeom prst="straightConnector1">
          <a:avLst/>
        </a:prstGeom>
        <a:ln w="6350" cap="flat" cmpd="sng" algn="ctr">
          <a:solidFill>
            <a:srgbClr val="000000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12</xdr:row>
      <xdr:rowOff>0</xdr:rowOff>
    </xdr:from>
    <xdr:to>
      <xdr:col>36</xdr:col>
      <xdr:colOff>0</xdr:colOff>
      <xdr:row>12</xdr:row>
      <xdr:rowOff>0</xdr:rowOff>
    </xdr:to>
    <xdr:cxnSp macro="">
      <xdr:nvCxnSpPr>
        <xdr:cNvPr id="36531" name="Hist_14_6_10">
          <a:extLst>
            <a:ext uri="{FF2B5EF4-FFF2-40B4-BE49-F238E27FC236}">
              <a16:creationId xmlns:a16="http://schemas.microsoft.com/office/drawing/2014/main" id="{43F951F0-DFEC-4B2E-AE09-162C083B57A8}"/>
            </a:ext>
          </a:extLst>
        </xdr:cNvPr>
        <xdr:cNvCxnSpPr/>
      </xdr:nvCxnSpPr>
      <xdr:spPr>
        <a:xfrm>
          <a:off x="11753850" y="22098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0</xdr:colOff>
      <xdr:row>5</xdr:row>
      <xdr:rowOff>119420</xdr:rowOff>
    </xdr:from>
    <xdr:to>
      <xdr:col>36</xdr:col>
      <xdr:colOff>0</xdr:colOff>
      <xdr:row>6</xdr:row>
      <xdr:rowOff>122256</xdr:rowOff>
    </xdr:to>
    <xdr:cxnSp macro="">
      <xdr:nvCxnSpPr>
        <xdr:cNvPr id="36532" name="Hist_13_5_10">
          <a:extLst>
            <a:ext uri="{FF2B5EF4-FFF2-40B4-BE49-F238E27FC236}">
              <a16:creationId xmlns:a16="http://schemas.microsoft.com/office/drawing/2014/main" id="{C68A6F09-B28B-4110-910B-6F6B8013B86F}"/>
            </a:ext>
          </a:extLst>
        </xdr:cNvPr>
        <xdr:cNvCxnSpPr/>
      </xdr:nvCxnSpPr>
      <xdr:spPr>
        <a:xfrm flipV="1">
          <a:off x="11753850" y="1040170"/>
          <a:ext cx="323850" cy="186986"/>
        </a:xfrm>
        <a:prstGeom prst="straightConnector1">
          <a:avLst/>
        </a:prstGeom>
        <a:ln w="6350" cap="flat" cmpd="sng" algn="ctr">
          <a:solidFill>
            <a:srgbClr val="17375E">
              <a:alpha val="80000"/>
            </a:srgb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</xdr:row>
      <xdr:rowOff>77831</xdr:rowOff>
    </xdr:from>
    <xdr:to>
      <xdr:col>27</xdr:col>
      <xdr:colOff>0</xdr:colOff>
      <xdr:row>4</xdr:row>
      <xdr:rowOff>98413</xdr:rowOff>
    </xdr:to>
    <xdr:cxnSp macro="">
      <xdr:nvCxnSpPr>
        <xdr:cNvPr id="36533" name="Hist_14_6_1">
          <a:extLst>
            <a:ext uri="{FF2B5EF4-FFF2-40B4-BE49-F238E27FC236}">
              <a16:creationId xmlns:a16="http://schemas.microsoft.com/office/drawing/2014/main" id="{5D2AB189-27B4-4466-BD95-B76CE6102289}"/>
            </a:ext>
          </a:extLst>
        </xdr:cNvPr>
        <xdr:cNvCxnSpPr/>
      </xdr:nvCxnSpPr>
      <xdr:spPr>
        <a:xfrm flipV="1">
          <a:off x="8839200" y="814431"/>
          <a:ext cx="323850" cy="20582"/>
        </a:xfrm>
        <a:prstGeom prst="straightConnector1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</xdr:row>
      <xdr:rowOff>158528</xdr:rowOff>
    </xdr:from>
    <xdr:to>
      <xdr:col>12</xdr:col>
      <xdr:colOff>161925</xdr:colOff>
      <xdr:row>42</xdr:row>
      <xdr:rowOff>0</xdr:rowOff>
    </xdr:to>
    <xdr:cxnSp macro="">
      <xdr:nvCxnSpPr>
        <xdr:cNvPr id="36534" name="Con1_313.5_375">
          <a:extLst>
            <a:ext uri="{FF2B5EF4-FFF2-40B4-BE49-F238E27FC236}">
              <a16:creationId xmlns:a16="http://schemas.microsoft.com/office/drawing/2014/main" id="{FD37D26E-F336-46D4-8B2D-89AC2A92DBC0}"/>
            </a:ext>
          </a:extLst>
        </xdr:cNvPr>
        <xdr:cNvCxnSpPr/>
      </xdr:nvCxnSpPr>
      <xdr:spPr>
        <a:xfrm>
          <a:off x="4143375" y="5289328"/>
          <a:ext cx="323850" cy="94637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36</xdr:row>
      <xdr:rowOff>84498</xdr:rowOff>
    </xdr:from>
    <xdr:to>
      <xdr:col>34</xdr:col>
      <xdr:colOff>161925</xdr:colOff>
      <xdr:row>36</xdr:row>
      <xdr:rowOff>101015</xdr:rowOff>
    </xdr:to>
    <xdr:cxnSp macro="">
      <xdr:nvCxnSpPr>
        <xdr:cNvPr id="36535" name="Con1_874.5_375">
          <a:extLst>
            <a:ext uri="{FF2B5EF4-FFF2-40B4-BE49-F238E27FC236}">
              <a16:creationId xmlns:a16="http://schemas.microsoft.com/office/drawing/2014/main" id="{0B481257-1B03-4AEF-89DE-05F4DA3F58BF}"/>
            </a:ext>
          </a:extLst>
        </xdr:cNvPr>
        <xdr:cNvCxnSpPr/>
      </xdr:nvCxnSpPr>
      <xdr:spPr>
        <a:xfrm>
          <a:off x="11268075" y="5215298"/>
          <a:ext cx="323850" cy="1651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161925</xdr:colOff>
      <xdr:row>37</xdr:row>
      <xdr:rowOff>124381</xdr:rowOff>
    </xdr:from>
    <xdr:to>
      <xdr:col>29</xdr:col>
      <xdr:colOff>161925</xdr:colOff>
      <xdr:row>37</xdr:row>
      <xdr:rowOff>174867</xdr:rowOff>
    </xdr:to>
    <xdr:cxnSp macro="">
      <xdr:nvCxnSpPr>
        <xdr:cNvPr id="36536" name="Con1_747_375">
          <a:extLst>
            <a:ext uri="{FF2B5EF4-FFF2-40B4-BE49-F238E27FC236}">
              <a16:creationId xmlns:a16="http://schemas.microsoft.com/office/drawing/2014/main" id="{209A5365-828E-4739-A635-BED21F5AB884}"/>
            </a:ext>
          </a:extLst>
        </xdr:cNvPr>
        <xdr:cNvCxnSpPr/>
      </xdr:nvCxnSpPr>
      <xdr:spPr>
        <a:xfrm>
          <a:off x="9648825" y="5439331"/>
          <a:ext cx="323850" cy="5048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36</xdr:row>
      <xdr:rowOff>91984</xdr:rowOff>
    </xdr:from>
    <xdr:to>
      <xdr:col>32</xdr:col>
      <xdr:colOff>161925</xdr:colOff>
      <xdr:row>36</xdr:row>
      <xdr:rowOff>102675</xdr:rowOff>
    </xdr:to>
    <xdr:cxnSp macro="">
      <xdr:nvCxnSpPr>
        <xdr:cNvPr id="36537" name="Con1_823.5_375">
          <a:extLst>
            <a:ext uri="{FF2B5EF4-FFF2-40B4-BE49-F238E27FC236}">
              <a16:creationId xmlns:a16="http://schemas.microsoft.com/office/drawing/2014/main" id="{2A9BD2A6-C2E8-460B-8829-96F4B2A42605}"/>
            </a:ext>
          </a:extLst>
        </xdr:cNvPr>
        <xdr:cNvCxnSpPr/>
      </xdr:nvCxnSpPr>
      <xdr:spPr>
        <a:xfrm flipV="1">
          <a:off x="10620375" y="5222784"/>
          <a:ext cx="323850" cy="10691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36</xdr:row>
      <xdr:rowOff>155755</xdr:rowOff>
    </xdr:from>
    <xdr:to>
      <xdr:col>24</xdr:col>
      <xdr:colOff>161925</xdr:colOff>
      <xdr:row>36</xdr:row>
      <xdr:rowOff>178229</xdr:rowOff>
    </xdr:to>
    <xdr:cxnSp macro="">
      <xdr:nvCxnSpPr>
        <xdr:cNvPr id="36538" name="Con1_619.5_375">
          <a:extLst>
            <a:ext uri="{FF2B5EF4-FFF2-40B4-BE49-F238E27FC236}">
              <a16:creationId xmlns:a16="http://schemas.microsoft.com/office/drawing/2014/main" id="{5360B57C-4AB9-4476-BC83-317B05C50B95}"/>
            </a:ext>
          </a:extLst>
        </xdr:cNvPr>
        <xdr:cNvCxnSpPr/>
      </xdr:nvCxnSpPr>
      <xdr:spPr>
        <a:xfrm flipV="1">
          <a:off x="8029575" y="5286555"/>
          <a:ext cx="323850" cy="22474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161925</xdr:colOff>
      <xdr:row>37</xdr:row>
      <xdr:rowOff>150363</xdr:rowOff>
    </xdr:from>
    <xdr:to>
      <xdr:col>17</xdr:col>
      <xdr:colOff>161925</xdr:colOff>
      <xdr:row>38</xdr:row>
      <xdr:rowOff>44022</xdr:rowOff>
    </xdr:to>
    <xdr:cxnSp macro="">
      <xdr:nvCxnSpPr>
        <xdr:cNvPr id="36539" name="Con1_441_375">
          <a:extLst>
            <a:ext uri="{FF2B5EF4-FFF2-40B4-BE49-F238E27FC236}">
              <a16:creationId xmlns:a16="http://schemas.microsoft.com/office/drawing/2014/main" id="{0CD2A388-96A1-4689-90CC-B731B4FF8E4B}"/>
            </a:ext>
          </a:extLst>
        </xdr:cNvPr>
        <xdr:cNvCxnSpPr/>
      </xdr:nvCxnSpPr>
      <xdr:spPr>
        <a:xfrm>
          <a:off x="5762625" y="5465313"/>
          <a:ext cx="323850" cy="77809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161925</xdr:colOff>
      <xdr:row>36</xdr:row>
      <xdr:rowOff>150401</xdr:rowOff>
    </xdr:from>
    <xdr:to>
      <xdr:col>7</xdr:col>
      <xdr:colOff>161925</xdr:colOff>
      <xdr:row>37</xdr:row>
      <xdr:rowOff>164868</xdr:rowOff>
    </xdr:to>
    <xdr:cxnSp macro="">
      <xdr:nvCxnSpPr>
        <xdr:cNvPr id="36540" name="Con1_186_375">
          <a:extLst>
            <a:ext uri="{FF2B5EF4-FFF2-40B4-BE49-F238E27FC236}">
              <a16:creationId xmlns:a16="http://schemas.microsoft.com/office/drawing/2014/main" id="{17ACCB47-32C5-4C8D-8FCD-2679C7EC1639}"/>
            </a:ext>
          </a:extLst>
        </xdr:cNvPr>
        <xdr:cNvCxnSpPr/>
      </xdr:nvCxnSpPr>
      <xdr:spPr>
        <a:xfrm>
          <a:off x="2524125" y="5281201"/>
          <a:ext cx="323850" cy="19861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161925</xdr:colOff>
      <xdr:row>36</xdr:row>
      <xdr:rowOff>87364</xdr:rowOff>
    </xdr:from>
    <xdr:to>
      <xdr:col>37</xdr:col>
      <xdr:colOff>161925</xdr:colOff>
      <xdr:row>37</xdr:row>
      <xdr:rowOff>155751</xdr:rowOff>
    </xdr:to>
    <xdr:cxnSp macro="">
      <xdr:nvCxnSpPr>
        <xdr:cNvPr id="36541" name="Con1_951_375">
          <a:extLst>
            <a:ext uri="{FF2B5EF4-FFF2-40B4-BE49-F238E27FC236}">
              <a16:creationId xmlns:a16="http://schemas.microsoft.com/office/drawing/2014/main" id="{2359699D-1DD0-4BBB-A80D-20844B974BE6}"/>
            </a:ext>
          </a:extLst>
        </xdr:cNvPr>
        <xdr:cNvCxnSpPr/>
      </xdr:nvCxnSpPr>
      <xdr:spPr>
        <a:xfrm flipV="1">
          <a:off x="12239625" y="5218164"/>
          <a:ext cx="323850" cy="25253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161925</xdr:colOff>
      <xdr:row>37</xdr:row>
      <xdr:rowOff>146420</xdr:rowOff>
    </xdr:from>
    <xdr:to>
      <xdr:col>22</xdr:col>
      <xdr:colOff>161925</xdr:colOff>
      <xdr:row>38</xdr:row>
      <xdr:rowOff>72415</xdr:rowOff>
    </xdr:to>
    <xdr:cxnSp macro="">
      <xdr:nvCxnSpPr>
        <xdr:cNvPr id="36542" name="Con1_568.5_375">
          <a:extLst>
            <a:ext uri="{FF2B5EF4-FFF2-40B4-BE49-F238E27FC236}">
              <a16:creationId xmlns:a16="http://schemas.microsoft.com/office/drawing/2014/main" id="{0A16C520-DA57-429F-A072-EA58AC314876}"/>
            </a:ext>
          </a:extLst>
        </xdr:cNvPr>
        <xdr:cNvCxnSpPr/>
      </xdr:nvCxnSpPr>
      <xdr:spPr>
        <a:xfrm>
          <a:off x="7381875" y="5461370"/>
          <a:ext cx="323850" cy="110145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42</xdr:row>
      <xdr:rowOff>0</xdr:rowOff>
    </xdr:from>
    <xdr:to>
      <xdr:col>14</xdr:col>
      <xdr:colOff>161925</xdr:colOff>
      <xdr:row>42</xdr:row>
      <xdr:rowOff>0</xdr:rowOff>
    </xdr:to>
    <xdr:cxnSp macro="">
      <xdr:nvCxnSpPr>
        <xdr:cNvPr id="192" name="Con1_364.5_375">
          <a:extLst>
            <a:ext uri="{FF2B5EF4-FFF2-40B4-BE49-F238E27FC236}">
              <a16:creationId xmlns:a16="http://schemas.microsoft.com/office/drawing/2014/main" id="{28613926-FFFA-4CAF-B11D-2ED37CFCA246}"/>
            </a:ext>
          </a:extLst>
        </xdr:cNvPr>
        <xdr:cNvCxnSpPr/>
      </xdr:nvCxnSpPr>
      <xdr:spPr>
        <a:xfrm>
          <a:off x="4791075" y="62357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161925</xdr:colOff>
      <xdr:row>36</xdr:row>
      <xdr:rowOff>101045</xdr:rowOff>
    </xdr:from>
    <xdr:to>
      <xdr:col>5</xdr:col>
      <xdr:colOff>161925</xdr:colOff>
      <xdr:row>36</xdr:row>
      <xdr:rowOff>113576</xdr:rowOff>
    </xdr:to>
    <xdr:cxnSp macro="">
      <xdr:nvCxnSpPr>
        <xdr:cNvPr id="193" name="Con1_135_375">
          <a:extLst>
            <a:ext uri="{FF2B5EF4-FFF2-40B4-BE49-F238E27FC236}">
              <a16:creationId xmlns:a16="http://schemas.microsoft.com/office/drawing/2014/main" id="{C75D1186-938C-4FE9-945B-3D35D786DE99}"/>
            </a:ext>
          </a:extLst>
        </xdr:cNvPr>
        <xdr:cNvCxnSpPr/>
      </xdr:nvCxnSpPr>
      <xdr:spPr>
        <a:xfrm>
          <a:off x="1876425" y="5231845"/>
          <a:ext cx="323850" cy="12531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161925</xdr:colOff>
      <xdr:row>36</xdr:row>
      <xdr:rowOff>119068</xdr:rowOff>
    </xdr:from>
    <xdr:to>
      <xdr:col>11</xdr:col>
      <xdr:colOff>161925</xdr:colOff>
      <xdr:row>36</xdr:row>
      <xdr:rowOff>158528</xdr:rowOff>
    </xdr:to>
    <xdr:cxnSp macro="">
      <xdr:nvCxnSpPr>
        <xdr:cNvPr id="194" name="Con1_288_375">
          <a:extLst>
            <a:ext uri="{FF2B5EF4-FFF2-40B4-BE49-F238E27FC236}">
              <a16:creationId xmlns:a16="http://schemas.microsoft.com/office/drawing/2014/main" id="{B9F61D4C-2478-4116-A7A5-E779F6563C0A}"/>
            </a:ext>
          </a:extLst>
        </xdr:cNvPr>
        <xdr:cNvCxnSpPr/>
      </xdr:nvCxnSpPr>
      <xdr:spPr>
        <a:xfrm>
          <a:off x="3819525" y="5249868"/>
          <a:ext cx="323850" cy="3946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37</xdr:row>
      <xdr:rowOff>101686</xdr:rowOff>
    </xdr:from>
    <xdr:to>
      <xdr:col>36</xdr:col>
      <xdr:colOff>161925</xdr:colOff>
      <xdr:row>37</xdr:row>
      <xdr:rowOff>155751</xdr:rowOff>
    </xdr:to>
    <xdr:cxnSp macro="">
      <xdr:nvCxnSpPr>
        <xdr:cNvPr id="195" name="Con1_925.5_375">
          <a:extLst>
            <a:ext uri="{FF2B5EF4-FFF2-40B4-BE49-F238E27FC236}">
              <a16:creationId xmlns:a16="http://schemas.microsoft.com/office/drawing/2014/main" id="{4FB63ED5-6EAB-4F6F-85B2-8294E4E1037E}"/>
            </a:ext>
          </a:extLst>
        </xdr:cNvPr>
        <xdr:cNvCxnSpPr/>
      </xdr:nvCxnSpPr>
      <xdr:spPr>
        <a:xfrm>
          <a:off x="11915775" y="5416636"/>
          <a:ext cx="323850" cy="54065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161925</xdr:colOff>
      <xdr:row>36</xdr:row>
      <xdr:rowOff>113337</xdr:rowOff>
    </xdr:from>
    <xdr:to>
      <xdr:col>19</xdr:col>
      <xdr:colOff>161925</xdr:colOff>
      <xdr:row>36</xdr:row>
      <xdr:rowOff>175979</xdr:rowOff>
    </xdr:to>
    <xdr:cxnSp macro="">
      <xdr:nvCxnSpPr>
        <xdr:cNvPr id="196" name="Con1_492_375">
          <a:extLst>
            <a:ext uri="{FF2B5EF4-FFF2-40B4-BE49-F238E27FC236}">
              <a16:creationId xmlns:a16="http://schemas.microsoft.com/office/drawing/2014/main" id="{BA070B2B-8FF5-4FF2-9894-4DB73B8DE41F}"/>
            </a:ext>
          </a:extLst>
        </xdr:cNvPr>
        <xdr:cNvCxnSpPr/>
      </xdr:nvCxnSpPr>
      <xdr:spPr>
        <a:xfrm flipV="1">
          <a:off x="6410325" y="5244137"/>
          <a:ext cx="323850" cy="6264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36</xdr:row>
      <xdr:rowOff>178286</xdr:rowOff>
    </xdr:from>
    <xdr:to>
      <xdr:col>9</xdr:col>
      <xdr:colOff>161925</xdr:colOff>
      <xdr:row>38</xdr:row>
      <xdr:rowOff>27570</xdr:rowOff>
    </xdr:to>
    <xdr:cxnSp macro="">
      <xdr:nvCxnSpPr>
        <xdr:cNvPr id="221" name="Con1_237_375">
          <a:extLst>
            <a:ext uri="{FF2B5EF4-FFF2-40B4-BE49-F238E27FC236}">
              <a16:creationId xmlns:a16="http://schemas.microsoft.com/office/drawing/2014/main" id="{D4AFAB66-85A9-4152-8D74-0C52D64E534C}"/>
            </a:ext>
          </a:extLst>
        </xdr:cNvPr>
        <xdr:cNvCxnSpPr/>
      </xdr:nvCxnSpPr>
      <xdr:spPr>
        <a:xfrm flipV="1">
          <a:off x="3171825" y="5309086"/>
          <a:ext cx="323850" cy="217584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161925</xdr:colOff>
      <xdr:row>36</xdr:row>
      <xdr:rowOff>87364</xdr:rowOff>
    </xdr:from>
    <xdr:to>
      <xdr:col>38</xdr:col>
      <xdr:colOff>161925</xdr:colOff>
      <xdr:row>42</xdr:row>
      <xdr:rowOff>0</xdr:rowOff>
    </xdr:to>
    <xdr:cxnSp macro="">
      <xdr:nvCxnSpPr>
        <xdr:cNvPr id="222" name="Con1_976.5_375">
          <a:extLst>
            <a:ext uri="{FF2B5EF4-FFF2-40B4-BE49-F238E27FC236}">
              <a16:creationId xmlns:a16="http://schemas.microsoft.com/office/drawing/2014/main" id="{B030482F-168B-4C24-811A-37E21F259FF5}"/>
            </a:ext>
          </a:extLst>
        </xdr:cNvPr>
        <xdr:cNvCxnSpPr/>
      </xdr:nvCxnSpPr>
      <xdr:spPr>
        <a:xfrm>
          <a:off x="12563475" y="5218164"/>
          <a:ext cx="323850" cy="101753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161925</xdr:colOff>
      <xdr:row>36</xdr:row>
      <xdr:rowOff>175979</xdr:rowOff>
    </xdr:from>
    <xdr:to>
      <xdr:col>18</xdr:col>
      <xdr:colOff>161925</xdr:colOff>
      <xdr:row>38</xdr:row>
      <xdr:rowOff>44022</xdr:rowOff>
    </xdr:to>
    <xdr:cxnSp macro="">
      <xdr:nvCxnSpPr>
        <xdr:cNvPr id="223" name="Con1_466.5_375">
          <a:extLst>
            <a:ext uri="{FF2B5EF4-FFF2-40B4-BE49-F238E27FC236}">
              <a16:creationId xmlns:a16="http://schemas.microsoft.com/office/drawing/2014/main" id="{480F69C6-1A87-4E9A-8A30-DDE21F8D2A89}"/>
            </a:ext>
          </a:extLst>
        </xdr:cNvPr>
        <xdr:cNvCxnSpPr/>
      </xdr:nvCxnSpPr>
      <xdr:spPr>
        <a:xfrm flipV="1">
          <a:off x="6086475" y="5306779"/>
          <a:ext cx="323850" cy="236343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161925</xdr:colOff>
      <xdr:row>37</xdr:row>
      <xdr:rowOff>150363</xdr:rowOff>
    </xdr:from>
    <xdr:to>
      <xdr:col>16</xdr:col>
      <xdr:colOff>161925</xdr:colOff>
      <xdr:row>42</xdr:row>
      <xdr:rowOff>0</xdr:rowOff>
    </xdr:to>
    <xdr:cxnSp macro="">
      <xdr:nvCxnSpPr>
        <xdr:cNvPr id="36544" name="Con1_415.5_375">
          <a:extLst>
            <a:ext uri="{FF2B5EF4-FFF2-40B4-BE49-F238E27FC236}">
              <a16:creationId xmlns:a16="http://schemas.microsoft.com/office/drawing/2014/main" id="{063611C7-43CD-40DA-BC08-7CE44508388B}"/>
            </a:ext>
          </a:extLst>
        </xdr:cNvPr>
        <xdr:cNvCxnSpPr/>
      </xdr:nvCxnSpPr>
      <xdr:spPr>
        <a:xfrm flipV="1">
          <a:off x="5438775" y="5465313"/>
          <a:ext cx="323850" cy="77038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42</xdr:row>
      <xdr:rowOff>0</xdr:rowOff>
    </xdr:from>
    <xdr:to>
      <xdr:col>13</xdr:col>
      <xdr:colOff>161925</xdr:colOff>
      <xdr:row>42</xdr:row>
      <xdr:rowOff>0</xdr:rowOff>
    </xdr:to>
    <xdr:cxnSp macro="">
      <xdr:nvCxnSpPr>
        <xdr:cNvPr id="36545" name="Con1_339_375">
          <a:extLst>
            <a:ext uri="{FF2B5EF4-FFF2-40B4-BE49-F238E27FC236}">
              <a16:creationId xmlns:a16="http://schemas.microsoft.com/office/drawing/2014/main" id="{67161AF0-E34A-4960-BBCD-16D98799DA30}"/>
            </a:ext>
          </a:extLst>
        </xdr:cNvPr>
        <xdr:cNvCxnSpPr/>
      </xdr:nvCxnSpPr>
      <xdr:spPr>
        <a:xfrm>
          <a:off x="4467225" y="62357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161925</xdr:colOff>
      <xdr:row>36</xdr:row>
      <xdr:rowOff>131921</xdr:rowOff>
    </xdr:from>
    <xdr:to>
      <xdr:col>28</xdr:col>
      <xdr:colOff>161925</xdr:colOff>
      <xdr:row>37</xdr:row>
      <xdr:rowOff>124381</xdr:rowOff>
    </xdr:to>
    <xdr:cxnSp macro="">
      <xdr:nvCxnSpPr>
        <xdr:cNvPr id="36546" name="Con1_721.5_375">
          <a:extLst>
            <a:ext uri="{FF2B5EF4-FFF2-40B4-BE49-F238E27FC236}">
              <a16:creationId xmlns:a16="http://schemas.microsoft.com/office/drawing/2014/main" id="{6876AAAF-7E43-4CE8-912A-E404754BE0C8}"/>
            </a:ext>
          </a:extLst>
        </xdr:cNvPr>
        <xdr:cNvCxnSpPr/>
      </xdr:nvCxnSpPr>
      <xdr:spPr>
        <a:xfrm>
          <a:off x="9324975" y="5262721"/>
          <a:ext cx="323850" cy="17661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36</xdr:row>
      <xdr:rowOff>89045</xdr:rowOff>
    </xdr:from>
    <xdr:to>
      <xdr:col>21</xdr:col>
      <xdr:colOff>161925</xdr:colOff>
      <xdr:row>37</xdr:row>
      <xdr:rowOff>146420</xdr:rowOff>
    </xdr:to>
    <xdr:cxnSp macro="">
      <xdr:nvCxnSpPr>
        <xdr:cNvPr id="36547" name="Con1_543_375">
          <a:extLst>
            <a:ext uri="{FF2B5EF4-FFF2-40B4-BE49-F238E27FC236}">
              <a16:creationId xmlns:a16="http://schemas.microsoft.com/office/drawing/2014/main" id="{05A352A0-822A-4F6D-ADFB-15C302029894}"/>
            </a:ext>
          </a:extLst>
        </xdr:cNvPr>
        <xdr:cNvCxnSpPr/>
      </xdr:nvCxnSpPr>
      <xdr:spPr>
        <a:xfrm>
          <a:off x="7058025" y="5219845"/>
          <a:ext cx="323850" cy="241525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36</xdr:row>
      <xdr:rowOff>102675</xdr:rowOff>
    </xdr:from>
    <xdr:to>
      <xdr:col>31</xdr:col>
      <xdr:colOff>161925</xdr:colOff>
      <xdr:row>36</xdr:row>
      <xdr:rowOff>118225</xdr:rowOff>
    </xdr:to>
    <xdr:cxnSp macro="">
      <xdr:nvCxnSpPr>
        <xdr:cNvPr id="36548" name="Con1_798_375">
          <a:extLst>
            <a:ext uri="{FF2B5EF4-FFF2-40B4-BE49-F238E27FC236}">
              <a16:creationId xmlns:a16="http://schemas.microsoft.com/office/drawing/2014/main" id="{32021DD0-2C18-418F-A3A7-5BCF856B3219}"/>
            </a:ext>
          </a:extLst>
        </xdr:cNvPr>
        <xdr:cNvCxnSpPr/>
      </xdr:nvCxnSpPr>
      <xdr:spPr>
        <a:xfrm flipV="1">
          <a:off x="10296525" y="5233475"/>
          <a:ext cx="323850" cy="1555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36</xdr:row>
      <xdr:rowOff>114774</xdr:rowOff>
    </xdr:from>
    <xdr:to>
      <xdr:col>26</xdr:col>
      <xdr:colOff>161925</xdr:colOff>
      <xdr:row>36</xdr:row>
      <xdr:rowOff>130824</xdr:rowOff>
    </xdr:to>
    <xdr:cxnSp macro="">
      <xdr:nvCxnSpPr>
        <xdr:cNvPr id="36549" name="Con1_670.5_375">
          <a:extLst>
            <a:ext uri="{FF2B5EF4-FFF2-40B4-BE49-F238E27FC236}">
              <a16:creationId xmlns:a16="http://schemas.microsoft.com/office/drawing/2014/main" id="{A8D95972-6CE8-4F07-90EC-D58B52E367DA}"/>
            </a:ext>
          </a:extLst>
        </xdr:cNvPr>
        <xdr:cNvCxnSpPr/>
      </xdr:nvCxnSpPr>
      <xdr:spPr>
        <a:xfrm flipV="1">
          <a:off x="8677275" y="5245574"/>
          <a:ext cx="323850" cy="16050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37</xdr:row>
      <xdr:rowOff>164868</xdr:rowOff>
    </xdr:from>
    <xdr:to>
      <xdr:col>8</xdr:col>
      <xdr:colOff>161925</xdr:colOff>
      <xdr:row>38</xdr:row>
      <xdr:rowOff>27570</xdr:rowOff>
    </xdr:to>
    <xdr:cxnSp macro="">
      <xdr:nvCxnSpPr>
        <xdr:cNvPr id="36550" name="Con1_211.5_375">
          <a:extLst>
            <a:ext uri="{FF2B5EF4-FFF2-40B4-BE49-F238E27FC236}">
              <a16:creationId xmlns:a16="http://schemas.microsoft.com/office/drawing/2014/main" id="{F4669BCC-C9CA-4DE8-BBE5-4B1A6D71EF53}"/>
            </a:ext>
          </a:extLst>
        </xdr:cNvPr>
        <xdr:cNvCxnSpPr/>
      </xdr:nvCxnSpPr>
      <xdr:spPr>
        <a:xfrm>
          <a:off x="2847975" y="5479818"/>
          <a:ext cx="323850" cy="4685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161925</xdr:colOff>
      <xdr:row>36</xdr:row>
      <xdr:rowOff>178229</xdr:rowOff>
    </xdr:from>
    <xdr:to>
      <xdr:col>23</xdr:col>
      <xdr:colOff>161925</xdr:colOff>
      <xdr:row>38</xdr:row>
      <xdr:rowOff>72415</xdr:rowOff>
    </xdr:to>
    <xdr:cxnSp macro="">
      <xdr:nvCxnSpPr>
        <xdr:cNvPr id="36551" name="Con1_594_375">
          <a:extLst>
            <a:ext uri="{FF2B5EF4-FFF2-40B4-BE49-F238E27FC236}">
              <a16:creationId xmlns:a16="http://schemas.microsoft.com/office/drawing/2014/main" id="{0909BD97-FCC0-4036-BBEB-9121E8DD6CC4}"/>
            </a:ext>
          </a:extLst>
        </xdr:cNvPr>
        <xdr:cNvCxnSpPr/>
      </xdr:nvCxnSpPr>
      <xdr:spPr>
        <a:xfrm flipV="1">
          <a:off x="7705725" y="5309029"/>
          <a:ext cx="323850" cy="26248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161925</xdr:colOff>
      <xdr:row>36</xdr:row>
      <xdr:rowOff>130824</xdr:rowOff>
    </xdr:from>
    <xdr:to>
      <xdr:col>25</xdr:col>
      <xdr:colOff>161925</xdr:colOff>
      <xdr:row>36</xdr:row>
      <xdr:rowOff>155755</xdr:rowOff>
    </xdr:to>
    <xdr:cxnSp macro="">
      <xdr:nvCxnSpPr>
        <xdr:cNvPr id="36552" name="Con1_645_375">
          <a:extLst>
            <a:ext uri="{FF2B5EF4-FFF2-40B4-BE49-F238E27FC236}">
              <a16:creationId xmlns:a16="http://schemas.microsoft.com/office/drawing/2014/main" id="{F74F3946-FDBB-445D-AC2F-1312277E3F26}"/>
            </a:ext>
          </a:extLst>
        </xdr:cNvPr>
        <xdr:cNvCxnSpPr/>
      </xdr:nvCxnSpPr>
      <xdr:spPr>
        <a:xfrm flipV="1">
          <a:off x="8353425" y="5261624"/>
          <a:ext cx="323850" cy="24931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161925</xdr:colOff>
      <xdr:row>36</xdr:row>
      <xdr:rowOff>113576</xdr:rowOff>
    </xdr:from>
    <xdr:to>
      <xdr:col>6</xdr:col>
      <xdr:colOff>161925</xdr:colOff>
      <xdr:row>36</xdr:row>
      <xdr:rowOff>150401</xdr:rowOff>
    </xdr:to>
    <xdr:cxnSp macro="">
      <xdr:nvCxnSpPr>
        <xdr:cNvPr id="36553" name="Con1_160.5_375">
          <a:extLst>
            <a:ext uri="{FF2B5EF4-FFF2-40B4-BE49-F238E27FC236}">
              <a16:creationId xmlns:a16="http://schemas.microsoft.com/office/drawing/2014/main" id="{64D967B5-70C1-4CEA-93EF-646001D6EEB7}"/>
            </a:ext>
          </a:extLst>
        </xdr:cNvPr>
        <xdr:cNvCxnSpPr/>
      </xdr:nvCxnSpPr>
      <xdr:spPr>
        <a:xfrm>
          <a:off x="2200275" y="5244376"/>
          <a:ext cx="323850" cy="36825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161925</xdr:colOff>
      <xdr:row>36</xdr:row>
      <xdr:rowOff>101015</xdr:rowOff>
    </xdr:from>
    <xdr:to>
      <xdr:col>35</xdr:col>
      <xdr:colOff>161925</xdr:colOff>
      <xdr:row>37</xdr:row>
      <xdr:rowOff>101686</xdr:rowOff>
    </xdr:to>
    <xdr:cxnSp macro="">
      <xdr:nvCxnSpPr>
        <xdr:cNvPr id="36554" name="Con1_900_375">
          <a:extLst>
            <a:ext uri="{FF2B5EF4-FFF2-40B4-BE49-F238E27FC236}">
              <a16:creationId xmlns:a16="http://schemas.microsoft.com/office/drawing/2014/main" id="{590BC3E9-6965-4C90-BEA8-21DED92EAB47}"/>
            </a:ext>
          </a:extLst>
        </xdr:cNvPr>
        <xdr:cNvCxnSpPr/>
      </xdr:nvCxnSpPr>
      <xdr:spPr>
        <a:xfrm>
          <a:off x="11591925" y="5231815"/>
          <a:ext cx="323850" cy="184821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161925</xdr:colOff>
      <xdr:row>36</xdr:row>
      <xdr:rowOff>84498</xdr:rowOff>
    </xdr:from>
    <xdr:to>
      <xdr:col>33</xdr:col>
      <xdr:colOff>161925</xdr:colOff>
      <xdr:row>36</xdr:row>
      <xdr:rowOff>91984</xdr:rowOff>
    </xdr:to>
    <xdr:cxnSp macro="">
      <xdr:nvCxnSpPr>
        <xdr:cNvPr id="36555" name="Con1_849_375">
          <a:extLst>
            <a:ext uri="{FF2B5EF4-FFF2-40B4-BE49-F238E27FC236}">
              <a16:creationId xmlns:a16="http://schemas.microsoft.com/office/drawing/2014/main" id="{077FE0CA-2FA2-465E-BBEF-413FE01F44E6}"/>
            </a:ext>
          </a:extLst>
        </xdr:cNvPr>
        <xdr:cNvCxnSpPr/>
      </xdr:nvCxnSpPr>
      <xdr:spPr>
        <a:xfrm flipV="1">
          <a:off x="10944225" y="5215298"/>
          <a:ext cx="323850" cy="7486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36</xdr:row>
      <xdr:rowOff>89045</xdr:rowOff>
    </xdr:from>
    <xdr:to>
      <xdr:col>20</xdr:col>
      <xdr:colOff>161925</xdr:colOff>
      <xdr:row>36</xdr:row>
      <xdr:rowOff>113337</xdr:rowOff>
    </xdr:to>
    <xdr:cxnSp macro="">
      <xdr:nvCxnSpPr>
        <xdr:cNvPr id="36556" name="Con1_517.5_375">
          <a:extLst>
            <a:ext uri="{FF2B5EF4-FFF2-40B4-BE49-F238E27FC236}">
              <a16:creationId xmlns:a16="http://schemas.microsoft.com/office/drawing/2014/main" id="{A6D21765-4AAC-4809-8D72-2D51FD49795A}"/>
            </a:ext>
          </a:extLst>
        </xdr:cNvPr>
        <xdr:cNvCxnSpPr/>
      </xdr:nvCxnSpPr>
      <xdr:spPr>
        <a:xfrm flipV="1">
          <a:off x="6734175" y="5219845"/>
          <a:ext cx="323850" cy="2429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161925</xdr:colOff>
      <xdr:row>36</xdr:row>
      <xdr:rowOff>119068</xdr:rowOff>
    </xdr:from>
    <xdr:to>
      <xdr:col>10</xdr:col>
      <xdr:colOff>161925</xdr:colOff>
      <xdr:row>36</xdr:row>
      <xdr:rowOff>178286</xdr:rowOff>
    </xdr:to>
    <xdr:cxnSp macro="">
      <xdr:nvCxnSpPr>
        <xdr:cNvPr id="36557" name="Con1_262.5_375">
          <a:extLst>
            <a:ext uri="{FF2B5EF4-FFF2-40B4-BE49-F238E27FC236}">
              <a16:creationId xmlns:a16="http://schemas.microsoft.com/office/drawing/2014/main" id="{A59AF22C-94C8-49A9-93C0-25F9E4DAAE47}"/>
            </a:ext>
          </a:extLst>
        </xdr:cNvPr>
        <xdr:cNvCxnSpPr/>
      </xdr:nvCxnSpPr>
      <xdr:spPr>
        <a:xfrm flipV="1">
          <a:off x="3495675" y="5249868"/>
          <a:ext cx="323850" cy="5921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36</xdr:row>
      <xdr:rowOff>118225</xdr:rowOff>
    </xdr:from>
    <xdr:to>
      <xdr:col>30</xdr:col>
      <xdr:colOff>161925</xdr:colOff>
      <xdr:row>37</xdr:row>
      <xdr:rowOff>174867</xdr:rowOff>
    </xdr:to>
    <xdr:cxnSp macro="">
      <xdr:nvCxnSpPr>
        <xdr:cNvPr id="36558" name="Con1_772.5_375">
          <a:extLst>
            <a:ext uri="{FF2B5EF4-FFF2-40B4-BE49-F238E27FC236}">
              <a16:creationId xmlns:a16="http://schemas.microsoft.com/office/drawing/2014/main" id="{4BEA1768-7B9D-4F61-875C-997DAA204904}"/>
            </a:ext>
          </a:extLst>
        </xdr:cNvPr>
        <xdr:cNvCxnSpPr/>
      </xdr:nvCxnSpPr>
      <xdr:spPr>
        <a:xfrm flipV="1">
          <a:off x="9972675" y="5249025"/>
          <a:ext cx="323850" cy="240792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161925</xdr:colOff>
      <xdr:row>36</xdr:row>
      <xdr:rowOff>114774</xdr:rowOff>
    </xdr:from>
    <xdr:to>
      <xdr:col>27</xdr:col>
      <xdr:colOff>161925</xdr:colOff>
      <xdr:row>36</xdr:row>
      <xdr:rowOff>131921</xdr:rowOff>
    </xdr:to>
    <xdr:cxnSp macro="">
      <xdr:nvCxnSpPr>
        <xdr:cNvPr id="36559" name="Con1_696_375">
          <a:extLst>
            <a:ext uri="{FF2B5EF4-FFF2-40B4-BE49-F238E27FC236}">
              <a16:creationId xmlns:a16="http://schemas.microsoft.com/office/drawing/2014/main" id="{0328A3A1-71F5-4417-B1BC-F95C4E7258DC}"/>
            </a:ext>
          </a:extLst>
        </xdr:cNvPr>
        <xdr:cNvCxnSpPr/>
      </xdr:nvCxnSpPr>
      <xdr:spPr>
        <a:xfrm>
          <a:off x="9001125" y="5245574"/>
          <a:ext cx="323850" cy="17147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42</xdr:row>
      <xdr:rowOff>0</xdr:rowOff>
    </xdr:from>
    <xdr:to>
      <xdr:col>15</xdr:col>
      <xdr:colOff>161925</xdr:colOff>
      <xdr:row>42</xdr:row>
      <xdr:rowOff>0</xdr:rowOff>
    </xdr:to>
    <xdr:cxnSp macro="">
      <xdr:nvCxnSpPr>
        <xdr:cNvPr id="36560" name="Con1_390_375">
          <a:extLst>
            <a:ext uri="{FF2B5EF4-FFF2-40B4-BE49-F238E27FC236}">
              <a16:creationId xmlns:a16="http://schemas.microsoft.com/office/drawing/2014/main" id="{3BA48656-4AC5-4DB8-A75E-0411867DC456}"/>
            </a:ext>
          </a:extLst>
        </xdr:cNvPr>
        <xdr:cNvCxnSpPr/>
      </xdr:nvCxnSpPr>
      <xdr:spPr>
        <a:xfrm>
          <a:off x="5114925" y="6235700"/>
          <a:ext cx="323850" cy="0"/>
        </a:xfrm>
        <a:prstGeom prst="straightConnector1">
          <a:avLst/>
        </a:prstGeom>
        <a:ln w="3175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rmesonoglou, Faidon" id="{98247A34-A332-45FB-A4D4-C8245B01DE5C}" userId="S::fder@mytilineos.gr::cc286450-c7b3-4810-b409-05009f57148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" dT="2019-09-29T16:03:12.55" personId="{98247A34-A332-45FB-A4D4-C8245B01DE5C}" id="{FC5D7BE3-CF97-40CB-BC0A-7E1BE82AC7E7}">
    <text>TODAY()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emailreceiverone@example.com;emailreceivertwo@gmail.com;emailreceiverthree@hotmail.com" TargetMode="External"/><Relationship Id="rId1" Type="http://schemas.openxmlformats.org/officeDocument/2006/relationships/hyperlink" Target="mailto:myemail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4FA3A-C57F-4DBB-8787-4D4D4CF75025}">
  <sheetPr codeName="Sheet3">
    <tabColor rgb="FF0070C0"/>
  </sheetPr>
  <dimension ref="A2:O31"/>
  <sheetViews>
    <sheetView workbookViewId="0">
      <selection activeCell="G18" sqref="G18"/>
    </sheetView>
  </sheetViews>
  <sheetFormatPr defaultRowHeight="14.5" x14ac:dyDescent="0.35"/>
  <sheetData>
    <row r="2" spans="1:8" x14ac:dyDescent="0.35">
      <c r="A2" s="177" t="s">
        <v>212</v>
      </c>
    </row>
    <row r="3" spans="1:8" x14ac:dyDescent="0.35">
      <c r="A3" s="46" t="s">
        <v>215</v>
      </c>
      <c r="B3" s="46"/>
      <c r="C3" s="46"/>
      <c r="D3" s="46"/>
      <c r="E3" s="46"/>
      <c r="F3" s="46"/>
      <c r="G3" s="46"/>
      <c r="H3" s="46"/>
    </row>
    <row r="9" spans="1:8" x14ac:dyDescent="0.35">
      <c r="A9" s="177" t="s">
        <v>213</v>
      </c>
    </row>
    <row r="10" spans="1:8" x14ac:dyDescent="0.35">
      <c r="A10" s="46" t="s">
        <v>216</v>
      </c>
    </row>
    <row r="16" spans="1:8" x14ac:dyDescent="0.35">
      <c r="A16" s="177" t="s">
        <v>214</v>
      </c>
    </row>
    <row r="17" spans="1:15" x14ac:dyDescent="0.35">
      <c r="A17" t="s">
        <v>227</v>
      </c>
    </row>
    <row r="19" spans="1:15" x14ac:dyDescent="0.35">
      <c r="A19" t="s">
        <v>221</v>
      </c>
      <c r="F19" s="180" t="s">
        <v>219</v>
      </c>
    </row>
    <row r="20" spans="1:15" x14ac:dyDescent="0.35">
      <c r="A20" t="s">
        <v>217</v>
      </c>
      <c r="B20" s="178" t="s">
        <v>225</v>
      </c>
      <c r="F20" s="124" t="str">
        <f>IF(ISERROR(SEARCH("@gmail",B20)),"FALSE","TRUE")</f>
        <v>TRUE</v>
      </c>
    </row>
    <row r="21" spans="1:15" x14ac:dyDescent="0.35">
      <c r="A21" t="s">
        <v>218</v>
      </c>
      <c r="B21" s="179" t="s">
        <v>224</v>
      </c>
      <c r="F21" s="124" t="str">
        <f>IF(B21="","FALSE","TRUE")</f>
        <v>TRUE</v>
      </c>
    </row>
    <row r="22" spans="1:15" x14ac:dyDescent="0.35">
      <c r="B22" s="179"/>
      <c r="F22" s="124"/>
    </row>
    <row r="23" spans="1:15" x14ac:dyDescent="0.35">
      <c r="A23" t="s">
        <v>223</v>
      </c>
    </row>
    <row r="24" spans="1:15" x14ac:dyDescent="0.35">
      <c r="A24" t="s">
        <v>222</v>
      </c>
      <c r="B24" s="181" t="s">
        <v>226</v>
      </c>
    </row>
    <row r="31" spans="1:15" x14ac:dyDescent="0.35">
      <c r="A31" s="182" t="s">
        <v>220</v>
      </c>
      <c r="B31" s="182"/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2"/>
      <c r="O31" s="182"/>
    </row>
  </sheetData>
  <conditionalFormatting sqref="F20:F22">
    <cfRule type="containsText" dxfId="41" priority="1" operator="containsText" text="FALSE">
      <formula>NOT(ISERROR(SEARCH("FALSE",F20)))</formula>
    </cfRule>
    <cfRule type="containsText" dxfId="40" priority="2" operator="containsText" text="TRUE">
      <formula>NOT(ISERROR(SEARCH("TRUE",F20)))</formula>
    </cfRule>
  </conditionalFormatting>
  <hyperlinks>
    <hyperlink ref="B20" r:id="rId1" xr:uid="{B968D104-2C82-422B-8738-24A9FA92EC80}"/>
    <hyperlink ref="B24" r:id="rId2" xr:uid="{2F9BC110-B4F1-4223-A4C7-F51E70457EEF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C1:BB278"/>
  <sheetViews>
    <sheetView showGridLines="0" tabSelected="1" topLeftCell="B1" workbookViewId="0">
      <selection activeCell="L3" sqref="L3"/>
    </sheetView>
  </sheetViews>
  <sheetFormatPr defaultColWidth="8.81640625" defaultRowHeight="14.5" x14ac:dyDescent="0.35"/>
  <cols>
    <col min="1" max="2" width="2.453125" customWidth="1"/>
    <col min="3" max="3" width="14" style="1" customWidth="1"/>
    <col min="4" max="4" width="5.6328125" customWidth="1"/>
    <col min="5" max="39" width="4.6328125" customWidth="1"/>
    <col min="40" max="43" width="8.81640625" style="101"/>
    <col min="44" max="48" width="9.1796875" style="101" customWidth="1"/>
    <col min="49" max="54" width="8.81640625" style="101"/>
  </cols>
  <sheetData>
    <row r="1" spans="3:47" x14ac:dyDescent="0.35">
      <c r="C1" s="1" t="s">
        <v>22</v>
      </c>
      <c r="J1" s="33"/>
      <c r="K1" s="185">
        <v>42164</v>
      </c>
      <c r="L1" s="185"/>
      <c r="M1" s="185"/>
      <c r="N1" s="33"/>
    </row>
    <row r="2" spans="3:47" x14ac:dyDescent="0.35">
      <c r="J2" s="33"/>
      <c r="K2" s="53"/>
      <c r="L2" s="53"/>
      <c r="M2" s="53"/>
      <c r="N2" s="33"/>
    </row>
    <row r="3" spans="3:47" x14ac:dyDescent="0.35">
      <c r="C3" s="38" t="s">
        <v>150</v>
      </c>
      <c r="E3" s="47" t="str">
        <f>MyWeekday($K$1-20)</f>
        <v>W</v>
      </c>
      <c r="F3" s="47" t="str">
        <f>MyWeekday($K$1-19)</f>
        <v>T</v>
      </c>
      <c r="G3" s="47" t="str">
        <f>MyWeekday($K$1-18)</f>
        <v>F</v>
      </c>
      <c r="H3" s="47" t="str">
        <f>MyWeekday($K$1-17)</f>
        <v>S</v>
      </c>
      <c r="I3" s="47" t="str">
        <f>MyWeekday($K$1-16)</f>
        <v>S</v>
      </c>
      <c r="J3" s="47" t="str">
        <f>MyWeekday($K$1-15)</f>
        <v>M</v>
      </c>
      <c r="K3" s="48" t="str">
        <f>MyWeekday($K$1-14)</f>
        <v>T</v>
      </c>
      <c r="L3" s="47" t="str">
        <f>MyWeekday($K$1-13)</f>
        <v>W</v>
      </c>
      <c r="M3" s="47" t="str">
        <f>MyWeekday($K$1-12)</f>
        <v>T</v>
      </c>
      <c r="N3" s="47" t="str">
        <f>MyWeekday($K$1-11)</f>
        <v>F</v>
      </c>
      <c r="O3" s="47" t="str">
        <f>MyWeekday($K$1-10)</f>
        <v>S</v>
      </c>
      <c r="P3" s="47" t="str">
        <f>MyWeekday($K$1-9)</f>
        <v>S</v>
      </c>
      <c r="Q3" s="47" t="str">
        <f>MyWeekday($K$1-8)</f>
        <v>M</v>
      </c>
      <c r="R3" s="48" t="str">
        <f>MyWeekday($K$1-7)</f>
        <v>T</v>
      </c>
      <c r="S3" s="47" t="str">
        <f>MyWeekday($K$1-6)</f>
        <v>W</v>
      </c>
      <c r="T3" s="47" t="str">
        <f>MyWeekday($K$1-5)</f>
        <v>T</v>
      </c>
      <c r="U3" s="47" t="str">
        <f>MyWeekday($K$1-4)</f>
        <v>F</v>
      </c>
      <c r="V3" s="47" t="str">
        <f>MyWeekday($K$1-3)</f>
        <v>S</v>
      </c>
      <c r="W3" s="47" t="str">
        <f>MyWeekday($K$1-2)</f>
        <v>S</v>
      </c>
      <c r="X3" s="47" t="str">
        <f>MyWeekday($K$1-1)</f>
        <v>M</v>
      </c>
      <c r="Y3" s="48"/>
      <c r="Z3" s="47"/>
      <c r="AA3" s="47"/>
      <c r="AB3" s="47"/>
      <c r="AC3" s="47"/>
      <c r="AD3" s="47"/>
      <c r="AE3" s="47"/>
      <c r="AF3" s="48"/>
      <c r="AG3" s="47"/>
      <c r="AH3" s="47"/>
      <c r="AI3" s="47"/>
      <c r="AJ3" s="47"/>
      <c r="AK3" s="47"/>
      <c r="AL3" s="47"/>
      <c r="AM3" s="126" t="s">
        <v>156</v>
      </c>
    </row>
    <row r="4" spans="3:47" x14ac:dyDescent="0.35">
      <c r="C4" s="3"/>
      <c r="E4" s="47" t="str">
        <f>Myday($K$1-20)</f>
        <v>20</v>
      </c>
      <c r="F4" s="47" t="str">
        <f>Myday($K$1-19)</f>
        <v>21</v>
      </c>
      <c r="G4" s="47" t="str">
        <f>Myday($K$1-18)</f>
        <v>22</v>
      </c>
      <c r="H4" s="47" t="str">
        <f>Myday($K$1-17)</f>
        <v>23</v>
      </c>
      <c r="I4" s="47" t="str">
        <f>Myday($K$1-16)</f>
        <v>24</v>
      </c>
      <c r="J4" s="47" t="str">
        <f>Myday($K$1-15)</f>
        <v>25</v>
      </c>
      <c r="K4" s="48" t="str">
        <f>Myday($K$1-14)</f>
        <v>26</v>
      </c>
      <c r="L4" s="47" t="str">
        <f>Myday($K$1-13)</f>
        <v>27</v>
      </c>
      <c r="M4" s="47" t="str">
        <f>Myday($K$1-12)</f>
        <v>28</v>
      </c>
      <c r="N4" s="47" t="str">
        <f>Myday($K$1-11)</f>
        <v>29</v>
      </c>
      <c r="O4" s="47" t="str">
        <f>Myday($K$1-10)</f>
        <v>30</v>
      </c>
      <c r="P4" s="47" t="str">
        <f>Myday($K$1-9)</f>
        <v>31</v>
      </c>
      <c r="Q4" s="47" t="str">
        <f>Myday($K$1-8)</f>
        <v>01</v>
      </c>
      <c r="R4" s="48" t="str">
        <f>Myday($K$1-7)</f>
        <v>02</v>
      </c>
      <c r="S4" s="47" t="str">
        <f>Myday($K$1-6)</f>
        <v>03</v>
      </c>
      <c r="T4" s="47" t="str">
        <f>Myday($K$1-5)</f>
        <v>04</v>
      </c>
      <c r="U4" s="47" t="str">
        <f>Myday($K$1-4)</f>
        <v>05</v>
      </c>
      <c r="V4" s="47" t="str">
        <f>Myday($K$1-3)</f>
        <v>06</v>
      </c>
      <c r="W4" s="47" t="str">
        <f>Myday($K$1-2)</f>
        <v>07</v>
      </c>
      <c r="X4" s="47" t="str">
        <f>Myday($K$1-1)</f>
        <v>08</v>
      </c>
      <c r="Y4" s="48"/>
      <c r="Z4" s="47"/>
      <c r="AA4" s="47"/>
      <c r="AB4" s="47"/>
      <c r="AC4" s="47"/>
      <c r="AD4" s="47"/>
      <c r="AE4" s="47"/>
      <c r="AF4" s="48"/>
      <c r="AG4" s="47"/>
      <c r="AH4" s="47"/>
      <c r="AI4" s="47"/>
      <c r="AJ4" s="47"/>
      <c r="AK4" s="47"/>
      <c r="AL4" s="47"/>
      <c r="AM4" s="186">
        <v>1</v>
      </c>
    </row>
    <row r="5" spans="3:47" x14ac:dyDescent="0.35">
      <c r="C5" s="2" t="s">
        <v>152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46"/>
      <c r="Z5" s="46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186"/>
    </row>
    <row r="6" spans="3:47" x14ac:dyDescent="0.35">
      <c r="C6" s="2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46"/>
      <c r="Z6" s="46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46"/>
    </row>
    <row r="7" spans="3:47" x14ac:dyDescent="0.35">
      <c r="C7" s="2" t="s">
        <v>153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46"/>
      <c r="Z7" s="46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46"/>
    </row>
    <row r="8" spans="3:47" x14ac:dyDescent="0.35">
      <c r="C8" s="2" t="s">
        <v>154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46"/>
      <c r="Z8" s="46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46"/>
    </row>
    <row r="9" spans="3:47" x14ac:dyDescent="0.35">
      <c r="C9" s="2" t="s">
        <v>155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46"/>
      <c r="Z9" s="46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46"/>
    </row>
    <row r="10" spans="3:47" x14ac:dyDescent="0.35">
      <c r="C10" s="3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46"/>
      <c r="Z10" s="46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46"/>
    </row>
    <row r="11" spans="3:47" x14ac:dyDescent="0.35">
      <c r="C11" s="3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46"/>
      <c r="Z11" s="46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46"/>
    </row>
    <row r="12" spans="3:47" x14ac:dyDescent="0.35">
      <c r="C12" s="3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30"/>
      <c r="Z12" s="30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187">
        <v>0</v>
      </c>
    </row>
    <row r="13" spans="3:47" ht="12.5" customHeight="1" x14ac:dyDescent="0.35">
      <c r="C13" s="3"/>
      <c r="E13" s="6" t="s">
        <v>56</v>
      </c>
      <c r="F13" s="6" t="s">
        <v>42</v>
      </c>
      <c r="G13" s="6" t="s">
        <v>41</v>
      </c>
      <c r="H13" s="6" t="s">
        <v>40</v>
      </c>
      <c r="I13" s="6" t="s">
        <v>39</v>
      </c>
      <c r="J13" s="6" t="s">
        <v>38</v>
      </c>
      <c r="K13" s="49" t="s">
        <v>37</v>
      </c>
      <c r="L13" s="6" t="s">
        <v>36</v>
      </c>
      <c r="M13" s="6" t="s">
        <v>35</v>
      </c>
      <c r="N13" s="6" t="s">
        <v>34</v>
      </c>
      <c r="O13" s="6" t="s">
        <v>33</v>
      </c>
      <c r="P13" s="6" t="s">
        <v>32</v>
      </c>
      <c r="Q13" s="6" t="s">
        <v>31</v>
      </c>
      <c r="R13" s="49" t="s">
        <v>30</v>
      </c>
      <c r="S13" s="6" t="s">
        <v>29</v>
      </c>
      <c r="T13" s="6" t="s">
        <v>28</v>
      </c>
      <c r="U13" s="6" t="s">
        <v>27</v>
      </c>
      <c r="V13" s="6" t="s">
        <v>26</v>
      </c>
      <c r="W13" s="6" t="s">
        <v>25</v>
      </c>
      <c r="X13" s="6" t="s">
        <v>24</v>
      </c>
      <c r="Y13" s="49"/>
      <c r="Z13" s="6"/>
      <c r="AA13" s="6" t="s">
        <v>122</v>
      </c>
      <c r="AB13" s="6" t="s">
        <v>121</v>
      </c>
      <c r="AC13" s="6" t="s">
        <v>120</v>
      </c>
      <c r="AD13" s="6" t="s">
        <v>131</v>
      </c>
      <c r="AE13" s="6" t="s">
        <v>130</v>
      </c>
      <c r="AF13" s="123" t="s">
        <v>129</v>
      </c>
      <c r="AG13" s="6" t="s">
        <v>128</v>
      </c>
      <c r="AH13" s="6" t="s">
        <v>127</v>
      </c>
      <c r="AI13" s="6" t="s">
        <v>126</v>
      </c>
      <c r="AJ13" s="6" t="s">
        <v>125</v>
      </c>
      <c r="AK13" s="6" t="s">
        <v>124</v>
      </c>
      <c r="AL13" s="6" t="s">
        <v>123</v>
      </c>
      <c r="AM13" s="188"/>
    </row>
    <row r="14" spans="3:47" x14ac:dyDescent="0.35">
      <c r="C14" s="3"/>
      <c r="J14" s="33"/>
      <c r="K14" s="53"/>
      <c r="L14" s="53"/>
      <c r="M14" s="53"/>
      <c r="N14" s="33"/>
    </row>
    <row r="15" spans="3:47" hidden="1" x14ac:dyDescent="0.35">
      <c r="C15" s="3"/>
      <c r="E15">
        <f>Prereport!E62</f>
        <v>88666.27066265406</v>
      </c>
      <c r="F15">
        <f>Prereport!F62</f>
        <v>89293.543522654552</v>
      </c>
      <c r="G15">
        <f>Prereport!G62</f>
        <v>89947.648777099501</v>
      </c>
      <c r="H15">
        <f>Prereport!H62</f>
        <v>90761.941971544555</v>
      </c>
      <c r="I15">
        <f>Prereport!I62</f>
        <v>91584.239737628508</v>
      </c>
      <c r="J15">
        <f>Prereport!J62</f>
        <v>92389.076862629125</v>
      </c>
      <c r="K15">
        <f>Prereport!K62</f>
        <v>93130.145923157485</v>
      </c>
      <c r="L15">
        <f>Prereport!L62</f>
        <v>93862.295800991385</v>
      </c>
      <c r="M15">
        <f>Prereport!M62</f>
        <v>51083.587628846042</v>
      </c>
      <c r="N15">
        <f>Prereport!N62</f>
        <v>51083.587628846042</v>
      </c>
      <c r="O15">
        <f>Prereport!O62</f>
        <v>51083.587628846042</v>
      </c>
      <c r="P15">
        <f>Prereport!P62</f>
        <v>96958.786534327082</v>
      </c>
      <c r="Q15">
        <f>Prereport!Q62</f>
        <v>97697.01381654985</v>
      </c>
      <c r="R15">
        <f>Prereport!R62</f>
        <v>98481.808304883773</v>
      </c>
      <c r="S15">
        <f>Prereport!S62</f>
        <v>98962.27424168968</v>
      </c>
      <c r="T15">
        <f>Prereport!T62</f>
        <v>99483.399105023389</v>
      </c>
      <c r="U15">
        <f>Prereport!U62</f>
        <v>100097.82987946831</v>
      </c>
      <c r="V15">
        <f>Prereport!V62</f>
        <v>100812.01952169107</v>
      </c>
      <c r="W15">
        <f>Prereport!W62</f>
        <v>101588.58849402498</v>
      </c>
      <c r="X15">
        <f>Prereport!X62</f>
        <v>102167.17525769208</v>
      </c>
      <c r="AR15" s="101" t="s">
        <v>12</v>
      </c>
      <c r="AS15" s="101">
        <f>Prereport!AP62</f>
        <v>103876.32952769208</v>
      </c>
      <c r="AT15" s="101">
        <f>Prereport!AQ62</f>
        <v>-49374.433358846043</v>
      </c>
      <c r="AU15" s="101" t="s">
        <v>13</v>
      </c>
    </row>
    <row r="16" spans="3:47" hidden="1" x14ac:dyDescent="0.35">
      <c r="C16" s="3"/>
      <c r="E16">
        <f>MyWaterfallBar("BA_",$E$5:$X$12,$E$15:$X$15,$AS$15,$AT$15)</f>
        <v>0.5785698484796431</v>
      </c>
      <c r="F16">
        <f>MyWaterfallBar("BA_",$E$5:$X$12,$E$15:$X$15,$AS$15,$AT$15)</f>
        <v>0.58266296259004335</v>
      </c>
      <c r="G16">
        <f t="shared" ref="G16:U16" si="0">MyWaterfallBar("BA_",$E$5:$X$12,$E$15:$X$15,$AS$15,$AT$15)</f>
        <v>0.58693116486274077</v>
      </c>
      <c r="H16">
        <f t="shared" si="0"/>
        <v>0.59224463397119753</v>
      </c>
      <c r="I16">
        <f t="shared" si="0"/>
        <v>0.59761033493474025</v>
      </c>
      <c r="J16">
        <f t="shared" si="0"/>
        <v>0.60286210079770364</v>
      </c>
      <c r="K16">
        <f t="shared" si="0"/>
        <v>0.60769776390678076</v>
      </c>
      <c r="L16">
        <f t="shared" si="0"/>
        <v>0.61247522709223956</v>
      </c>
      <c r="M16">
        <f t="shared" si="0"/>
        <v>0.61247522709223956</v>
      </c>
      <c r="N16">
        <f t="shared" si="0"/>
        <v>0.33333333333333337</v>
      </c>
      <c r="O16">
        <f t="shared" si="0"/>
        <v>0.33333333333333337</v>
      </c>
      <c r="P16">
        <f t="shared" si="0"/>
        <v>0.63268061253380004</v>
      </c>
      <c r="Q16">
        <f t="shared" si="0"/>
        <v>0.63749773232046847</v>
      </c>
      <c r="R16">
        <f t="shared" si="0"/>
        <v>0.64261871490843081</v>
      </c>
      <c r="S16">
        <f t="shared" si="0"/>
        <v>0.64575387670310092</v>
      </c>
      <c r="T16">
        <f t="shared" si="0"/>
        <v>0.64915434827999952</v>
      </c>
      <c r="U16">
        <f t="shared" si="0"/>
        <v>0.65316366453312524</v>
      </c>
      <c r="V16">
        <f>MyWaterfallBar("BA_",$E$5:$X$12,$E$15:$X$15,$AS$15,$AT$15)</f>
        <v>0.6578239326373142</v>
      </c>
      <c r="W16">
        <f>MyWaterfallBar("BA_",$E$5:$X$12,$E$15:$X$15,$AS$15,$AT$15)</f>
        <v>0.66289124165233604</v>
      </c>
      <c r="X16">
        <f>MyWaterfallBar("BA_",$E$5:$X$12,$E$15:$X$15,$AS$15,$AT$15)</f>
        <v>0.66666666666666674</v>
      </c>
      <c r="AT16" s="101">
        <f>Prereport!AR62</f>
        <v>153250.76288653811</v>
      </c>
    </row>
    <row r="17" spans="3:40" x14ac:dyDescent="0.35">
      <c r="C17" s="3" t="s">
        <v>100</v>
      </c>
      <c r="D17" s="2" t="s">
        <v>205</v>
      </c>
      <c r="E17" s="96">
        <f>Prereport!E59/1000</f>
        <v>39.291837303808016</v>
      </c>
      <c r="F17" s="96">
        <f>Prereport!F59/1000</f>
        <v>39.919110163808512</v>
      </c>
      <c r="G17" s="96">
        <f>Prereport!G59/1000</f>
        <v>40.573215418253454</v>
      </c>
      <c r="H17" s="96">
        <f>Prereport!H59/1000</f>
        <v>41.387508612698518</v>
      </c>
      <c r="I17" s="96">
        <f>Prereport!I59/1000</f>
        <v>42.209806378782467</v>
      </c>
      <c r="J17" s="96">
        <f>Prereport!J59/1000</f>
        <v>43.014643503783091</v>
      </c>
      <c r="K17" s="96">
        <f>Prereport!K59/1000</f>
        <v>43.755712564311438</v>
      </c>
      <c r="L17" s="96">
        <f>Prereport!L59/1000</f>
        <v>44.487862442145342</v>
      </c>
      <c r="M17" s="96">
        <f>Prereport!M59/1000</f>
        <v>1.70915427</v>
      </c>
      <c r="N17" s="96">
        <f>Prereport!N59/1000</f>
        <v>1.70915427</v>
      </c>
      <c r="O17" s="96">
        <f>Prereport!O59/1000</f>
        <v>1.70915427</v>
      </c>
      <c r="P17" s="96">
        <f>Prereport!P59/1000</f>
        <v>47.584353175481034</v>
      </c>
      <c r="Q17" s="96">
        <f>Prereport!Q59/1000</f>
        <v>48.322580457703808</v>
      </c>
      <c r="R17" s="96">
        <f>Prereport!R59/1000</f>
        <v>49.107374946037723</v>
      </c>
      <c r="S17" s="96">
        <f>Prereport!S59/1000</f>
        <v>49.587840882843636</v>
      </c>
      <c r="T17" s="96">
        <f>Prereport!T59/1000</f>
        <v>50.108965746177354</v>
      </c>
      <c r="U17" s="96">
        <f>Prereport!U59/1000</f>
        <v>50.723396520622266</v>
      </c>
      <c r="V17" s="96">
        <f>Prereport!V59/1000</f>
        <v>51.437586162845022</v>
      </c>
      <c r="W17" s="96">
        <f>Prereport!W59/1000</f>
        <v>52.214155135178942</v>
      </c>
      <c r="X17" s="96">
        <f>Prereport!X59/1000</f>
        <v>52.792741898846039</v>
      </c>
      <c r="Z17" s="37">
        <v>2014</v>
      </c>
      <c r="AA17" s="96">
        <f ca="1">HistoricalStock!B9/1000</f>
        <v>122.72950240951037</v>
      </c>
      <c r="AB17" s="96">
        <f ca="1">IF(HistoricalStock!C9="","",HistoricalStock!C9/1000)</f>
        <v>124.5668620014563</v>
      </c>
      <c r="AC17" s="96">
        <f ca="1">IF(HistoricalStock!D9="","",HistoricalStock!D9/1000)</f>
        <v>115.52046955781061</v>
      </c>
      <c r="AD17" s="96">
        <f ca="1">IF(HistoricalStock!E9="","",HistoricalStock!E9/1000)</f>
        <v>92.625591055626856</v>
      </c>
      <c r="AE17" s="96">
        <f ca="1">IF(HistoricalStock!F9="","",HistoricalStock!F9/1000)</f>
        <v>58.801604922906705</v>
      </c>
      <c r="AF17" s="96">
        <f ca="1">IF(HistoricalStock!G9="","",HistoricalStock!G9/1000)</f>
        <v>27.556235699465962</v>
      </c>
      <c r="AG17" s="96">
        <f ca="1">IF(HistoricalStock!H9="","",HistoricalStock!H9/1000)</f>
        <v>12.680603330093462</v>
      </c>
      <c r="AH17" s="96">
        <f ca="1">IF(HistoricalStock!I9="","",HistoricalStock!I9/1000)</f>
        <v>26.065818706048045</v>
      </c>
      <c r="AI17" s="96">
        <f ca="1">IF(HistoricalStock!J9="","",HistoricalStock!J9/1000)</f>
        <v>48.322580457703808</v>
      </c>
      <c r="AJ17" s="96">
        <f ca="1">IF(HistoricalStock!K9="","",HistoricalStock!K9/1000)</f>
        <v>0</v>
      </c>
      <c r="AK17" s="96">
        <f ca="1">IF(HistoricalStock!L9="","",HistoricalStock!L9/1000)</f>
        <v>0</v>
      </c>
      <c r="AL17" s="96">
        <f ca="1">IF(HistoricalStock!M9="","",HistoricalStock!M9/1000)</f>
        <v>0</v>
      </c>
      <c r="AN17" s="155"/>
    </row>
    <row r="18" spans="3:40" x14ac:dyDescent="0.35">
      <c r="C18" s="3" t="s">
        <v>151</v>
      </c>
      <c r="D18" s="2" t="s">
        <v>206</v>
      </c>
      <c r="E18" s="95">
        <f>Prereport!E60/10000</f>
        <v>6.445931328060539E-2</v>
      </c>
      <c r="F18" s="95">
        <f>Prereport!F60/10000</f>
        <v>6.272728600004851E-2</v>
      </c>
      <c r="G18" s="95">
        <f>Prereport!G60/10000</f>
        <v>6.5410525444494619E-2</v>
      </c>
      <c r="H18" s="95">
        <f>Prereport!H60/10000</f>
        <v>8.1429319444505946E-2</v>
      </c>
      <c r="I18" s="95">
        <f>Prereport!I60/10000</f>
        <v>8.2229776608395394E-2</v>
      </c>
      <c r="J18" s="95">
        <f>Prereport!J60/10000</f>
        <v>8.0483712500062407E-2</v>
      </c>
      <c r="K18" s="95">
        <f>Prereport!K60/10000</f>
        <v>7.4106906052834834E-2</v>
      </c>
      <c r="L18" s="95">
        <f>Prereport!L60/10000</f>
        <v>7.3214987783389626E-2</v>
      </c>
      <c r="M18" s="95">
        <f>Prereport!M60/10000</f>
        <v>0</v>
      </c>
      <c r="N18" s="95">
        <f>Prereport!N60/10000</f>
        <v>0</v>
      </c>
      <c r="O18" s="95">
        <f>Prereport!O60/10000</f>
        <v>0</v>
      </c>
      <c r="P18" s="95">
        <f>Prereport!P60/10000</f>
        <v>8.0648233000060895E-2</v>
      </c>
      <c r="Q18" s="95">
        <f>Prereport!Q60/10000</f>
        <v>7.3822728222278186E-2</v>
      </c>
      <c r="R18" s="95">
        <f>Prereport!R60/10000</f>
        <v>7.8479448833392446E-2</v>
      </c>
      <c r="S18" s="95">
        <f>Prereport!S60/10000</f>
        <v>4.8046593680590999E-2</v>
      </c>
      <c r="T18" s="95">
        <f>Prereport!T60/10000</f>
        <v>5.2112486333372315E-2</v>
      </c>
      <c r="U18" s="95">
        <f>Prereport!U60/10000</f>
        <v>6.1443077444490769E-2</v>
      </c>
      <c r="V18" s="95">
        <f>Prereport!V60/10000</f>
        <v>7.1418964222275533E-2</v>
      </c>
      <c r="W18" s="95">
        <f>Prereport!W60/10000</f>
        <v>7.7656897233391475E-2</v>
      </c>
      <c r="X18" s="95">
        <f>Prereport!X60/10000</f>
        <v>5.7858676366709369E-2</v>
      </c>
      <c r="Z18" s="37">
        <v>2013</v>
      </c>
      <c r="AA18" s="96">
        <f>HistoricalStock!B8/1000</f>
        <v>96.581006383228228</v>
      </c>
      <c r="AB18" s="96">
        <f>HistoricalStock!C8/1000</f>
        <v>104.8599211745</v>
      </c>
      <c r="AC18" s="96">
        <f>HistoricalStock!D8/1000</f>
        <v>95.108994922722218</v>
      </c>
      <c r="AD18" s="96">
        <f>HistoricalStock!E8/1000</f>
        <v>83.53214572819445</v>
      </c>
      <c r="AE18" s="96">
        <f>HistoricalStock!F8/1000</f>
        <v>60.166735228194447</v>
      </c>
      <c r="AF18" s="96">
        <f>HistoricalStock!G8/1000</f>
        <v>42.037221922805557</v>
      </c>
      <c r="AG18" s="96">
        <f>HistoricalStock!H8/1000</f>
        <v>33.207173774276541</v>
      </c>
      <c r="AH18" s="96">
        <f>HistoricalStock!I8/1000</f>
        <v>46.128039298814194</v>
      </c>
      <c r="AI18" s="96">
        <f>HistoricalStock!J8/1000</f>
        <v>67.959243070385909</v>
      </c>
      <c r="AJ18" s="96">
        <f>HistoricalStock!K8/1000</f>
        <v>87.722272247206405</v>
      </c>
      <c r="AK18" s="96">
        <f>HistoricalStock!L8/1000</f>
        <v>104.41484058158005</v>
      </c>
      <c r="AL18" s="96">
        <f>HistoricalStock!M8/1000</f>
        <v>115.760244053894</v>
      </c>
      <c r="AN18" s="155"/>
    </row>
    <row r="19" spans="3:40" x14ac:dyDescent="0.35">
      <c r="C19" s="3"/>
      <c r="J19" s="33"/>
      <c r="K19" s="53"/>
      <c r="L19" s="53"/>
      <c r="M19" s="53"/>
      <c r="N19" s="33"/>
      <c r="Z19" s="37">
        <v>2012</v>
      </c>
      <c r="AA19" s="96">
        <f>HistoricalStock!B7/1000</f>
        <v>110.67625614337567</v>
      </c>
      <c r="AB19" s="96">
        <f>HistoricalStock!C7/1000</f>
        <v>114.4163926989312</v>
      </c>
      <c r="AC19" s="96">
        <f>HistoricalStock!D7/1000</f>
        <v>109.18243250448681</v>
      </c>
      <c r="AD19" s="96">
        <f>HistoricalStock!E7/1000</f>
        <v>89.645703087820181</v>
      </c>
      <c r="AE19" s="96">
        <f>HistoricalStock!F7/1000</f>
        <v>63.369043643375655</v>
      </c>
      <c r="AF19" s="96">
        <f>HistoricalStock!G7/1000</f>
        <v>32.863272087820107</v>
      </c>
      <c r="AG19" s="96">
        <f>HistoricalStock!H7/1000</f>
        <v>14.451673044847224</v>
      </c>
      <c r="AH19" s="96">
        <f>HistoricalStock!I7/1000</f>
        <v>18.107901883228177</v>
      </c>
      <c r="AI19" s="96">
        <f>HistoricalStock!J7/1000</f>
        <v>35.217433716561516</v>
      </c>
      <c r="AJ19" s="96">
        <f>HistoricalStock!K7/1000</f>
        <v>52.562370994339311</v>
      </c>
      <c r="AK19" s="96">
        <f>HistoricalStock!L7/1000</f>
        <v>69.200608827672625</v>
      </c>
      <c r="AL19" s="96">
        <f>HistoricalStock!M7/1000</f>
        <v>87.517931938783761</v>
      </c>
      <c r="AN19" s="155"/>
    </row>
    <row r="20" spans="3:40" x14ac:dyDescent="0.35">
      <c r="C20" s="3" t="s">
        <v>199</v>
      </c>
      <c r="D20" s="2" t="s">
        <v>205</v>
      </c>
      <c r="E20" s="164">
        <f>-125.699+E17</f>
        <v>-86.407162696191989</v>
      </c>
      <c r="F20" s="164">
        <f t="shared" ref="F20:X20" si="1">-125.699+F17</f>
        <v>-85.779889836191487</v>
      </c>
      <c r="G20" s="164">
        <f t="shared" si="1"/>
        <v>-85.125784581746544</v>
      </c>
      <c r="H20" s="164">
        <f t="shared" si="1"/>
        <v>-84.311491387301487</v>
      </c>
      <c r="I20" s="164">
        <f t="shared" si="1"/>
        <v>-83.489193621217538</v>
      </c>
      <c r="J20" s="164">
        <f t="shared" si="1"/>
        <v>-82.684356496216907</v>
      </c>
      <c r="K20" s="164">
        <f t="shared" si="1"/>
        <v>-81.943287435688561</v>
      </c>
      <c r="L20" s="164">
        <f t="shared" si="1"/>
        <v>-81.211137557854656</v>
      </c>
      <c r="M20" s="164">
        <f t="shared" si="1"/>
        <v>-123.98984573</v>
      </c>
      <c r="N20" s="164">
        <f t="shared" si="1"/>
        <v>-123.98984573</v>
      </c>
      <c r="O20" s="164">
        <f t="shared" si="1"/>
        <v>-123.98984573</v>
      </c>
      <c r="P20" s="164">
        <f t="shared" si="1"/>
        <v>-78.114646824518957</v>
      </c>
      <c r="Q20" s="164">
        <f t="shared" si="1"/>
        <v>-77.37641954229619</v>
      </c>
      <c r="R20" s="164">
        <f t="shared" si="1"/>
        <v>-76.591625053962275</v>
      </c>
      <c r="S20" s="164">
        <f t="shared" si="1"/>
        <v>-76.111159117156362</v>
      </c>
      <c r="T20" s="164">
        <f t="shared" si="1"/>
        <v>-75.590034253822637</v>
      </c>
      <c r="U20" s="164">
        <f t="shared" si="1"/>
        <v>-74.975603479377725</v>
      </c>
      <c r="V20" s="164">
        <f t="shared" si="1"/>
        <v>-74.261413837154976</v>
      </c>
      <c r="W20" s="164">
        <f t="shared" si="1"/>
        <v>-73.484844864821056</v>
      </c>
      <c r="X20" s="164">
        <f t="shared" si="1"/>
        <v>-72.906258101153952</v>
      </c>
      <c r="Z20" s="37">
        <v>2011</v>
      </c>
      <c r="AA20" s="96">
        <f>HistoricalStock!B6/1000</f>
        <v>108.31702122014393</v>
      </c>
      <c r="AB20" s="96">
        <f>HistoricalStock!C6/1000</f>
        <v>110.64914552569947</v>
      </c>
      <c r="AC20" s="96">
        <f>HistoricalStock!D6/1000</f>
        <v>97.61773699792171</v>
      </c>
      <c r="AD20" s="96">
        <f>HistoricalStock!E6/1000</f>
        <v>77.505098220143907</v>
      </c>
      <c r="AE20" s="96">
        <f>HistoricalStock!F6/1000</f>
        <v>51.843152775699409</v>
      </c>
      <c r="AF20" s="96">
        <f>HistoricalStock!G6/1000</f>
        <v>26.91741941458832</v>
      </c>
      <c r="AG20" s="96">
        <f>HistoricalStock!H6/1000</f>
        <v>28.37363156587568</v>
      </c>
      <c r="AH20" s="96">
        <f>HistoricalStock!I6/1000</f>
        <v>43.178897288097914</v>
      </c>
      <c r="AI20" s="96">
        <f>HistoricalStock!J6/1000</f>
        <v>61.236321621431259</v>
      </c>
      <c r="AJ20" s="96">
        <f>HistoricalStock!K6/1000</f>
        <v>76.240765704764584</v>
      </c>
      <c r="AK20" s="96">
        <f>HistoricalStock!L6/1000</f>
        <v>88.941471260320114</v>
      </c>
      <c r="AL20" s="96">
        <f>HistoricalStock!M6/1000</f>
        <v>101.62221378809789</v>
      </c>
      <c r="AN20" s="155"/>
    </row>
    <row r="21" spans="3:40" x14ac:dyDescent="0.35">
      <c r="C21" s="3" t="s">
        <v>204</v>
      </c>
      <c r="J21" s="33"/>
      <c r="K21" s="53"/>
      <c r="L21" s="53"/>
      <c r="M21" s="53"/>
      <c r="N21" s="33"/>
      <c r="Z21" s="37">
        <v>2010</v>
      </c>
      <c r="AA21" s="96">
        <f>HistoricalStock!B5/1000</f>
        <v>88.839668742366129</v>
      </c>
      <c r="AB21" s="96">
        <f>HistoricalStock!C5/1000</f>
        <v>96.076157278477282</v>
      </c>
      <c r="AC21" s="96">
        <f>HistoricalStock!D5/1000</f>
        <v>92.741116334032796</v>
      </c>
      <c r="AD21" s="96">
        <f>HistoricalStock!E5/1000</f>
        <v>71.775405278477251</v>
      </c>
      <c r="AE21" s="96">
        <f>HistoricalStock!F5/1000</f>
        <v>51.10688877847722</v>
      </c>
      <c r="AF21" s="96">
        <f>HistoricalStock!G5/1000</f>
        <v>36.453233000699448</v>
      </c>
      <c r="AG21" s="96">
        <f>HistoricalStock!H5/1000</f>
        <v>27.136819003477243</v>
      </c>
      <c r="AH21" s="96">
        <f>HistoricalStock!I5/1000</f>
        <v>39.935990478477251</v>
      </c>
      <c r="AI21" s="96">
        <f>HistoricalStock!J5/1000</f>
        <v>56.632628850699433</v>
      </c>
      <c r="AJ21" s="96">
        <f>HistoricalStock!K5/1000</f>
        <v>70.789926309032808</v>
      </c>
      <c r="AK21" s="96">
        <f>HistoricalStock!L5/1000</f>
        <v>83.718814620143974</v>
      </c>
      <c r="AL21" s="96">
        <f>HistoricalStock!M5/1000</f>
        <v>98.036262886810647</v>
      </c>
      <c r="AN21" s="155"/>
    </row>
    <row r="22" spans="3:40" x14ac:dyDescent="0.35">
      <c r="C22" s="3"/>
      <c r="J22" s="33"/>
      <c r="K22" s="53"/>
      <c r="L22" s="53"/>
      <c r="M22" s="53"/>
      <c r="N22" s="33"/>
      <c r="W22" s="125"/>
      <c r="Z22" s="37">
        <v>2009</v>
      </c>
      <c r="AA22" s="96">
        <f>HistoricalStock!B4/1000</f>
        <v>90.12595565161935</v>
      </c>
      <c r="AB22" s="96">
        <f>HistoricalStock!C4/1000</f>
        <v>91.136582984952753</v>
      </c>
      <c r="AC22" s="96">
        <f>HistoricalStock!D4/1000</f>
        <v>84.540598707174922</v>
      </c>
      <c r="AD22" s="96">
        <f>HistoricalStock!E4/1000</f>
        <v>66.675464623841577</v>
      </c>
      <c r="AE22" s="96">
        <f>HistoricalStock!F4/1000</f>
        <v>40.177315346063821</v>
      </c>
      <c r="AF22" s="96">
        <f>HistoricalStock!G4/1000</f>
        <v>24.18159454050825</v>
      </c>
      <c r="AG22" s="96">
        <f>HistoricalStock!H4/1000</f>
        <v>17.232369632028089</v>
      </c>
      <c r="AH22" s="96">
        <f>HistoricalStock!I4/1000</f>
        <v>26.414183718139203</v>
      </c>
      <c r="AI22" s="96">
        <f>HistoricalStock!J4/1000</f>
        <v>41.152072487583602</v>
      </c>
      <c r="AJ22" s="96">
        <f>HistoricalStock!K4/1000</f>
        <v>55.950667392366121</v>
      </c>
      <c r="AK22" s="96">
        <f>HistoricalStock!L4/1000</f>
        <v>67.430421047921698</v>
      </c>
      <c r="AL22" s="96">
        <f>HistoricalStock!M4/1000</f>
        <v>78.057442945143904</v>
      </c>
      <c r="AN22" s="155"/>
    </row>
    <row r="23" spans="3:40" x14ac:dyDescent="0.35">
      <c r="C23" s="3"/>
      <c r="J23" s="33"/>
      <c r="K23" s="53"/>
      <c r="L23" s="53"/>
      <c r="M23" s="53"/>
      <c r="N23" s="33"/>
    </row>
    <row r="24" spans="3:40" hidden="1" x14ac:dyDescent="0.35">
      <c r="C24" s="3"/>
      <c r="J24" s="33"/>
      <c r="K24" s="57"/>
      <c r="L24" s="57"/>
      <c r="M24" s="57"/>
      <c r="N24" s="33"/>
      <c r="AA24" s="2">
        <f ca="1">MyLineNew($AA$24:$AL$29,HistoricalStock!$B$15:$O$20,Sheet1!$AA$5:$AL$12,1)</f>
        <v>0.6852903140449329</v>
      </c>
      <c r="AB24" s="2">
        <f ca="1">MyLineNew($AA$24:$AL$29,HistoricalStock!$B$15:$O$20,Sheet1!$AA$5:$AL$12,1)</f>
        <v>0.69297481644643388</v>
      </c>
      <c r="AC24" s="2">
        <f ca="1">MyLineNew($AA$24:$AL$29,HistoricalStock!$B$15:$O$20,Sheet1!$AA$5:$AL$12,1)</f>
        <v>0.64282096116165399</v>
      </c>
      <c r="AD24" s="2">
        <f ca="1">MyLineNew($AA$24:$AL$29,HistoricalStock!$B$15:$O$20,Sheet1!$AA$5:$AL$12,1)</f>
        <v>0.50697992338396058</v>
      </c>
      <c r="AE24" s="2">
        <f ca="1">MyLineNew($AA$24:$AL$29,HistoricalStock!$B$15:$O$20,Sheet1!$AA$5:$AL$12,1)</f>
        <v>0.30549606771899646</v>
      </c>
      <c r="AF24" s="2">
        <f ca="1">MyLineNew($AA$24:$AL$29,HistoricalStock!$B$15:$O$20,Sheet1!$AA$5:$AL$12,1)</f>
        <v>0.183869479074693</v>
      </c>
      <c r="AG24" s="2">
        <f ca="1">MyLineNew($AA$24:$AL$29,HistoricalStock!$B$15:$O$20,Sheet1!$AA$5:$AL$12,1)</f>
        <v>0.13102968963257491</v>
      </c>
      <c r="AH24" s="2">
        <f ca="1">MyLineNew($AA$24:$AL$29,HistoricalStock!$B$15:$O$20,Sheet1!$AA$5:$AL$12,1)</f>
        <v>0.20084540712572105</v>
      </c>
      <c r="AI24" s="2">
        <f ca="1">MyLineNew($AA$24:$AL$29,HistoricalStock!$B$15:$O$20,Sheet1!$AA$5:$AL$12,1)</f>
        <v>0.31290782410815193</v>
      </c>
      <c r="AJ24" s="2">
        <f ca="1">MyLineNew($AA$24:$AL$29,HistoricalStock!$B$15:$O$20,Sheet1!$AA$5:$AL$12,1)</f>
        <v>0.42543183205235996</v>
      </c>
      <c r="AK24" s="2">
        <f ca="1">MyLineNew($AA$24:$AL$29,HistoricalStock!$B$15:$O$20,Sheet1!$AA$5:$AL$12,1)</f>
        <v>0.5127203820698909</v>
      </c>
      <c r="AL24" s="2">
        <f ca="1">MyLineNew($AA$24:$AL$29,HistoricalStock!$B$15:$O$20,Sheet1!$AA$5:$AL$12,1)</f>
        <v>0.5935250195425914</v>
      </c>
    </row>
    <row r="25" spans="3:40" hidden="1" x14ac:dyDescent="0.35">
      <c r="C25" s="3"/>
      <c r="J25" s="33"/>
      <c r="K25" s="57"/>
      <c r="L25" s="57"/>
      <c r="M25" s="57"/>
      <c r="N25" s="33"/>
      <c r="AA25" s="2">
        <f ca="1">MyLineNew($AA$24:$AL$29,HistoricalStock!$B$15:$O$20,Sheet1!$AA$5:$AL$12,1)</f>
        <v>0.67550978019515751</v>
      </c>
      <c r="AB25" s="2">
        <f ca="1">MyLineNew($AA$24:$AL$29,HistoricalStock!$B$15:$O$20,Sheet1!$AA$5:$AL$12,1)</f>
        <v>0.73053383476012079</v>
      </c>
      <c r="AC25" s="2">
        <f ca="1">MyLineNew($AA$24:$AL$29,HistoricalStock!$B$15:$O$20,Sheet1!$AA$5:$AL$12,1)</f>
        <v>0.70517519928550199</v>
      </c>
      <c r="AD25" s="2">
        <f ca="1">MyLineNew($AA$24:$AL$29,HistoricalStock!$B$15:$O$20,Sheet1!$AA$5:$AL$12,1)</f>
        <v>0.54575831865929547</v>
      </c>
      <c r="AE25" s="2">
        <f ca="1">MyLineNew($AA$24:$AL$29,HistoricalStock!$B$15:$O$20,Sheet1!$AA$5:$AL$12,1)</f>
        <v>0.38860121490687166</v>
      </c>
      <c r="AF25" s="2">
        <f ca="1">MyLineNew($AA$24:$AL$29,HistoricalStock!$B$15:$O$20,Sheet1!$AA$5:$AL$12,1)</f>
        <v>0.2771792799353644</v>
      </c>
      <c r="AG25" s="2">
        <f ca="1">MyLineNew($AA$24:$AL$29,HistoricalStock!$B$15:$O$20,Sheet1!$AA$5:$AL$12,1)</f>
        <v>0.20634010571780589</v>
      </c>
      <c r="AH25" s="2">
        <f ca="1">MyLineNew($AA$24:$AL$29,HistoricalStock!$B$15:$O$20,Sheet1!$AA$5:$AL$12,1)</f>
        <v>0.30366110693439724</v>
      </c>
      <c r="AI25" s="2">
        <f ca="1">MyLineNew($AA$24:$AL$29,HistoricalStock!$B$15:$O$20,Sheet1!$AA$5:$AL$12,1)</f>
        <v>0.43061725925331279</v>
      </c>
      <c r="AJ25" s="2">
        <f ca="1">MyLineNew($AA$24:$AL$29,HistoricalStock!$B$15:$O$20,Sheet1!$AA$5:$AL$12,1)</f>
        <v>0.53826503675651294</v>
      </c>
      <c r="AK25" s="2">
        <f ca="1">MyLineNew($AA$24:$AL$29,HistoricalStock!$B$15:$O$20,Sheet1!$AA$5:$AL$12,1)</f>
        <v>0.63657236528262151</v>
      </c>
      <c r="AL25" s="2">
        <f ca="1">MyLineNew($AA$24:$AL$29,HistoricalStock!$B$15:$O$20,Sheet1!$AA$5:$AL$12,1)</f>
        <v>0.74543788074980533</v>
      </c>
    </row>
    <row r="26" spans="3:40" hidden="1" x14ac:dyDescent="0.35">
      <c r="C26" s="3"/>
      <c r="J26" s="33"/>
      <c r="K26" s="57"/>
      <c r="L26" s="57"/>
      <c r="M26" s="57"/>
      <c r="N26" s="33"/>
      <c r="AA26" s="2">
        <f ca="1">MyLineNew($AA$24:$AL$29,HistoricalStock!$B$15:$O$20,Sheet1!$AA$5:$AL$12,1)</f>
        <v>0.82360963555597411</v>
      </c>
      <c r="AB26" s="2">
        <f ca="1">MyLineNew($AA$24:$AL$29,HistoricalStock!$B$15:$O$20,Sheet1!$AA$5:$AL$12,1)</f>
        <v>0.84134239840093883</v>
      </c>
      <c r="AC26" s="2">
        <f ca="1">MyLineNew($AA$24:$AL$29,HistoricalStock!$B$15:$O$20,Sheet1!$AA$5:$AL$12,1)</f>
        <v>0.74225553737536942</v>
      </c>
      <c r="AD26" s="2">
        <f ca="1">MyLineNew($AA$24:$AL$29,HistoricalStock!$B$15:$O$20,Sheet1!$AA$5:$AL$12,1)</f>
        <v>0.58932515850012468</v>
      </c>
      <c r="AE26" s="2">
        <f ca="1">MyLineNew($AA$24:$AL$29,HistoricalStock!$B$15:$O$20,Sheet1!$AA$5:$AL$12,1)</f>
        <v>0.39419954207276287</v>
      </c>
      <c r="AF26" s="2">
        <f ca="1">MyLineNew($AA$24:$AL$29,HistoricalStock!$B$15:$O$20,Sheet1!$AA$5:$AL$12,1)</f>
        <v>0.20467185807389515</v>
      </c>
      <c r="AG26" s="2">
        <f ca="1">MyLineNew($AA$24:$AL$29,HistoricalStock!$B$15:$O$20,Sheet1!$AA$5:$AL$12,1)</f>
        <v>0.21574445170418341</v>
      </c>
      <c r="AH26" s="2">
        <f ca="1">MyLineNew($AA$24:$AL$29,HistoricalStock!$B$15:$O$20,Sheet1!$AA$5:$AL$12,1)</f>
        <v>0.32831918251224507</v>
      </c>
      <c r="AI26" s="2">
        <f ca="1">MyLineNew($AA$24:$AL$29,HistoricalStock!$B$15:$O$20,Sheet1!$AA$5:$AL$12,1)</f>
        <v>0.46562233677855192</v>
      </c>
      <c r="AJ26" s="2">
        <f ca="1">MyLineNew($AA$24:$AL$29,HistoricalStock!$B$15:$O$20,Sheet1!$AA$5:$AL$12,1)</f>
        <v>0.57971155917396933</v>
      </c>
      <c r="AK26" s="2">
        <f ca="1">MyLineNew($AA$24:$AL$29,HistoricalStock!$B$15:$O$20,Sheet1!$AA$5:$AL$12,1)</f>
        <v>0.67628385553222159</v>
      </c>
      <c r="AL26" s="2">
        <f ca="1">MyLineNew($AA$24:$AL$29,HistoricalStock!$B$15:$O$20,Sheet1!$AA$5:$AL$12,1)</f>
        <v>0.77270435910807056</v>
      </c>
    </row>
    <row r="27" spans="3:40" hidden="1" x14ac:dyDescent="0.35">
      <c r="C27" s="3"/>
      <c r="J27" s="33"/>
      <c r="K27" s="57"/>
      <c r="L27" s="57"/>
      <c r="M27" s="57"/>
      <c r="N27" s="33"/>
      <c r="AA27" s="2">
        <f ca="1">MyLineNew($AA$24:$AL$29,HistoricalStock!$B$15:$O$20,Sheet1!$AA$5:$AL$12,1)</f>
        <v>0.84154853927974504</v>
      </c>
      <c r="AB27" s="2">
        <f ca="1">MyLineNew($AA$24:$AL$29,HistoricalStock!$B$15:$O$20,Sheet1!$AA$5:$AL$12,1)</f>
        <v>0.8699873983874935</v>
      </c>
      <c r="AC27" s="2">
        <f ca="1">MyLineNew($AA$24:$AL$29,HistoricalStock!$B$15:$O$20,Sheet1!$AA$5:$AL$12,1)</f>
        <v>0.83018995935434603</v>
      </c>
      <c r="AD27" s="2">
        <f ca="1">MyLineNew($AA$24:$AL$29,HistoricalStock!$B$15:$O$20,Sheet1!$AA$5:$AL$12,1)</f>
        <v>0.68163861983667395</v>
      </c>
      <c r="AE27" s="2">
        <f ca="1">MyLineNew($AA$24:$AL$29,HistoricalStock!$B$15:$O$20,Sheet1!$AA$5:$AL$12,1)</f>
        <v>0.48183890539767826</v>
      </c>
      <c r="AF27" s="2">
        <f ca="1">MyLineNew($AA$24:$AL$29,HistoricalStock!$B$15:$O$20,Sheet1!$AA$5:$AL$12,1)</f>
        <v>0.24988231067041863</v>
      </c>
      <c r="AG27" s="2">
        <f ca="1">MyLineNew($AA$24:$AL$29,HistoricalStock!$B$15:$O$20,Sheet1!$AA$5:$AL$12,1)</f>
        <v>0.1098861197950593</v>
      </c>
      <c r="AH27" s="2">
        <f ca="1">MyLineNew($AA$24:$AL$29,HistoricalStock!$B$15:$O$20,Sheet1!$AA$5:$AL$12,1)</f>
        <v>0.13768697018004164</v>
      </c>
      <c r="AI27" s="2">
        <f ca="1">MyLineNew($AA$24:$AL$29,HistoricalStock!$B$15:$O$20,Sheet1!$AA$5:$AL$12,1)</f>
        <v>0.26778263860823109</v>
      </c>
      <c r="AJ27" s="2">
        <f ca="1">MyLineNew($AA$24:$AL$29,HistoricalStock!$B$15:$O$20,Sheet1!$AA$5:$AL$12,1)</f>
        <v>0.39966825833052738</v>
      </c>
      <c r="AK27" s="2">
        <f ca="1">MyLineNew($AA$24:$AL$29,HistoricalStock!$B$15:$O$20,Sheet1!$AA$5:$AL$12,1)</f>
        <v>0.52618035074077196</v>
      </c>
      <c r="AL27" s="2">
        <f ca="1">MyLineNew($AA$24:$AL$29,HistoricalStock!$B$15:$O$20,Sheet1!$AA$5:$AL$12,1)</f>
        <v>0.66545969614708411</v>
      </c>
    </row>
    <row r="28" spans="3:40" hidden="1" x14ac:dyDescent="0.35">
      <c r="C28" s="3"/>
      <c r="J28" s="33"/>
      <c r="K28" s="53"/>
      <c r="L28" s="53"/>
      <c r="M28" s="53"/>
      <c r="N28" s="33"/>
      <c r="AA28" s="2">
        <f ca="1">MyLineNew($AA$24:$AL$29,HistoricalStock!$B$15:$O$20,Sheet1!$AA$5:$AL$12,1)</f>
        <v>0.73437255357357134</v>
      </c>
      <c r="AB28" s="2">
        <f ca="1">MyLineNew($AA$24:$AL$29,HistoricalStock!$B$15:$O$20,Sheet1!$AA$5:$AL$12,1)</f>
        <v>0.79732289985552984</v>
      </c>
      <c r="AC28" s="2">
        <f ca="1">MyLineNew($AA$24:$AL$29,HistoricalStock!$B$15:$O$20,Sheet1!$AA$5:$AL$12,1)</f>
        <v>0.72317982680851789</v>
      </c>
      <c r="AD28" s="2">
        <f ca="1">MyLineNew($AA$24:$AL$29,HistoricalStock!$B$15:$O$20,Sheet1!$AA$5:$AL$12,1)</f>
        <v>0.63515299188833552</v>
      </c>
      <c r="AE28" s="2">
        <f ca="1">MyLineNew($AA$24:$AL$29,HistoricalStock!$B$15:$O$20,Sheet1!$AA$5:$AL$12,1)</f>
        <v>0.45748952764471312</v>
      </c>
      <c r="AF28" s="2">
        <f ca="1">MyLineNew($AA$24:$AL$29,HistoricalStock!$B$15:$O$20,Sheet1!$AA$5:$AL$12,1)</f>
        <v>0.31963823079348785</v>
      </c>
      <c r="AG28" s="2">
        <f ca="1">MyLineNew($AA$24:$AL$29,HistoricalStock!$B$15:$O$20,Sheet1!$AA$5:$AL$12,1)</f>
        <v>0.25249723434039112</v>
      </c>
      <c r="AH28" s="2">
        <f ca="1">MyLineNew($AA$24:$AL$29,HistoricalStock!$B$15:$O$20,Sheet1!$AA$5:$AL$12,1)</f>
        <v>0.35074356004116791</v>
      </c>
      <c r="AI28" s="2">
        <f ca="1">MyLineNew($AA$24:$AL$29,HistoricalStock!$B$15:$O$20,Sheet1!$AA$5:$AL$12,1)</f>
        <v>0.51674138364738553</v>
      </c>
      <c r="AJ28" s="2">
        <f ca="1">MyLineNew($AA$24:$AL$29,HistoricalStock!$B$15:$O$20,Sheet1!$AA$5:$AL$12,1)</f>
        <v>0.66701343760944687</v>
      </c>
      <c r="AK28" s="2">
        <f ca="1">MyLineNew($AA$24:$AL$29,HistoricalStock!$B$15:$O$20,Sheet1!$AA$5:$AL$12,1)</f>
        <v>0.79393864260031211</v>
      </c>
      <c r="AL28" s="2">
        <f ca="1">MyLineNew($AA$24:$AL$29,HistoricalStock!$B$15:$O$20,Sheet1!$AA$5:$AL$12,1)</f>
        <v>0.880205634748082</v>
      </c>
    </row>
    <row r="29" spans="3:40" hidden="1" x14ac:dyDescent="0.35">
      <c r="C29" s="3"/>
      <c r="J29" s="33"/>
      <c r="K29" s="53"/>
      <c r="L29" s="53"/>
      <c r="M29" s="53"/>
      <c r="N29" s="33"/>
      <c r="AA29" s="2">
        <f ca="1">MyLineNew($AA$24:$AL$29,HistoricalStock!$B$15:$O$20,Sheet1!$AA$5:$AL$12,1)</f>
        <v>0.93319775241995495</v>
      </c>
      <c r="AB29" s="2">
        <f ca="1">MyLineNew($AA$24:$AL$29,HistoricalStock!$B$15:$O$20,Sheet1!$AA$5:$AL$12,1)</f>
        <v>0.9471684750899616</v>
      </c>
      <c r="AC29" s="2">
        <f ca="1">MyLineNew($AA$24:$AL$29,HistoricalStock!$B$15:$O$20,Sheet1!$AA$5:$AL$12,1)</f>
        <v>0.87838246251614349</v>
      </c>
      <c r="AD29" s="2">
        <f ca="1">MyLineNew($AA$24:$AL$29,HistoricalStock!$B$15:$O$20,Sheet1!$AA$5:$AL$12,1)</f>
        <v>0.70429678025796938</v>
      </c>
      <c r="AE29" s="2">
        <f ca="1">MyLineNew($AA$24:$AL$29,HistoricalStock!$B$15:$O$20,Sheet1!$AA$5:$AL$12,1)</f>
        <v>0.44710949262750793</v>
      </c>
      <c r="AF29" s="2">
        <f ca="1">MyLineNew($AA$24:$AL$29,HistoricalStock!$B$15:$O$20,Sheet1!$AA$5:$AL$12,1)</f>
        <v>0.20952922251808509</v>
      </c>
      <c r="AG29" s="2">
        <f ca="1">MyLineNew($AA$24:$AL$29,HistoricalStock!$B$15:$O$20,Sheet1!$AA$5:$AL$12,1)</f>
        <v>9.6419445159057607E-2</v>
      </c>
      <c r="AH29" s="2">
        <f ca="1">MyLineNew($AA$24:$AL$29,HistoricalStock!$B$15:$O$20,Sheet1!$AA$5:$AL$12,1)</f>
        <v>0.1981965456871691</v>
      </c>
      <c r="AI29" s="2">
        <f ca="1">MyLineNew($AA$24:$AL$29,HistoricalStock!$B$15:$O$20,Sheet1!$AA$5:$AL$12,1)</f>
        <v>0.36743018254726689</v>
      </c>
      <c r="AJ29" s="2">
        <f ca="1">MyLineNew($AA$24:$AL$29,HistoricalStock!$B$15:$O$20,Sheet1!$AA$5:$AL$12,1)</f>
        <v>0</v>
      </c>
      <c r="AK29" s="2">
        <f ca="1">MyLineNew($AA$24:$AL$29,HistoricalStock!$B$15:$O$20,Sheet1!$AA$5:$AL$12,1)</f>
        <v>0</v>
      </c>
      <c r="AL29" s="2">
        <f ca="1">MyLineNew($AA$24:$AL$29,HistoricalStock!$B$15:$O$20,Sheet1!$AA$5:$AL$12,1)</f>
        <v>0</v>
      </c>
    </row>
    <row r="30" spans="3:40" x14ac:dyDescent="0.35">
      <c r="C30" s="3"/>
      <c r="J30" s="33"/>
      <c r="K30" s="53"/>
      <c r="L30" s="53"/>
      <c r="M30" s="53"/>
      <c r="N30" s="33"/>
    </row>
    <row r="31" spans="3:40" x14ac:dyDescent="0.35">
      <c r="C31" s="3"/>
      <c r="J31" s="33"/>
      <c r="K31" s="53"/>
      <c r="L31" s="53"/>
      <c r="M31" s="53"/>
      <c r="N31" s="33"/>
    </row>
    <row r="32" spans="3:40" x14ac:dyDescent="0.35">
      <c r="C32" s="3"/>
    </row>
    <row r="33" spans="3:39" x14ac:dyDescent="0.35">
      <c r="C33" s="38" t="s">
        <v>58</v>
      </c>
      <c r="E33" s="47" t="str">
        <f>MyWeekday($K$1-20)</f>
        <v>W</v>
      </c>
      <c r="F33" s="47" t="str">
        <f>MyWeekday($K$1-19)</f>
        <v>T</v>
      </c>
      <c r="G33" s="47" t="str">
        <f>MyWeekday($K$1-18)</f>
        <v>F</v>
      </c>
      <c r="H33" s="47" t="str">
        <f>MyWeekday($K$1-17)</f>
        <v>S</v>
      </c>
      <c r="I33" s="47" t="str">
        <f>MyWeekday($K$1-16)</f>
        <v>S</v>
      </c>
      <c r="J33" s="47" t="str">
        <f>MyWeekday($K$1-15)</f>
        <v>M</v>
      </c>
      <c r="K33" s="48" t="str">
        <f>MyWeekday($K$1-14)</f>
        <v>T</v>
      </c>
      <c r="L33" s="47" t="str">
        <f>MyWeekday($K$1-13)</f>
        <v>W</v>
      </c>
      <c r="M33" s="47" t="str">
        <f>MyWeekday($K$1-12)</f>
        <v>T</v>
      </c>
      <c r="N33" s="47" t="str">
        <f>MyWeekday($K$1-11)</f>
        <v>F</v>
      </c>
      <c r="O33" s="47" t="str">
        <f>MyWeekday($K$1-10)</f>
        <v>S</v>
      </c>
      <c r="P33" s="47" t="str">
        <f>MyWeekday($K$1-9)</f>
        <v>S</v>
      </c>
      <c r="Q33" s="47" t="str">
        <f>MyWeekday($K$1-8)</f>
        <v>M</v>
      </c>
      <c r="R33" s="48" t="str">
        <f>MyWeekday($K$1-7)</f>
        <v>T</v>
      </c>
      <c r="S33" s="47" t="str">
        <f>MyWeekday($K$1-6)</f>
        <v>W</v>
      </c>
      <c r="T33" s="47" t="str">
        <f>MyWeekday($K$1-5)</f>
        <v>T</v>
      </c>
      <c r="U33" s="47" t="str">
        <f>MyWeekday($K$1-4)</f>
        <v>F</v>
      </c>
      <c r="V33" s="47" t="str">
        <f>MyWeekday($K$1-3)</f>
        <v>S</v>
      </c>
      <c r="W33" s="47" t="str">
        <f>MyWeekday($K$1-2)</f>
        <v>S</v>
      </c>
      <c r="X33" s="47" t="str">
        <f>MyWeekday($K$1-1)</f>
        <v>M</v>
      </c>
      <c r="Y33" s="48" t="str">
        <f>MyWeekday($K$1)</f>
        <v>T</v>
      </c>
      <c r="Z33" s="47" t="str">
        <f>MyWeekday($K$1+1)</f>
        <v>W</v>
      </c>
      <c r="AA33" s="47" t="str">
        <f>MyWeekday($K$1+2)</f>
        <v>T</v>
      </c>
      <c r="AB33" s="47" t="str">
        <f>MyWeekday($K$1+3)</f>
        <v>F</v>
      </c>
      <c r="AC33" s="47" t="str">
        <f>MyWeekday($K$1+4)</f>
        <v>S</v>
      </c>
      <c r="AD33" s="47" t="str">
        <f>MyWeekday($K$1+5)</f>
        <v>S</v>
      </c>
      <c r="AE33" s="47" t="str">
        <f>MyWeekday($K$1+6)</f>
        <v>M</v>
      </c>
      <c r="AF33" s="48" t="str">
        <f>MyWeekday($K$1+7)</f>
        <v>T</v>
      </c>
      <c r="AG33" s="47" t="str">
        <f>MyWeekday($K$1+8)</f>
        <v>W</v>
      </c>
      <c r="AH33" s="47" t="str">
        <f>MyWeekday($K$1+9)</f>
        <v>T</v>
      </c>
      <c r="AI33" s="47" t="str">
        <f>MyWeekday($K$1+10)</f>
        <v>F</v>
      </c>
      <c r="AJ33" s="47" t="str">
        <f>MyWeekday($K$1+11)</f>
        <v>S</v>
      </c>
      <c r="AK33" s="47" t="str">
        <f>MyWeekday($K$1+12)</f>
        <v>S</v>
      </c>
      <c r="AL33" s="47" t="str">
        <f>MyWeekday($K$1+13)</f>
        <v>M</v>
      </c>
    </row>
    <row r="34" spans="3:39" x14ac:dyDescent="0.35">
      <c r="E34" s="47" t="str">
        <f>Myday($K$1-20)</f>
        <v>20</v>
      </c>
      <c r="F34" s="47" t="str">
        <f>Myday($K$1-19)</f>
        <v>21</v>
      </c>
      <c r="G34" s="47" t="str">
        <f>Myday($K$1-18)</f>
        <v>22</v>
      </c>
      <c r="H34" s="47" t="str">
        <f>Myday($K$1-17)</f>
        <v>23</v>
      </c>
      <c r="I34" s="47" t="str">
        <f>Myday($K$1-16)</f>
        <v>24</v>
      </c>
      <c r="J34" s="47" t="str">
        <f>Myday($K$1-15)</f>
        <v>25</v>
      </c>
      <c r="K34" s="48" t="str">
        <f>Myday($K$1-14)</f>
        <v>26</v>
      </c>
      <c r="L34" s="47" t="str">
        <f>Myday($K$1-13)</f>
        <v>27</v>
      </c>
      <c r="M34" s="47" t="str">
        <f>Myday($K$1-12)</f>
        <v>28</v>
      </c>
      <c r="N34" s="47" t="str">
        <f>Myday($K$1-11)</f>
        <v>29</v>
      </c>
      <c r="O34" s="47" t="str">
        <f>Myday($K$1-10)</f>
        <v>30</v>
      </c>
      <c r="P34" s="47" t="str">
        <f>Myday($K$1-9)</f>
        <v>31</v>
      </c>
      <c r="Q34" s="47" t="str">
        <f>Myday($K$1-8)</f>
        <v>01</v>
      </c>
      <c r="R34" s="48" t="str">
        <f>Myday($K$1-7)</f>
        <v>02</v>
      </c>
      <c r="S34" s="47" t="str">
        <f>Myday($K$1-6)</f>
        <v>03</v>
      </c>
      <c r="T34" s="47" t="str">
        <f>Myday($K$1-5)</f>
        <v>04</v>
      </c>
      <c r="U34" s="47" t="str">
        <f>Myday($K$1-4)</f>
        <v>05</v>
      </c>
      <c r="V34" s="47" t="str">
        <f>Myday($K$1-3)</f>
        <v>06</v>
      </c>
      <c r="W34" s="47" t="str">
        <f>Myday($K$1-2)</f>
        <v>07</v>
      </c>
      <c r="X34" s="47" t="str">
        <f>Myday($K$1-1)</f>
        <v>08</v>
      </c>
      <c r="Y34" s="48" t="str">
        <f>Myday($K$1)</f>
        <v>09</v>
      </c>
      <c r="Z34" s="47" t="str">
        <f>Myday($K$1+1)</f>
        <v>10</v>
      </c>
      <c r="AA34" s="47" t="str">
        <f>Myday($K$1+2)</f>
        <v>11</v>
      </c>
      <c r="AB34" s="47" t="str">
        <f>Myday($K$1+3)</f>
        <v>12</v>
      </c>
      <c r="AC34" s="47" t="str">
        <f>Myday($K$1+4)</f>
        <v>13</v>
      </c>
      <c r="AD34" s="47" t="str">
        <f>Myday($K$1+5)</f>
        <v>14</v>
      </c>
      <c r="AE34" s="47" t="str">
        <f>Myday($K$1+6)</f>
        <v>15</v>
      </c>
      <c r="AF34" s="48" t="str">
        <f>Myday($K$1+7)</f>
        <v>16</v>
      </c>
      <c r="AG34" s="47" t="str">
        <f>Myday($K$1+8)</f>
        <v>17</v>
      </c>
      <c r="AH34" s="47" t="str">
        <f>Myday($K$1+9)</f>
        <v>18</v>
      </c>
      <c r="AI34" s="47" t="str">
        <f>Myday($K$1+10)</f>
        <v>19</v>
      </c>
      <c r="AJ34" s="47" t="str">
        <f>Myday($K$1+11)</f>
        <v>20</v>
      </c>
      <c r="AK34" s="47" t="str">
        <f>Myday($K$1+12)</f>
        <v>21</v>
      </c>
      <c r="AL34" s="134" t="str">
        <f>Myday($K$1+13)</f>
        <v>22</v>
      </c>
      <c r="AM34" s="183">
        <f>AL59</f>
        <v>2000</v>
      </c>
    </row>
    <row r="35" spans="3:39" x14ac:dyDescent="0.35"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184"/>
    </row>
    <row r="36" spans="3:39" x14ac:dyDescent="0.35">
      <c r="C36" s="2" t="s">
        <v>8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46"/>
    </row>
    <row r="37" spans="3:39" x14ac:dyDescent="0.35">
      <c r="C37" s="2" t="s">
        <v>207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46"/>
    </row>
    <row r="38" spans="3:39" x14ac:dyDescent="0.35"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46"/>
    </row>
    <row r="39" spans="3:39" x14ac:dyDescent="0.35"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46"/>
    </row>
    <row r="40" spans="3:39" x14ac:dyDescent="0.35"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46"/>
    </row>
    <row r="41" spans="3:39" x14ac:dyDescent="0.35"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46"/>
    </row>
    <row r="42" spans="3:39" x14ac:dyDescent="0.35"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30"/>
    </row>
    <row r="43" spans="3:39" x14ac:dyDescent="0.35">
      <c r="E43" s="6" t="s">
        <v>56</v>
      </c>
      <c r="F43" s="6" t="s">
        <v>42</v>
      </c>
      <c r="G43" s="6" t="s">
        <v>41</v>
      </c>
      <c r="H43" s="6" t="s">
        <v>40</v>
      </c>
      <c r="I43" s="6" t="s">
        <v>39</v>
      </c>
      <c r="J43" s="6" t="s">
        <v>38</v>
      </c>
      <c r="K43" s="49" t="s">
        <v>37</v>
      </c>
      <c r="L43" s="6" t="s">
        <v>36</v>
      </c>
      <c r="M43" s="6" t="s">
        <v>35</v>
      </c>
      <c r="N43" s="6" t="s">
        <v>34</v>
      </c>
      <c r="O43" s="6" t="s">
        <v>33</v>
      </c>
      <c r="P43" s="6" t="s">
        <v>32</v>
      </c>
      <c r="Q43" s="6" t="s">
        <v>31</v>
      </c>
      <c r="R43" s="49" t="s">
        <v>30</v>
      </c>
      <c r="S43" s="6" t="s">
        <v>29</v>
      </c>
      <c r="T43" s="6" t="s">
        <v>28</v>
      </c>
      <c r="U43" s="6" t="s">
        <v>27</v>
      </c>
      <c r="V43" s="6" t="s">
        <v>26</v>
      </c>
      <c r="W43" s="6" t="s">
        <v>25</v>
      </c>
      <c r="X43" s="6" t="s">
        <v>24</v>
      </c>
      <c r="Y43" s="49" t="s">
        <v>23</v>
      </c>
      <c r="Z43" s="6" t="s">
        <v>43</v>
      </c>
      <c r="AA43" s="6" t="s">
        <v>44</v>
      </c>
      <c r="AB43" s="6" t="s">
        <v>45</v>
      </c>
      <c r="AC43" s="6" t="s">
        <v>46</v>
      </c>
      <c r="AD43" s="6" t="s">
        <v>47</v>
      </c>
      <c r="AE43" s="6" t="s">
        <v>48</v>
      </c>
      <c r="AF43" s="49" t="s">
        <v>49</v>
      </c>
      <c r="AG43" s="6" t="s">
        <v>50</v>
      </c>
      <c r="AH43" s="6" t="s">
        <v>51</v>
      </c>
      <c r="AI43" s="6" t="s">
        <v>52</v>
      </c>
      <c r="AJ43" s="6" t="s">
        <v>53</v>
      </c>
      <c r="AK43" s="6" t="s">
        <v>54</v>
      </c>
      <c r="AL43" s="6" t="s">
        <v>55</v>
      </c>
      <c r="AM43" s="6"/>
    </row>
    <row r="44" spans="3:39" x14ac:dyDescent="0.35">
      <c r="C44" s="3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37"/>
      <c r="AD44" s="37"/>
      <c r="AE44" s="37"/>
      <c r="AF44" s="37"/>
      <c r="AG44" s="37"/>
      <c r="AH44" s="37"/>
      <c r="AI44" s="37"/>
      <c r="AJ44" s="37"/>
      <c r="AK44" s="37"/>
      <c r="AL44" s="37"/>
      <c r="AM44" s="37"/>
    </row>
    <row r="45" spans="3:39" hidden="1" x14ac:dyDescent="0.35">
      <c r="C45" s="2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  <c r="AI45" s="140"/>
      <c r="AJ45" s="140"/>
      <c r="AK45" s="140"/>
      <c r="AL45" s="140"/>
    </row>
    <row r="46" spans="3:39" hidden="1" x14ac:dyDescent="0.35">
      <c r="C46" s="2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</row>
    <row r="47" spans="3:39" hidden="1" x14ac:dyDescent="0.35">
      <c r="C47" s="2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140"/>
      <c r="AI47" s="140"/>
      <c r="AJ47" s="140"/>
      <c r="AK47" s="140"/>
      <c r="AL47" s="140"/>
    </row>
    <row r="48" spans="3:39" hidden="1" x14ac:dyDescent="0.35">
      <c r="C48" s="2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140"/>
      <c r="AA48" s="140"/>
      <c r="AB48" s="140"/>
      <c r="AC48" s="140"/>
      <c r="AD48" s="140"/>
      <c r="AE48" s="140"/>
      <c r="AF48" s="140"/>
      <c r="AG48" s="140"/>
      <c r="AH48" s="140"/>
      <c r="AI48" s="140"/>
      <c r="AJ48" s="140"/>
      <c r="AK48" s="140"/>
      <c r="AL48" s="140"/>
    </row>
    <row r="49" spans="3:46" hidden="1" x14ac:dyDescent="0.35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3:46" x14ac:dyDescent="0.35">
      <c r="C50" s="3" t="s">
        <v>16</v>
      </c>
      <c r="D50" s="3" t="s">
        <v>80</v>
      </c>
      <c r="E50" s="44">
        <f>Prereport!E1</f>
        <v>1362.8222580000001</v>
      </c>
      <c r="F50" s="44">
        <f>Prereport!F1</f>
        <v>1345.8098153999999</v>
      </c>
      <c r="G50" s="44">
        <f>Prereport!G1</f>
        <v>1295.8177740000001</v>
      </c>
      <c r="H50" s="44">
        <f>Prereport!H1</f>
        <v>1026.1767405000001</v>
      </c>
      <c r="I50" s="44">
        <f>Prereport!I1</f>
        <v>962.57138180000015</v>
      </c>
      <c r="J50" s="44">
        <f>Prereport!J1</f>
        <v>1257.9609465999999</v>
      </c>
      <c r="K50" s="44">
        <f>Prereport!K1</f>
        <v>1338.3541673</v>
      </c>
      <c r="L50" s="44">
        <f>Prereport!L1</f>
        <v>1284.7843740999999</v>
      </c>
      <c r="M50" s="44">
        <f>Prereport!M1</f>
        <v>0</v>
      </c>
      <c r="N50" s="44">
        <f>Prereport!N1</f>
        <v>0</v>
      </c>
      <c r="O50" s="44">
        <f>Prereport!O1</f>
        <v>0</v>
      </c>
      <c r="P50" s="44">
        <f>Prereport!P1</f>
        <v>0</v>
      </c>
      <c r="Q50" s="44">
        <f>Prereport!Q1</f>
        <v>1045.8684180999999</v>
      </c>
      <c r="R50" s="44">
        <f>Prereport!R1</f>
        <v>940.23671109999998</v>
      </c>
      <c r="S50" s="44">
        <f>Prereport!S1</f>
        <v>1261.0926727000001</v>
      </c>
      <c r="T50" s="44">
        <f>Prereport!T1</f>
        <v>1346.1343792</v>
      </c>
      <c r="U50" s="44">
        <f>Prereport!U1</f>
        <v>1379.1141997</v>
      </c>
      <c r="V50" s="44">
        <f>Prereport!V1</f>
        <v>1051.22217</v>
      </c>
      <c r="W50" s="44">
        <f>Prereport!W1</f>
        <v>901.6904902</v>
      </c>
      <c r="X50" s="44">
        <f>Prereport!X1</f>
        <v>1258.0374254999999</v>
      </c>
      <c r="Y50" s="44">
        <f>Prereport!Y1</f>
        <v>1288.5490192745879</v>
      </c>
      <c r="Z50" s="44">
        <f>Prereport!Z1</f>
        <v>1322.395097765431</v>
      </c>
      <c r="AA50" s="44">
        <f>Prereport!AA1</f>
        <v>1344.1845707425396</v>
      </c>
      <c r="AB50" s="44">
        <f>Prereport!AB1</f>
        <v>1320.9048587417219</v>
      </c>
      <c r="AC50" s="45">
        <f>Prereport!AC1</f>
        <v>1081.1413344517894</v>
      </c>
      <c r="AD50" s="45">
        <f>Prereport!AD1</f>
        <v>1012.602412589956</v>
      </c>
      <c r="AE50" s="45">
        <f>Prereport!AE1</f>
        <v>1339.4989588873959</v>
      </c>
      <c r="AF50" s="45">
        <f>Prereport!AF1</f>
        <v>1360.6095275460937</v>
      </c>
      <c r="AG50" s="45">
        <f>Prereport!AG1</f>
        <v>1375.1236143425861</v>
      </c>
      <c r="AH50" s="45">
        <f>Prereport!AH1</f>
        <v>1385.2867969730019</v>
      </c>
      <c r="AI50" s="45">
        <f>Prereport!AI1</f>
        <v>1362.8627414629614</v>
      </c>
      <c r="AJ50" s="45">
        <f>Prereport!AJ1</f>
        <v>1111.9516428792926</v>
      </c>
      <c r="AK50" s="45">
        <f>Prereport!AK1</f>
        <v>1038.5535970377921</v>
      </c>
      <c r="AL50" s="45">
        <f>Prereport!AL1</f>
        <v>1381.3952164552934</v>
      </c>
    </row>
    <row r="51" spans="3:46" x14ac:dyDescent="0.35">
      <c r="C51" s="9" t="s">
        <v>87</v>
      </c>
      <c r="D51" s="9" t="s">
        <v>80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49">
        <f>W50-Prereport!$W$3</f>
        <v>-73.59531153455157</v>
      </c>
      <c r="X51" s="149">
        <f>X50-Prereport!X3</f>
        <v>-37.818700626243071</v>
      </c>
      <c r="Y51" s="135">
        <f>Y50-Prereport!Y3</f>
        <v>-45.172900123641966</v>
      </c>
      <c r="Z51" s="135">
        <f>Z50-Prereport!Z3</f>
        <v>-38.912718986947993</v>
      </c>
      <c r="AA51" s="135">
        <f>AA50-Prereport!AA3</f>
        <v>-34.927541230609677</v>
      </c>
      <c r="AB51" s="135">
        <f>AB50-Prereport!AB3</f>
        <v>-39.01632575858639</v>
      </c>
      <c r="AC51" s="135">
        <f>AC50-Prereport!AC3</f>
        <v>-35.777267019507008</v>
      </c>
      <c r="AD51" s="135">
        <f>AD50-Prereport!AD3</f>
        <v>-32.992599817285509</v>
      </c>
      <c r="AE51" s="135">
        <f>AE50-Prereport!AE3</f>
        <v>-37.363070715507774</v>
      </c>
      <c r="AF51" s="135">
        <f>AF50-Prereport!AF3</f>
        <v>-34.910454438217357</v>
      </c>
      <c r="AG51" s="135">
        <f>AG50-Prereport!AG3</f>
        <v>-33.235534719131238</v>
      </c>
      <c r="AH51" s="135">
        <f>AH50-Prereport!AH3</f>
        <v>-32.679376302293349</v>
      </c>
      <c r="AI51" s="135">
        <f>AI50-Prereport!AI3</f>
        <v>-29.937004374856542</v>
      </c>
      <c r="AJ51" s="135">
        <f>AJ50-Prereport!AJ3</f>
        <v>-29.316371915747823</v>
      </c>
      <c r="AK51" s="135">
        <f>AK50-Prereport!AK3</f>
        <v>-28.591655879548625</v>
      </c>
      <c r="AL51" s="10"/>
    </row>
    <row r="52" spans="3:46" x14ac:dyDescent="0.35">
      <c r="C52" s="28" t="s">
        <v>196</v>
      </c>
      <c r="D52" s="11" t="s">
        <v>80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36">
        <f>Y50-$X$50</f>
        <v>30.511593774587936</v>
      </c>
      <c r="Z52" s="136">
        <f t="shared" ref="Z52:AL52" si="2">Z50-$X$50</f>
        <v>64.35767226543112</v>
      </c>
      <c r="AA52" s="136">
        <f t="shared" si="2"/>
        <v>86.147145242539636</v>
      </c>
      <c r="AB52" s="136">
        <f t="shared" si="2"/>
        <v>62.867433241721983</v>
      </c>
      <c r="AC52" s="136">
        <f t="shared" si="2"/>
        <v>-176.89609104821056</v>
      </c>
      <c r="AD52" s="136">
        <f t="shared" si="2"/>
        <v>-245.43501291004395</v>
      </c>
      <c r="AE52" s="136">
        <f t="shared" si="2"/>
        <v>81.461533387396003</v>
      </c>
      <c r="AF52" s="136">
        <f t="shared" si="2"/>
        <v>102.57210204609373</v>
      </c>
      <c r="AG52" s="136">
        <f t="shared" si="2"/>
        <v>117.08618884258613</v>
      </c>
      <c r="AH52" s="136">
        <f t="shared" si="2"/>
        <v>127.24937147300193</v>
      </c>
      <c r="AI52" s="136">
        <f t="shared" si="2"/>
        <v>104.82531596296144</v>
      </c>
      <c r="AJ52" s="136">
        <f t="shared" si="2"/>
        <v>-146.08578262070728</v>
      </c>
      <c r="AK52" s="136">
        <f t="shared" si="2"/>
        <v>-219.48382846220784</v>
      </c>
      <c r="AL52" s="136">
        <f t="shared" si="2"/>
        <v>123.35779095529347</v>
      </c>
    </row>
    <row r="53" spans="3:46" x14ac:dyDescent="0.35">
      <c r="C53" s="9" t="s">
        <v>197</v>
      </c>
      <c r="D53" s="28" t="s">
        <v>80</v>
      </c>
      <c r="E53" s="29"/>
      <c r="F53" s="29"/>
      <c r="G53" s="29"/>
      <c r="H53" s="29"/>
      <c r="I53" s="29"/>
      <c r="J53" s="29"/>
      <c r="K53" s="137"/>
      <c r="L53" s="137">
        <f t="shared" ref="L53:X53" si="3">L50-E50</f>
        <v>-78.037883900000224</v>
      </c>
      <c r="M53" s="137">
        <f t="shared" si="3"/>
        <v>-1345.8098153999999</v>
      </c>
      <c r="N53" s="137">
        <f t="shared" si="3"/>
        <v>-1295.8177740000001</v>
      </c>
      <c r="O53" s="137">
        <f t="shared" si="3"/>
        <v>-1026.1767405000001</v>
      </c>
      <c r="P53" s="137">
        <f t="shared" si="3"/>
        <v>-962.57138180000015</v>
      </c>
      <c r="Q53" s="137">
        <f t="shared" si="3"/>
        <v>-212.09252850000007</v>
      </c>
      <c r="R53" s="137">
        <f t="shared" si="3"/>
        <v>-398.11745619999999</v>
      </c>
      <c r="S53" s="137">
        <f t="shared" si="3"/>
        <v>-23.691701399999829</v>
      </c>
      <c r="T53" s="137">
        <f t="shared" si="3"/>
        <v>1346.1343792</v>
      </c>
      <c r="U53" s="137">
        <f t="shared" si="3"/>
        <v>1379.1141997</v>
      </c>
      <c r="V53" s="137">
        <f t="shared" si="3"/>
        <v>1051.22217</v>
      </c>
      <c r="W53" s="137">
        <f t="shared" si="3"/>
        <v>901.6904902</v>
      </c>
      <c r="X53" s="137">
        <f t="shared" si="3"/>
        <v>212.16900740000005</v>
      </c>
      <c r="Y53" s="137">
        <f>Y50-R50</f>
        <v>348.31230817458788</v>
      </c>
      <c r="Z53" s="137">
        <f t="shared" ref="Z53:AL53" si="4">Z50-S50</f>
        <v>61.302425065430953</v>
      </c>
      <c r="AA53" s="137">
        <f t="shared" si="4"/>
        <v>-1.9498084574604491</v>
      </c>
      <c r="AB53" s="137">
        <f t="shared" si="4"/>
        <v>-58.209340958278062</v>
      </c>
      <c r="AC53" s="137">
        <f t="shared" si="4"/>
        <v>29.919164451789356</v>
      </c>
      <c r="AD53" s="137">
        <f t="shared" si="4"/>
        <v>110.91192238995598</v>
      </c>
      <c r="AE53" s="137">
        <f t="shared" si="4"/>
        <v>81.461533387396003</v>
      </c>
      <c r="AF53" s="137">
        <f t="shared" si="4"/>
        <v>72.060508271505796</v>
      </c>
      <c r="AG53" s="137">
        <f t="shared" si="4"/>
        <v>52.728516577155006</v>
      </c>
      <c r="AH53" s="137">
        <f t="shared" si="4"/>
        <v>41.102226230462293</v>
      </c>
      <c r="AI53" s="137">
        <f t="shared" si="4"/>
        <v>41.957882721239457</v>
      </c>
      <c r="AJ53" s="137">
        <f t="shared" si="4"/>
        <v>30.810308427503287</v>
      </c>
      <c r="AK53" s="137">
        <f t="shared" si="4"/>
        <v>25.951184447836113</v>
      </c>
      <c r="AL53" s="137">
        <f t="shared" si="4"/>
        <v>41.896257567897464</v>
      </c>
    </row>
    <row r="54" spans="3:46" x14ac:dyDescent="0.35">
      <c r="C54" s="11" t="s">
        <v>198</v>
      </c>
      <c r="D54" s="11" t="s">
        <v>80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36"/>
      <c r="Q54" s="136"/>
      <c r="R54" s="136"/>
      <c r="S54" s="136">
        <f t="shared" ref="S54:X54" si="5">S50-E50</f>
        <v>-101.72958530000005</v>
      </c>
      <c r="T54" s="136">
        <f t="shared" si="5"/>
        <v>0.32456380000007812</v>
      </c>
      <c r="U54" s="136">
        <f t="shared" si="5"/>
        <v>83.296425699999872</v>
      </c>
      <c r="V54" s="136">
        <f t="shared" si="5"/>
        <v>25.045429499999955</v>
      </c>
      <c r="W54" s="136">
        <f t="shared" si="5"/>
        <v>-60.880891600000155</v>
      </c>
      <c r="X54" s="136">
        <f t="shared" si="5"/>
        <v>7.6478899999983696E-2</v>
      </c>
      <c r="Y54" s="136">
        <f>Y50-K50</f>
        <v>-49.805148025412109</v>
      </c>
      <c r="Z54" s="136">
        <f t="shared" ref="Z54:AL54" si="6">Z50-L50</f>
        <v>37.610723665431124</v>
      </c>
      <c r="AA54" s="136">
        <f t="shared" si="6"/>
        <v>1344.1845707425396</v>
      </c>
      <c r="AB54" s="136">
        <f t="shared" si="6"/>
        <v>1320.9048587417219</v>
      </c>
      <c r="AC54" s="136">
        <f t="shared" si="6"/>
        <v>1081.1413344517894</v>
      </c>
      <c r="AD54" s="136">
        <f t="shared" si="6"/>
        <v>1012.602412589956</v>
      </c>
      <c r="AE54" s="136">
        <f t="shared" si="6"/>
        <v>293.63054078739606</v>
      </c>
      <c r="AF54" s="136">
        <f t="shared" si="6"/>
        <v>420.37281644609368</v>
      </c>
      <c r="AG54" s="136">
        <f t="shared" si="6"/>
        <v>114.03094164258596</v>
      </c>
      <c r="AH54" s="136">
        <f t="shared" si="6"/>
        <v>39.152417773001844</v>
      </c>
      <c r="AI54" s="136">
        <f t="shared" si="6"/>
        <v>-16.251458237038605</v>
      </c>
      <c r="AJ54" s="136">
        <f t="shared" si="6"/>
        <v>60.729472879292643</v>
      </c>
      <c r="AK54" s="136">
        <f t="shared" si="6"/>
        <v>136.86310683779209</v>
      </c>
      <c r="AL54" s="136">
        <f t="shared" si="6"/>
        <v>123.35779095529347</v>
      </c>
    </row>
    <row r="55" spans="3:46" hidden="1" x14ac:dyDescent="0.35">
      <c r="C55" s="9"/>
      <c r="D55" s="54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</row>
    <row r="56" spans="3:46" hidden="1" x14ac:dyDescent="0.35">
      <c r="C56" s="28"/>
      <c r="D56" s="54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</row>
    <row r="57" spans="3:46" hidden="1" x14ac:dyDescent="0.35">
      <c r="C57" s="28"/>
      <c r="D57" s="54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</row>
    <row r="58" spans="3:46" hidden="1" x14ac:dyDescent="0.35">
      <c r="C58" s="28"/>
      <c r="D58" s="15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</row>
    <row r="59" spans="3:46" hidden="1" x14ac:dyDescent="0.35">
      <c r="C59" s="36" t="s">
        <v>1</v>
      </c>
      <c r="D59" s="15" t="s">
        <v>4</v>
      </c>
      <c r="E59" s="45">
        <f>Prereport!E2</f>
        <v>2000</v>
      </c>
      <c r="F59" s="45">
        <f>Prereport!F2</f>
        <v>2000</v>
      </c>
      <c r="G59" s="45">
        <f>Prereport!G2</f>
        <v>2000</v>
      </c>
      <c r="H59" s="45">
        <f>Prereport!H2</f>
        <v>2000</v>
      </c>
      <c r="I59" s="45">
        <f>Prereport!I2</f>
        <v>2000</v>
      </c>
      <c r="J59" s="45">
        <f>Prereport!J2</f>
        <v>2000</v>
      </c>
      <c r="K59" s="45">
        <f>Prereport!K2</f>
        <v>2000</v>
      </c>
      <c r="L59" s="45">
        <f>Prereport!L2</f>
        <v>2000</v>
      </c>
      <c r="M59" s="45">
        <f>Prereport!M2</f>
        <v>2000</v>
      </c>
      <c r="N59" s="45">
        <f>Prereport!N2</f>
        <v>2000</v>
      </c>
      <c r="O59" s="45">
        <f>Prereport!O2</f>
        <v>2000</v>
      </c>
      <c r="P59" s="45">
        <f>Prereport!P2</f>
        <v>2000</v>
      </c>
      <c r="Q59" s="45">
        <f>Prereport!Q2</f>
        <v>2000</v>
      </c>
      <c r="R59" s="45">
        <f>Prereport!R2</f>
        <v>2000</v>
      </c>
      <c r="S59" s="45">
        <f>Prereport!S2</f>
        <v>2000</v>
      </c>
      <c r="T59" s="45">
        <f>Prereport!T2</f>
        <v>2000</v>
      </c>
      <c r="U59" s="45">
        <f>Prereport!U2</f>
        <v>2000</v>
      </c>
      <c r="V59" s="45">
        <f>Prereport!V2</f>
        <v>2000</v>
      </c>
      <c r="W59" s="45">
        <f>Prereport!W2</f>
        <v>2000</v>
      </c>
      <c r="X59" s="45">
        <f>Prereport!X2</f>
        <v>2000</v>
      </c>
      <c r="Y59" s="45">
        <f>Prereport!Y2</f>
        <v>2000</v>
      </c>
      <c r="Z59" s="45">
        <f>Prereport!Z2</f>
        <v>2000</v>
      </c>
      <c r="AA59" s="45">
        <f>Prereport!AA2</f>
        <v>2000</v>
      </c>
      <c r="AB59" s="45">
        <f>Prereport!AB2</f>
        <v>2000</v>
      </c>
      <c r="AC59" s="45">
        <f>Prereport!AC2</f>
        <v>2000</v>
      </c>
      <c r="AD59" s="45">
        <f>Prereport!AD2</f>
        <v>2000</v>
      </c>
      <c r="AE59" s="45">
        <f>Prereport!AE2</f>
        <v>2000</v>
      </c>
      <c r="AF59" s="45">
        <f>Prereport!AF2</f>
        <v>2000</v>
      </c>
      <c r="AG59" s="45">
        <f>Prereport!AG2</f>
        <v>2000</v>
      </c>
      <c r="AH59" s="45">
        <f>Prereport!AH2</f>
        <v>2000</v>
      </c>
      <c r="AI59" s="45">
        <f>Prereport!AI2</f>
        <v>2000</v>
      </c>
      <c r="AJ59" s="45">
        <f>Prereport!AJ2</f>
        <v>2000</v>
      </c>
      <c r="AK59" s="45">
        <f>Prereport!AK2</f>
        <v>2000</v>
      </c>
      <c r="AL59" s="45">
        <f>Prereport!AL2</f>
        <v>2000</v>
      </c>
      <c r="AM59" s="45"/>
    </row>
    <row r="60" spans="3:46" hidden="1" x14ac:dyDescent="0.35">
      <c r="C60" s="31" t="s">
        <v>2</v>
      </c>
      <c r="D60" s="3" t="s">
        <v>3</v>
      </c>
      <c r="E60" s="17">
        <f>MyBar("CO_1",E35:E42,E63,E59)</f>
        <v>0.68141112900000012</v>
      </c>
      <c r="F60" s="17">
        <f>MyBar("CO_2",F35:F42,F63,F59)</f>
        <v>0.6729049077</v>
      </c>
      <c r="G60" s="17">
        <f>MyBar("CO_3",G35:G42,G63,G59)</f>
        <v>0.64790888700000004</v>
      </c>
      <c r="H60" s="17">
        <f>MyBar("CO_4",H35:H42,H63,H59)</f>
        <v>0.51308837024999998</v>
      </c>
      <c r="I60" s="17">
        <f>MyBar("CO_5",I35:I42,I63,I59)</f>
        <v>0.48128569090000006</v>
      </c>
      <c r="J60" s="17">
        <f>MyBar("CO_6",J35:J42,J63,J59)</f>
        <v>0.62898047329999995</v>
      </c>
      <c r="K60" s="17">
        <f>MyBar("CO_7",K35:K42,K63,K59)</f>
        <v>0.66917708364999995</v>
      </c>
      <c r="L60" s="17">
        <f>MyBar("CO_8",L35:L42,L63,L59)</f>
        <v>0.64239218705000001</v>
      </c>
      <c r="M60" s="17">
        <f>MyBar("CO_9",M35:M42,M63,M59)</f>
        <v>0</v>
      </c>
      <c r="N60" s="17">
        <f>MyBar("CO_10",N35:N42,N63,N59)</f>
        <v>0</v>
      </c>
      <c r="O60" s="17">
        <f>MyBar("CO_11",O35:O42,O63,O59)</f>
        <v>0</v>
      </c>
      <c r="P60" s="17">
        <f>MyBar("CO_12",P35:P42,P63,P59)</f>
        <v>0</v>
      </c>
      <c r="Q60" s="17">
        <f>MyBar("CO_13",Q35:Q42,Q63,Q59)</f>
        <v>0.52293420904999999</v>
      </c>
      <c r="R60" s="17">
        <f>MyBar("CO_14",R35:R42,R63,R59)</f>
        <v>0.47011835554999998</v>
      </c>
      <c r="S60" s="17">
        <f>MyBar("CO_15",S35:S42,S63,S59)</f>
        <v>0.63054633635000001</v>
      </c>
      <c r="T60" s="17">
        <f>MyBar("CO_16",T35:T42,T63,T59)</f>
        <v>0.6730671896</v>
      </c>
      <c r="U60" s="17">
        <f>MyBar("CO_17",U35:U42,U63,U59)</f>
        <v>0.68955709985000002</v>
      </c>
      <c r="V60" s="17">
        <f>MyBar("CO_18",V35:V42,V63,V59)</f>
        <v>0.52561108499999998</v>
      </c>
      <c r="W60" s="17">
        <f>MyBar("CO_19",W35:W42,W63,W59)</f>
        <v>0.45084524510000001</v>
      </c>
      <c r="X60" s="17">
        <f>MyBar("CO_20",X35:X42,X63,X59)</f>
        <v>0.62901871274999999</v>
      </c>
      <c r="Y60" s="17">
        <f>MyBar("CO_21",Y35:Y42,Y63,Y59)</f>
        <v>0.64427450963729394</v>
      </c>
      <c r="Z60" s="17">
        <f>MyBar("CO_22",Z35:Z42,Z63,Z59)</f>
        <v>0.66119754888271554</v>
      </c>
      <c r="AA60" s="17">
        <f>MyBar("CO_23",AA35:AA42,AA63,AA59)</f>
        <v>0.67209228537126975</v>
      </c>
      <c r="AB60" s="17">
        <f>MyBar("CO_24",AB35:AB42,AB63,AB59)</f>
        <v>0.66045242937086091</v>
      </c>
      <c r="AC60" s="39">
        <f>MyBar("CO_25",AC35:AC42,AC63,AC59)</f>
        <v>0.54057066722589464</v>
      </c>
      <c r="AD60" s="39">
        <f>MyBar("CO_26",AD35:AD42,AD63,AD59)</f>
        <v>0.50630120629497799</v>
      </c>
      <c r="AE60" s="39">
        <f>MyBar("CO_27",AE35:AE42,AE63,AE59)</f>
        <v>0.669749479443698</v>
      </c>
      <c r="AF60" s="39">
        <f>MyBar("CO_28",AF35:AF42,AF63,AF59)</f>
        <v>0.68030476377304683</v>
      </c>
      <c r="AG60" s="39">
        <f>MyBar("CO_29",AG35:AG42,AG63,AG59)</f>
        <v>0.687561807171293</v>
      </c>
      <c r="AH60" s="39">
        <f>MyBar("CO_30",AH35:AH42,AH63,AH59)</f>
        <v>0.69264339848650092</v>
      </c>
      <c r="AI60" s="39">
        <f>MyBar("CO_31",AI35:AI42,AI63,AI59)</f>
        <v>0.68143137073148063</v>
      </c>
      <c r="AJ60" s="39">
        <f>MyBar("CO_32",AJ35:AJ42,AJ63,AJ59)</f>
        <v>0.5559758214396463</v>
      </c>
      <c r="AK60" s="39">
        <f>MyBar("CO_33",AK35:AK42,AK63,AK59)</f>
        <v>0.51927679851889608</v>
      </c>
      <c r="AL60" s="39">
        <f>MyBar("CO_34",AL35:AL42,AL63,AL59)</f>
        <v>0.6906976082276467</v>
      </c>
      <c r="AM60" s="39"/>
    </row>
    <row r="61" spans="3:46" hidden="1" x14ac:dyDescent="0.35">
      <c r="C61" s="34"/>
    </row>
    <row r="62" spans="3:46" hidden="1" x14ac:dyDescent="0.35">
      <c r="C62" s="31" t="s">
        <v>208</v>
      </c>
      <c r="E62" s="8">
        <f>MyLine(1,E$35:E$42,E63,E$59,F63,F$59)</f>
        <v>0.68141112900000012</v>
      </c>
      <c r="F62" s="8">
        <f t="shared" ref="F62:N62" si="7">MyLine(1,F$35:F$42,F63,F$59,G63,G$59)</f>
        <v>0.6729049077</v>
      </c>
      <c r="G62" s="8">
        <f t="shared" si="7"/>
        <v>0.64790888700000004</v>
      </c>
      <c r="H62" s="8">
        <f t="shared" si="7"/>
        <v>0.51308837024999998</v>
      </c>
      <c r="I62" s="8">
        <f t="shared" si="7"/>
        <v>0.48128569090000006</v>
      </c>
      <c r="J62" s="8">
        <f t="shared" si="7"/>
        <v>0.62898047329999995</v>
      </c>
      <c r="K62" s="8">
        <f t="shared" si="7"/>
        <v>0.66917708364999995</v>
      </c>
      <c r="L62" s="8">
        <f t="shared" si="7"/>
        <v>0.64239218705000001</v>
      </c>
      <c r="M62" s="8">
        <f t="shared" si="7"/>
        <v>0</v>
      </c>
      <c r="N62" s="8">
        <f t="shared" si="7"/>
        <v>0</v>
      </c>
      <c r="O62" s="8">
        <f t="shared" ref="O62:AL62" si="8">MyLine(1,O$35:O$42,O63,O$59,P63,P$59)</f>
        <v>0</v>
      </c>
      <c r="P62" s="8">
        <f t="shared" si="8"/>
        <v>0</v>
      </c>
      <c r="Q62" s="8">
        <f t="shared" si="8"/>
        <v>0.52293420904999999</v>
      </c>
      <c r="R62" s="8">
        <f t="shared" si="8"/>
        <v>0.47011835554999998</v>
      </c>
      <c r="S62" s="8">
        <f t="shared" si="8"/>
        <v>0.63054633635000001</v>
      </c>
      <c r="T62" s="8">
        <f t="shared" si="8"/>
        <v>0.6730671896</v>
      </c>
      <c r="U62" s="8">
        <f t="shared" si="8"/>
        <v>0.68955709985000002</v>
      </c>
      <c r="V62" s="8">
        <f t="shared" si="8"/>
        <v>0.52561108499999998</v>
      </c>
      <c r="W62" s="8">
        <f t="shared" si="8"/>
        <v>0.45084524510000001</v>
      </c>
      <c r="X62" s="8">
        <f t="shared" si="8"/>
        <v>0.62901871274999999</v>
      </c>
      <c r="Y62" s="8">
        <f t="shared" si="8"/>
        <v>0.64427450963729394</v>
      </c>
      <c r="Z62" s="8">
        <f t="shared" si="8"/>
        <v>0.66119754888271554</v>
      </c>
      <c r="AA62" s="8">
        <f t="shared" si="8"/>
        <v>0.67209228537126975</v>
      </c>
      <c r="AB62" s="8">
        <f t="shared" si="8"/>
        <v>0.66045242937086091</v>
      </c>
      <c r="AC62" s="8">
        <f t="shared" si="8"/>
        <v>0.54057066722589464</v>
      </c>
      <c r="AD62" s="8">
        <f t="shared" si="8"/>
        <v>0.50630120629497799</v>
      </c>
      <c r="AE62" s="8">
        <f t="shared" si="8"/>
        <v>0.669749479443698</v>
      </c>
      <c r="AF62" s="8">
        <f t="shared" si="8"/>
        <v>0.68030476377304683</v>
      </c>
      <c r="AG62" s="8">
        <f t="shared" si="8"/>
        <v>0.687561807171293</v>
      </c>
      <c r="AH62" s="8">
        <f t="shared" si="8"/>
        <v>0.69264339848650092</v>
      </c>
      <c r="AI62" s="8">
        <f t="shared" si="8"/>
        <v>0.68143137073148063</v>
      </c>
      <c r="AJ62" s="8">
        <f t="shared" si="8"/>
        <v>0.5559758214396463</v>
      </c>
      <c r="AK62" s="8">
        <f t="shared" si="8"/>
        <v>0.51927679851889608</v>
      </c>
      <c r="AL62" s="8">
        <f t="shared" si="8"/>
        <v>0.6906976082276467</v>
      </c>
    </row>
    <row r="63" spans="3:46" hidden="1" x14ac:dyDescent="0.35">
      <c r="C63" s="31" t="s">
        <v>19</v>
      </c>
      <c r="E63" s="50">
        <f>IF((Prereport!E1)=(-9999.9999),(-9999.9999),(Prereport!E1)-$AT$64)</f>
        <v>1362.8222580000001</v>
      </c>
      <c r="F63" s="50">
        <f>IF((Prereport!F1)=(-9999.9999),(-9999.9999),(Prereport!F1)-$AT$64)</f>
        <v>1345.8098153999999</v>
      </c>
      <c r="G63" s="50">
        <f>IF((Prereport!G1)=(-9999.9999),(-9999.9999),(Prereport!G1)-$AT$64)</f>
        <v>1295.8177740000001</v>
      </c>
      <c r="H63" s="50">
        <f>IF((Prereport!H1)=(-9999.9999),(-9999.9999),(Prereport!H1)-$AT$64)</f>
        <v>1026.1767405000001</v>
      </c>
      <c r="I63" s="50">
        <f>IF((Prereport!I1)=(-9999.9999),(-9999.9999),(Prereport!I1)-$AT$64)</f>
        <v>962.57138180000015</v>
      </c>
      <c r="J63" s="50">
        <f>IF((Prereport!J1)=(-9999.9999),(-9999.9999),(Prereport!J1)-$AT$64)</f>
        <v>1257.9609465999999</v>
      </c>
      <c r="K63" s="50">
        <f>IF((Prereport!K1)=(-9999.9999),(-9999.9999),(Prereport!K1)-$AT$64)</f>
        <v>1338.3541673</v>
      </c>
      <c r="L63" s="50">
        <f>IF((Prereport!L1)=(-9999.9999),(-9999.9999),(Prereport!L1)-$AT$64)</f>
        <v>1284.7843740999999</v>
      </c>
      <c r="M63" s="50">
        <f>IF((Prereport!M1)=(-9999.9999),(-9999.9999),(Prereport!M1)-$AT$64)</f>
        <v>0</v>
      </c>
      <c r="N63" s="50">
        <f>IF((Prereport!N1)=(-9999.9999),(-9999.9999),(Prereport!N1)-$AT$64)</f>
        <v>0</v>
      </c>
      <c r="O63" s="50">
        <f>IF((Prereport!O1)=(-9999.9999),(-9999.9999),(Prereport!O1)-$AT$64)</f>
        <v>0</v>
      </c>
      <c r="P63" s="50">
        <f>IF((Prereport!P1)=(-9999.9999),(-9999.9999),(Prereport!P1)-$AT$64)</f>
        <v>0</v>
      </c>
      <c r="Q63" s="50">
        <f>IF((Prereport!Q1)=(-9999.9999),(-9999.9999),(Prereport!Q1)-$AT$64)</f>
        <v>1045.8684180999999</v>
      </c>
      <c r="R63" s="50">
        <f>IF((Prereport!R1)=(-9999.9999),(-9999.9999),(Prereport!R1)-$AT$64)</f>
        <v>940.23671109999998</v>
      </c>
      <c r="S63" s="50">
        <f>IF((Prereport!S1)=(-9999.9999),(-9999.9999),(Prereport!S1)-$AT$64)</f>
        <v>1261.0926727000001</v>
      </c>
      <c r="T63" s="50">
        <f>IF((Prereport!T1)=(-9999.9999),(-9999.9999),(Prereport!T1)-$AT$64)</f>
        <v>1346.1343792</v>
      </c>
      <c r="U63" s="50">
        <f>IF((Prereport!U1)=(-9999.9999),(-9999.9999),(Prereport!U1)-$AT$64)</f>
        <v>1379.1141997</v>
      </c>
      <c r="V63" s="50">
        <f>IF((Prereport!V1)=(-9999.9999),(-9999.9999),(Prereport!V1)-$AT$64)</f>
        <v>1051.22217</v>
      </c>
      <c r="W63" s="50">
        <f>IF((Prereport!W1)=(-9999.9999),(-9999.9999),(Prereport!W1)-$AT$64)</f>
        <v>901.6904902</v>
      </c>
      <c r="X63" s="50">
        <f>IF((Prereport!X1)=(-9999.9999),(-9999.9999),(Prereport!X1)-$AT$64)</f>
        <v>1258.0374254999999</v>
      </c>
      <c r="Y63" s="50">
        <f>IF((Prereport!Y1)=(-9999.9999),(-9999.9999),(Prereport!Y1)-$AT$64)</f>
        <v>1288.5490192745879</v>
      </c>
      <c r="Z63" s="50">
        <f>IF((Prereport!Z1)=(-9999.9999),(-9999.9999),(Prereport!Z1)-$AT$64)</f>
        <v>1322.395097765431</v>
      </c>
      <c r="AA63" s="50">
        <f>IF((Prereport!AA1)=(-9999.9999),(-9999.9999),(Prereport!AA1)-$AT$64)</f>
        <v>1344.1845707425396</v>
      </c>
      <c r="AB63" s="50">
        <f>IF((Prereport!AB1)=(-9999.9999),(-9999.9999),(Prereport!AB1)-$AT$64)</f>
        <v>1320.9048587417219</v>
      </c>
      <c r="AC63" s="50">
        <f>IF((Prereport!AC1)=(-9999.9999),(-9999.9999),(Prereport!AC1)-$AT$64)</f>
        <v>1081.1413344517894</v>
      </c>
      <c r="AD63" s="50">
        <f>IF((Prereport!AD1)=(-9999.9999),(-9999.9999),(Prereport!AD1)-$AT$64)</f>
        <v>1012.602412589956</v>
      </c>
      <c r="AE63" s="50">
        <f>IF((Prereport!AE1)=(-9999.9999),(-9999.9999),(Prereport!AE1)-$AT$64)</f>
        <v>1339.4989588873959</v>
      </c>
      <c r="AF63" s="50">
        <f>IF((Prereport!AF1)=(-9999.9999),(-9999.9999),(Prereport!AF1)-$AT$64)</f>
        <v>1360.6095275460937</v>
      </c>
      <c r="AG63" s="50">
        <f>IF((Prereport!AG1)=(-9999.9999),(-9999.9999),(Prereport!AG1)-$AT$64)</f>
        <v>1375.1236143425861</v>
      </c>
      <c r="AH63" s="50">
        <f>IF((Prereport!AH1)=(-9999.9999),(-9999.9999),(Prereport!AH1)-$AT$64)</f>
        <v>1385.2867969730019</v>
      </c>
      <c r="AI63" s="50">
        <f>IF((Prereport!AI1)=(-9999.9999),(-9999.9999),(Prereport!AI1)-$AT$64)</f>
        <v>1362.8627414629614</v>
      </c>
      <c r="AJ63" s="50">
        <f>IF((Prereport!AJ1)=(-9999.9999),(-9999.9999),(Prereport!AJ1)-$AT$64)</f>
        <v>1111.9516428792926</v>
      </c>
      <c r="AK63" s="50">
        <f>IF((Prereport!AK1)=(-9999.9999),(-9999.9999),(Prereport!AK1)-$AT$64)</f>
        <v>1038.5535970377921</v>
      </c>
      <c r="AL63" s="50">
        <f>IF((Prereport!AL1)=(-9999.9999),(-9999.9999),(Prereport!AL1)-$AT$64)</f>
        <v>1381.3952164552934</v>
      </c>
      <c r="AM63" s="8"/>
      <c r="AS63" s="101" t="s">
        <v>20</v>
      </c>
      <c r="AT63" s="156">
        <f>MIN(E51:AB51)</f>
        <v>-73.59531153455157</v>
      </c>
    </row>
    <row r="64" spans="3:46" hidden="1" x14ac:dyDescent="0.35">
      <c r="C64" s="32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S64" s="101" t="s">
        <v>21</v>
      </c>
      <c r="AT64" s="156">
        <v>0</v>
      </c>
    </row>
    <row r="65" spans="3:39" hidden="1" x14ac:dyDescent="0.35">
      <c r="C65" s="31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</row>
    <row r="66" spans="3:39" hidden="1" x14ac:dyDescent="0.35">
      <c r="C66" s="31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</row>
    <row r="67" spans="3:39" hidden="1" x14ac:dyDescent="0.35">
      <c r="C67" s="31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</row>
    <row r="68" spans="3:39" hidden="1" x14ac:dyDescent="0.35">
      <c r="C68" s="31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</row>
    <row r="69" spans="3:39" hidden="1" x14ac:dyDescent="0.35">
      <c r="C69" s="31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</row>
    <row r="70" spans="3:39" hidden="1" x14ac:dyDescent="0.35">
      <c r="C70" s="31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</row>
    <row r="72" spans="3:39" x14ac:dyDescent="0.35">
      <c r="C72" s="3"/>
      <c r="D72" s="3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</row>
    <row r="73" spans="3:39" x14ac:dyDescent="0.35">
      <c r="C73" s="38" t="s">
        <v>57</v>
      </c>
      <c r="D73" s="3"/>
      <c r="E73" s="47" t="str">
        <f>E33</f>
        <v>W</v>
      </c>
      <c r="F73" s="47" t="str">
        <f t="shared" ref="F73:AL73" si="9">F33</f>
        <v>T</v>
      </c>
      <c r="G73" s="47" t="str">
        <f t="shared" si="9"/>
        <v>F</v>
      </c>
      <c r="H73" s="47" t="str">
        <f t="shared" si="9"/>
        <v>S</v>
      </c>
      <c r="I73" s="47" t="str">
        <f t="shared" si="9"/>
        <v>S</v>
      </c>
      <c r="J73" s="47" t="str">
        <f t="shared" si="9"/>
        <v>M</v>
      </c>
      <c r="K73" s="48" t="str">
        <f t="shared" si="9"/>
        <v>T</v>
      </c>
      <c r="L73" s="47" t="str">
        <f t="shared" si="9"/>
        <v>W</v>
      </c>
      <c r="M73" s="47" t="str">
        <f t="shared" si="9"/>
        <v>T</v>
      </c>
      <c r="N73" s="47" t="str">
        <f t="shared" si="9"/>
        <v>F</v>
      </c>
      <c r="O73" s="47" t="str">
        <f t="shared" si="9"/>
        <v>S</v>
      </c>
      <c r="P73" s="47" t="str">
        <f t="shared" si="9"/>
        <v>S</v>
      </c>
      <c r="Q73" s="47" t="str">
        <f t="shared" si="9"/>
        <v>M</v>
      </c>
      <c r="R73" s="48" t="str">
        <f t="shared" si="9"/>
        <v>T</v>
      </c>
      <c r="S73" s="47" t="str">
        <f t="shared" si="9"/>
        <v>W</v>
      </c>
      <c r="T73" s="47" t="str">
        <f t="shared" si="9"/>
        <v>T</v>
      </c>
      <c r="U73" s="47" t="str">
        <f t="shared" si="9"/>
        <v>F</v>
      </c>
      <c r="V73" s="47" t="str">
        <f t="shared" si="9"/>
        <v>S</v>
      </c>
      <c r="W73" s="47" t="str">
        <f t="shared" si="9"/>
        <v>S</v>
      </c>
      <c r="X73" s="47" t="str">
        <f t="shared" si="9"/>
        <v>M</v>
      </c>
      <c r="Y73" s="48" t="str">
        <f t="shared" si="9"/>
        <v>T</v>
      </c>
      <c r="Z73" s="47" t="str">
        <f t="shared" si="9"/>
        <v>W</v>
      </c>
      <c r="AA73" s="47" t="str">
        <f t="shared" si="9"/>
        <v>T</v>
      </c>
      <c r="AB73" s="47" t="str">
        <f t="shared" si="9"/>
        <v>F</v>
      </c>
      <c r="AC73" s="47" t="str">
        <f t="shared" si="9"/>
        <v>S</v>
      </c>
      <c r="AD73" s="47" t="str">
        <f t="shared" si="9"/>
        <v>S</v>
      </c>
      <c r="AE73" s="47" t="str">
        <f t="shared" si="9"/>
        <v>M</v>
      </c>
      <c r="AF73" s="48" t="str">
        <f t="shared" si="9"/>
        <v>T</v>
      </c>
      <c r="AG73" s="47" t="str">
        <f t="shared" si="9"/>
        <v>W</v>
      </c>
      <c r="AH73" s="47" t="str">
        <f t="shared" si="9"/>
        <v>T</v>
      </c>
      <c r="AI73" s="47" t="str">
        <f t="shared" si="9"/>
        <v>F</v>
      </c>
      <c r="AJ73" s="47" t="str">
        <f t="shared" si="9"/>
        <v>S</v>
      </c>
      <c r="AK73" s="47" t="str">
        <f t="shared" si="9"/>
        <v>S</v>
      </c>
      <c r="AL73" s="47" t="str">
        <f t="shared" si="9"/>
        <v>M</v>
      </c>
    </row>
    <row r="74" spans="3:39" x14ac:dyDescent="0.35">
      <c r="E74" s="47" t="str">
        <f>E34</f>
        <v>20</v>
      </c>
      <c r="F74" s="47" t="str">
        <f t="shared" ref="F74:AL74" si="10">F34</f>
        <v>21</v>
      </c>
      <c r="G74" s="47" t="str">
        <f t="shared" si="10"/>
        <v>22</v>
      </c>
      <c r="H74" s="47" t="str">
        <f t="shared" si="10"/>
        <v>23</v>
      </c>
      <c r="I74" s="47" t="str">
        <f t="shared" si="10"/>
        <v>24</v>
      </c>
      <c r="J74" s="47" t="str">
        <f t="shared" si="10"/>
        <v>25</v>
      </c>
      <c r="K74" s="48" t="str">
        <f t="shared" si="10"/>
        <v>26</v>
      </c>
      <c r="L74" s="47" t="str">
        <f t="shared" si="10"/>
        <v>27</v>
      </c>
      <c r="M74" s="47" t="str">
        <f t="shared" si="10"/>
        <v>28</v>
      </c>
      <c r="N74" s="47" t="str">
        <f t="shared" si="10"/>
        <v>29</v>
      </c>
      <c r="O74" s="47" t="str">
        <f t="shared" si="10"/>
        <v>30</v>
      </c>
      <c r="P74" s="47" t="str">
        <f t="shared" si="10"/>
        <v>31</v>
      </c>
      <c r="Q74" s="47" t="str">
        <f t="shared" si="10"/>
        <v>01</v>
      </c>
      <c r="R74" s="48" t="str">
        <f t="shared" si="10"/>
        <v>02</v>
      </c>
      <c r="S74" s="47" t="str">
        <f t="shared" si="10"/>
        <v>03</v>
      </c>
      <c r="T74" s="47" t="str">
        <f t="shared" si="10"/>
        <v>04</v>
      </c>
      <c r="U74" s="47" t="str">
        <f t="shared" si="10"/>
        <v>05</v>
      </c>
      <c r="V74" s="47" t="str">
        <f t="shared" si="10"/>
        <v>06</v>
      </c>
      <c r="W74" s="47" t="str">
        <f t="shared" si="10"/>
        <v>07</v>
      </c>
      <c r="X74" s="47" t="str">
        <f t="shared" si="10"/>
        <v>08</v>
      </c>
      <c r="Y74" s="48" t="str">
        <f t="shared" si="10"/>
        <v>09</v>
      </c>
      <c r="Z74" s="47" t="str">
        <f t="shared" si="10"/>
        <v>10</v>
      </c>
      <c r="AA74" s="47" t="str">
        <f t="shared" si="10"/>
        <v>11</v>
      </c>
      <c r="AB74" s="47" t="str">
        <f t="shared" si="10"/>
        <v>12</v>
      </c>
      <c r="AC74" s="47" t="str">
        <f t="shared" si="10"/>
        <v>13</v>
      </c>
      <c r="AD74" s="47" t="str">
        <f t="shared" si="10"/>
        <v>14</v>
      </c>
      <c r="AE74" s="47" t="str">
        <f t="shared" si="10"/>
        <v>15</v>
      </c>
      <c r="AF74" s="48" t="str">
        <f t="shared" si="10"/>
        <v>16</v>
      </c>
      <c r="AG74" s="47" t="str">
        <f t="shared" si="10"/>
        <v>17</v>
      </c>
      <c r="AH74" s="47" t="str">
        <f t="shared" si="10"/>
        <v>18</v>
      </c>
      <c r="AI74" s="47" t="str">
        <f t="shared" si="10"/>
        <v>19</v>
      </c>
      <c r="AJ74" s="47" t="str">
        <f t="shared" si="10"/>
        <v>20</v>
      </c>
      <c r="AK74" s="47" t="str">
        <f t="shared" si="10"/>
        <v>21</v>
      </c>
      <c r="AL74" s="134" t="str">
        <f t="shared" si="10"/>
        <v>22</v>
      </c>
      <c r="AM74" s="183">
        <f>AM34</f>
        <v>2000</v>
      </c>
    </row>
    <row r="75" spans="3:39" x14ac:dyDescent="0.35"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184"/>
    </row>
    <row r="76" spans="3:39" x14ac:dyDescent="0.35">
      <c r="C76" s="2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</row>
    <row r="77" spans="3:39" x14ac:dyDescent="0.35">
      <c r="C77" s="2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</row>
    <row r="78" spans="3:39" x14ac:dyDescent="0.35"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</row>
    <row r="79" spans="3:39" x14ac:dyDescent="0.35"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</row>
    <row r="80" spans="3:39" x14ac:dyDescent="0.35"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</row>
    <row r="81" spans="3:39" x14ac:dyDescent="0.35"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</row>
    <row r="82" spans="3:39" x14ac:dyDescent="0.35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</row>
    <row r="83" spans="3:39" x14ac:dyDescent="0.35">
      <c r="E83" s="6" t="s">
        <v>56</v>
      </c>
      <c r="F83" s="6" t="s">
        <v>42</v>
      </c>
      <c r="G83" s="6" t="s">
        <v>41</v>
      </c>
      <c r="H83" s="6" t="s">
        <v>40</v>
      </c>
      <c r="I83" s="6" t="s">
        <v>39</v>
      </c>
      <c r="J83" s="6" t="s">
        <v>38</v>
      </c>
      <c r="K83" s="49" t="s">
        <v>37</v>
      </c>
      <c r="L83" s="6" t="s">
        <v>36</v>
      </c>
      <c r="M83" s="6" t="s">
        <v>35</v>
      </c>
      <c r="N83" s="6" t="s">
        <v>34</v>
      </c>
      <c r="O83" s="6" t="s">
        <v>33</v>
      </c>
      <c r="P83" s="6" t="s">
        <v>32</v>
      </c>
      <c r="Q83" s="6" t="s">
        <v>31</v>
      </c>
      <c r="R83" s="49" t="s">
        <v>30</v>
      </c>
      <c r="S83" s="6" t="s">
        <v>29</v>
      </c>
      <c r="T83" s="6" t="s">
        <v>28</v>
      </c>
      <c r="U83" s="6" t="s">
        <v>27</v>
      </c>
      <c r="V83" s="6" t="s">
        <v>26</v>
      </c>
      <c r="W83" s="6" t="s">
        <v>25</v>
      </c>
      <c r="X83" s="6" t="s">
        <v>24</v>
      </c>
      <c r="Y83" s="49" t="s">
        <v>23</v>
      </c>
      <c r="Z83" s="6" t="s">
        <v>43</v>
      </c>
      <c r="AA83" s="6" t="s">
        <v>44</v>
      </c>
      <c r="AB83" s="6" t="s">
        <v>45</v>
      </c>
      <c r="AC83" s="6" t="s">
        <v>46</v>
      </c>
      <c r="AD83" s="6" t="s">
        <v>47</v>
      </c>
      <c r="AE83" s="6" t="s">
        <v>48</v>
      </c>
      <c r="AF83" s="49" t="s">
        <v>49</v>
      </c>
      <c r="AG83" s="6" t="s">
        <v>50</v>
      </c>
      <c r="AH83" s="6" t="s">
        <v>51</v>
      </c>
      <c r="AI83" s="6" t="s">
        <v>52</v>
      </c>
      <c r="AJ83" s="6" t="s">
        <v>53</v>
      </c>
      <c r="AK83" s="6" t="s">
        <v>54</v>
      </c>
      <c r="AL83" s="6" t="s">
        <v>55</v>
      </c>
    </row>
    <row r="84" spans="3:39" x14ac:dyDescent="0.35">
      <c r="C84" s="3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</row>
    <row r="85" spans="3:39" hidden="1" x14ac:dyDescent="0.35">
      <c r="C85" s="2"/>
      <c r="E85" s="140"/>
      <c r="F85" s="140"/>
      <c r="G85" s="140"/>
      <c r="H85" s="140"/>
      <c r="I85" s="140"/>
      <c r="J85" s="140"/>
      <c r="K85" s="140"/>
      <c r="L85" s="140"/>
      <c r="M85" s="140"/>
      <c r="N85" s="140"/>
      <c r="O85" s="140"/>
      <c r="P85" s="140"/>
      <c r="Q85" s="140"/>
      <c r="R85" s="140"/>
      <c r="S85" s="140"/>
      <c r="T85" s="140"/>
      <c r="U85" s="140"/>
      <c r="V85" s="140"/>
      <c r="W85" s="140"/>
      <c r="X85" s="140"/>
      <c r="Y85" s="140"/>
      <c r="Z85" s="140"/>
      <c r="AA85" s="140"/>
      <c r="AB85" s="140"/>
      <c r="AC85" s="140"/>
      <c r="AD85" s="140"/>
      <c r="AE85" s="140"/>
      <c r="AF85" s="140"/>
      <c r="AG85" s="140"/>
      <c r="AH85" s="140"/>
      <c r="AI85" s="140"/>
      <c r="AJ85" s="140"/>
      <c r="AK85" s="140"/>
      <c r="AL85" s="140"/>
    </row>
    <row r="86" spans="3:39" hidden="1" x14ac:dyDescent="0.35">
      <c r="C86" s="2"/>
      <c r="E86" s="140"/>
      <c r="F86" s="140"/>
      <c r="G86" s="140"/>
      <c r="H86" s="140"/>
      <c r="I86" s="140"/>
      <c r="J86" s="140"/>
      <c r="K86" s="140"/>
      <c r="L86" s="140"/>
      <c r="M86" s="140"/>
      <c r="N86" s="140"/>
      <c r="O86" s="140"/>
      <c r="P86" s="140"/>
      <c r="Q86" s="140"/>
      <c r="R86" s="140"/>
      <c r="S86" s="140"/>
      <c r="T86" s="140"/>
      <c r="U86" s="140"/>
      <c r="V86" s="140"/>
      <c r="W86" s="140"/>
      <c r="X86" s="140"/>
      <c r="Y86" s="140"/>
      <c r="Z86" s="140"/>
      <c r="AA86" s="140"/>
      <c r="AB86" s="140"/>
      <c r="AC86" s="140"/>
      <c r="AD86" s="140"/>
      <c r="AE86" s="140"/>
      <c r="AF86" s="140"/>
      <c r="AG86" s="140"/>
      <c r="AH86" s="140"/>
      <c r="AI86" s="140"/>
      <c r="AJ86" s="140"/>
      <c r="AK86" s="140"/>
      <c r="AL86" s="140"/>
    </row>
    <row r="87" spans="3:39" hidden="1" x14ac:dyDescent="0.35">
      <c r="C87" s="2"/>
      <c r="E87" s="140"/>
      <c r="F87" s="140"/>
      <c r="G87" s="140"/>
      <c r="H87" s="140"/>
      <c r="I87" s="140"/>
      <c r="J87" s="140"/>
      <c r="K87" s="140"/>
      <c r="L87" s="140"/>
      <c r="M87" s="140"/>
      <c r="N87" s="140"/>
      <c r="O87" s="140"/>
      <c r="P87" s="140"/>
      <c r="Q87" s="140"/>
      <c r="R87" s="140"/>
      <c r="S87" s="140"/>
      <c r="T87" s="140"/>
      <c r="U87" s="140"/>
      <c r="V87" s="140"/>
      <c r="W87" s="140"/>
      <c r="X87" s="140"/>
      <c r="Y87" s="140"/>
      <c r="Z87" s="140"/>
      <c r="AA87" s="140"/>
      <c r="AB87" s="140"/>
      <c r="AC87" s="140"/>
      <c r="AD87" s="140"/>
      <c r="AE87" s="140"/>
      <c r="AF87" s="140"/>
      <c r="AG87" s="140"/>
      <c r="AH87" s="140"/>
      <c r="AI87" s="140"/>
      <c r="AJ87" s="140"/>
      <c r="AK87" s="140"/>
      <c r="AL87" s="140"/>
    </row>
    <row r="88" spans="3:39" hidden="1" x14ac:dyDescent="0.35">
      <c r="C88" s="2"/>
      <c r="E88" s="140"/>
      <c r="F88" s="140"/>
      <c r="G88" s="140"/>
      <c r="H88" s="140"/>
      <c r="I88" s="140"/>
      <c r="J88" s="140"/>
      <c r="K88" s="140"/>
      <c r="L88" s="140"/>
      <c r="M88" s="140"/>
      <c r="N88" s="140"/>
      <c r="O88" s="140"/>
      <c r="P88" s="140"/>
      <c r="Q88" s="140"/>
      <c r="R88" s="140"/>
      <c r="S88" s="140"/>
      <c r="T88" s="140"/>
      <c r="U88" s="140"/>
      <c r="V88" s="140"/>
      <c r="W88" s="140"/>
      <c r="X88" s="140"/>
      <c r="Y88" s="140"/>
      <c r="Z88" s="140"/>
      <c r="AA88" s="140"/>
      <c r="AB88" s="140"/>
      <c r="AC88" s="140"/>
      <c r="AD88" s="140"/>
      <c r="AE88" s="140"/>
      <c r="AF88" s="140"/>
      <c r="AG88" s="140"/>
      <c r="AH88" s="140"/>
      <c r="AI88" s="140"/>
      <c r="AJ88" s="140"/>
      <c r="AK88" s="140"/>
      <c r="AL88" s="140"/>
    </row>
    <row r="89" spans="3:39" hidden="1" x14ac:dyDescent="0.3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</row>
    <row r="90" spans="3:39" x14ac:dyDescent="0.35">
      <c r="C90" s="3" t="s">
        <v>16</v>
      </c>
      <c r="D90" s="3" t="s">
        <v>80</v>
      </c>
      <c r="E90" s="44">
        <f>Prereport!E5</f>
        <v>392.49716549999999</v>
      </c>
      <c r="F90" s="44">
        <f>Prereport!F5</f>
        <v>406.81630430000001</v>
      </c>
      <c r="G90" s="44">
        <f>Prereport!G5</f>
        <v>395.05887899999999</v>
      </c>
      <c r="H90" s="44">
        <f>Prereport!H5</f>
        <v>327.88495349999999</v>
      </c>
      <c r="I90" s="44">
        <f>Prereport!I5</f>
        <v>302.69192179999999</v>
      </c>
      <c r="J90" s="44">
        <f>Prereport!J5</f>
        <v>397.19221579999999</v>
      </c>
      <c r="K90" s="44">
        <f>Prereport!K5</f>
        <v>399.00823120000001</v>
      </c>
      <c r="L90" s="44">
        <f>Prereport!L5</f>
        <v>395.6164043</v>
      </c>
      <c r="M90" s="44">
        <f>Prereport!M5</f>
        <v>0</v>
      </c>
      <c r="N90" s="44">
        <f>Prereport!N5</f>
        <v>0</v>
      </c>
      <c r="O90" s="44">
        <f>Prereport!O5</f>
        <v>0</v>
      </c>
      <c r="P90" s="44">
        <f>Prereport!P5</f>
        <v>0</v>
      </c>
      <c r="Q90" s="44">
        <f>Prereport!Q5</f>
        <v>319.66296149999999</v>
      </c>
      <c r="R90" s="44">
        <f>Prereport!R5</f>
        <v>296.06194729999999</v>
      </c>
      <c r="S90" s="44">
        <f>Prereport!S5</f>
        <v>373.83825969999998</v>
      </c>
      <c r="T90" s="44">
        <f>Prereport!T5</f>
        <v>374.451618</v>
      </c>
      <c r="U90" s="44">
        <f>Prereport!U5</f>
        <v>369.13138800000002</v>
      </c>
      <c r="V90" s="44">
        <f>Prereport!V5</f>
        <v>315.12084149999998</v>
      </c>
      <c r="W90" s="44">
        <f>Prereport!W5</f>
        <v>270.77972699999998</v>
      </c>
      <c r="X90" s="44">
        <f>Prereport!X5</f>
        <v>381.03197549999999</v>
      </c>
      <c r="Y90" s="44">
        <f>Prereport!Y5</f>
        <v>364.06333415414701</v>
      </c>
      <c r="Z90" s="44">
        <f>Prereport!Z5</f>
        <v>366.10129150531498</v>
      </c>
      <c r="AA90" s="44">
        <f>Prereport!AA5</f>
        <v>367.59796757693454</v>
      </c>
      <c r="AB90" s="44">
        <f>Prereport!AB5</f>
        <v>369.83824520179007</v>
      </c>
      <c r="AC90" s="45">
        <f>Prereport!AC5</f>
        <v>308.81320934536978</v>
      </c>
      <c r="AD90" s="45">
        <f>Prereport!AD5</f>
        <v>292.46936043671462</v>
      </c>
      <c r="AE90" s="45">
        <f>Prereport!AE5</f>
        <v>379.52944618314223</v>
      </c>
      <c r="AF90" s="45">
        <f>Prereport!AF5</f>
        <v>379.23546118682657</v>
      </c>
      <c r="AG90" s="45">
        <f>Prereport!AG5</f>
        <v>379.32973354023926</v>
      </c>
      <c r="AH90" s="45">
        <f>Prereport!AH5</f>
        <v>379.52113860436975</v>
      </c>
      <c r="AI90" s="45">
        <f>Prereport!AI5</f>
        <v>380.00870297239697</v>
      </c>
      <c r="AJ90" s="45">
        <f>Prereport!AJ5</f>
        <v>316.5509908095832</v>
      </c>
      <c r="AK90" s="45">
        <f>Prereport!AK5</f>
        <v>298.90475124539887</v>
      </c>
      <c r="AL90" s="45">
        <f>Prereport!AL5</f>
        <v>387.36693312269568</v>
      </c>
      <c r="AM90" s="44"/>
    </row>
    <row r="91" spans="3:39" x14ac:dyDescent="0.35">
      <c r="C91" s="9" t="s">
        <v>87</v>
      </c>
      <c r="D91" s="9" t="s">
        <v>80</v>
      </c>
      <c r="E91" s="10"/>
      <c r="F91" s="10"/>
      <c r="G91" s="10"/>
      <c r="H91" s="10"/>
      <c r="I91" s="10"/>
      <c r="J91" s="10"/>
      <c r="K91" s="10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50">
        <f>W90-Prereport!W$7</f>
        <v>-28.270341602531346</v>
      </c>
      <c r="X91" s="150">
        <f>X90-Prereport!X$7</f>
        <v>-6.9795358949688762</v>
      </c>
      <c r="Y91" s="142">
        <f>Y90-Prereport!Y$7</f>
        <v>-24.730529813317787</v>
      </c>
      <c r="Z91" s="142">
        <f>Z90-Prereport!Z$7</f>
        <v>-23.223593674623373</v>
      </c>
      <c r="AA91" s="142">
        <f>AA90-Prereport!AA$7</f>
        <v>-22.082358326567828</v>
      </c>
      <c r="AB91" s="142">
        <f>AB90-Prereport!AB$7</f>
        <v>-19.99442891222867</v>
      </c>
      <c r="AC91" s="142">
        <f>AC90-Prereport!AC$7</f>
        <v>-15.800577618168631</v>
      </c>
      <c r="AD91" s="142">
        <f>AD90-Prereport!AD$7</f>
        <v>-14.236980106399812</v>
      </c>
      <c r="AE91" s="142">
        <f>AE90-Prereport!AE$7</f>
        <v>-18.275986727260658</v>
      </c>
      <c r="AF91" s="142">
        <f>AF90-Prereport!AF$7</f>
        <v>-17.725636308339574</v>
      </c>
      <c r="AG91" s="142">
        <f>AG90-Prereport!AG$7</f>
        <v>-17.158967612831361</v>
      </c>
      <c r="AH91" s="142">
        <f>AH90-Prereport!AH$7</f>
        <v>-16.760673625477409</v>
      </c>
      <c r="AI91" s="142">
        <f>AI90-Prereport!AI$7</f>
        <v>-16.166800861506374</v>
      </c>
      <c r="AJ91" s="142">
        <f>AJ90-Prereport!AJ$7</f>
        <v>-13.133343846631817</v>
      </c>
      <c r="AK91" s="142">
        <f>AK90-Prereport!AK$7</f>
        <v>-12.37467243403654</v>
      </c>
      <c r="AL91" s="143"/>
    </row>
    <row r="92" spans="3:39" x14ac:dyDescent="0.35">
      <c r="C92" s="28" t="s">
        <v>196</v>
      </c>
      <c r="D92" s="11" t="s">
        <v>80</v>
      </c>
      <c r="E92" s="12"/>
      <c r="F92" s="12"/>
      <c r="G92" s="12"/>
      <c r="H92" s="12"/>
      <c r="I92" s="12"/>
      <c r="J92" s="12"/>
      <c r="K92" s="12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5">
        <f>Y90-$X$90</f>
        <v>-16.968641345852973</v>
      </c>
      <c r="Z92" s="145">
        <f t="shared" ref="Z92:AL92" si="11">Z90-$X$90</f>
        <v>-14.930683994685012</v>
      </c>
      <c r="AA92" s="145">
        <f t="shared" si="11"/>
        <v>-13.434007923065451</v>
      </c>
      <c r="AB92" s="145">
        <f t="shared" si="11"/>
        <v>-11.193730298209914</v>
      </c>
      <c r="AC92" s="145">
        <f t="shared" si="11"/>
        <v>-72.218766154630202</v>
      </c>
      <c r="AD92" s="145">
        <f t="shared" si="11"/>
        <v>-88.562615063285364</v>
      </c>
      <c r="AE92" s="145">
        <f t="shared" si="11"/>
        <v>-1.5025293168577605</v>
      </c>
      <c r="AF92" s="145">
        <f t="shared" si="11"/>
        <v>-1.796514313173418</v>
      </c>
      <c r="AG92" s="145">
        <f t="shared" si="11"/>
        <v>-1.7022419597607268</v>
      </c>
      <c r="AH92" s="145">
        <f t="shared" si="11"/>
        <v>-1.5108368956302343</v>
      </c>
      <c r="AI92" s="145">
        <f t="shared" si="11"/>
        <v>-1.0232725276030123</v>
      </c>
      <c r="AJ92" s="145">
        <f t="shared" si="11"/>
        <v>-64.48098469041679</v>
      </c>
      <c r="AK92" s="145">
        <f t="shared" si="11"/>
        <v>-82.127224254601117</v>
      </c>
      <c r="AL92" s="145">
        <f t="shared" si="11"/>
        <v>6.334957622695697</v>
      </c>
    </row>
    <row r="93" spans="3:39" x14ac:dyDescent="0.35">
      <c r="C93" s="9" t="s">
        <v>197</v>
      </c>
      <c r="D93" s="2" t="s">
        <v>80</v>
      </c>
      <c r="E93" s="7"/>
      <c r="F93" s="7"/>
      <c r="G93" s="7"/>
      <c r="H93" s="7"/>
      <c r="I93" s="7"/>
      <c r="J93" s="7"/>
      <c r="K93" s="7"/>
      <c r="L93" s="146">
        <f t="shared" ref="L93:AL93" si="12">L90-E90</f>
        <v>3.1192388000000051</v>
      </c>
      <c r="M93" s="146">
        <f t="shared" si="12"/>
        <v>-406.81630430000001</v>
      </c>
      <c r="N93" s="146">
        <f t="shared" si="12"/>
        <v>-395.05887899999999</v>
      </c>
      <c r="O93" s="146">
        <f t="shared" si="12"/>
        <v>-327.88495349999999</v>
      </c>
      <c r="P93" s="146">
        <f t="shared" si="12"/>
        <v>-302.69192179999999</v>
      </c>
      <c r="Q93" s="146">
        <f t="shared" si="12"/>
        <v>-77.529254299999991</v>
      </c>
      <c r="R93" s="146">
        <f t="shared" si="12"/>
        <v>-102.94628390000003</v>
      </c>
      <c r="S93" s="146">
        <f t="shared" si="12"/>
        <v>-21.778144600000019</v>
      </c>
      <c r="T93" s="146">
        <f t="shared" si="12"/>
        <v>374.451618</v>
      </c>
      <c r="U93" s="146">
        <f t="shared" si="12"/>
        <v>369.13138800000002</v>
      </c>
      <c r="V93" s="146">
        <f t="shared" si="12"/>
        <v>315.12084149999998</v>
      </c>
      <c r="W93" s="146">
        <f t="shared" si="12"/>
        <v>270.77972699999998</v>
      </c>
      <c r="X93" s="146">
        <f t="shared" si="12"/>
        <v>61.369013999999993</v>
      </c>
      <c r="Y93" s="146">
        <f t="shared" si="12"/>
        <v>68.001386854147029</v>
      </c>
      <c r="Z93" s="146">
        <f t="shared" si="12"/>
        <v>-7.7369681946850051</v>
      </c>
      <c r="AA93" s="146">
        <f t="shared" si="12"/>
        <v>-6.85365042306546</v>
      </c>
      <c r="AB93" s="146">
        <f t="shared" si="12"/>
        <v>0.70685720179005784</v>
      </c>
      <c r="AC93" s="146">
        <f t="shared" si="12"/>
        <v>-6.3076321546301983</v>
      </c>
      <c r="AD93" s="146">
        <f t="shared" si="12"/>
        <v>21.689633436714644</v>
      </c>
      <c r="AE93" s="146">
        <f t="shared" si="12"/>
        <v>-1.5025293168577605</v>
      </c>
      <c r="AF93" s="146">
        <f t="shared" si="12"/>
        <v>15.172127032679555</v>
      </c>
      <c r="AG93" s="146">
        <f t="shared" si="12"/>
        <v>13.228442034924285</v>
      </c>
      <c r="AH93" s="146">
        <f t="shared" si="12"/>
        <v>11.923171027435217</v>
      </c>
      <c r="AI93" s="146">
        <f t="shared" si="12"/>
        <v>10.170457770606902</v>
      </c>
      <c r="AJ93" s="146">
        <f t="shared" si="12"/>
        <v>7.7377814642134126</v>
      </c>
      <c r="AK93" s="146">
        <f t="shared" si="12"/>
        <v>6.4353908086842466</v>
      </c>
      <c r="AL93" s="146">
        <f t="shared" si="12"/>
        <v>7.8374869395534574</v>
      </c>
    </row>
    <row r="94" spans="3:39" x14ac:dyDescent="0.35">
      <c r="C94" s="11" t="s">
        <v>198</v>
      </c>
      <c r="D94" s="11" t="s">
        <v>80</v>
      </c>
      <c r="E94" s="12"/>
      <c r="F94" s="12"/>
      <c r="G94" s="12"/>
      <c r="H94" s="12"/>
      <c r="I94" s="12"/>
      <c r="J94" s="12"/>
      <c r="K94" s="12"/>
      <c r="L94" s="148"/>
      <c r="M94" s="148"/>
      <c r="N94" s="148"/>
      <c r="O94" s="148"/>
      <c r="P94" s="148"/>
      <c r="Q94" s="148"/>
      <c r="R94" s="148"/>
      <c r="S94" s="145">
        <f>S90-E90</f>
        <v>-18.658905800000014</v>
      </c>
      <c r="T94" s="145">
        <f t="shared" ref="T94:AL94" si="13">T90-F90</f>
        <v>-32.364686300000017</v>
      </c>
      <c r="U94" s="145">
        <f t="shared" si="13"/>
        <v>-25.927490999999975</v>
      </c>
      <c r="V94" s="145">
        <f t="shared" si="13"/>
        <v>-12.764112000000011</v>
      </c>
      <c r="W94" s="145">
        <f t="shared" si="13"/>
        <v>-31.912194800000009</v>
      </c>
      <c r="X94" s="145">
        <f t="shared" si="13"/>
        <v>-16.160240299999998</v>
      </c>
      <c r="Y94" s="145">
        <f t="shared" si="13"/>
        <v>-34.944897045852997</v>
      </c>
      <c r="Z94" s="145">
        <f t="shared" si="13"/>
        <v>-29.515112794685024</v>
      </c>
      <c r="AA94" s="145">
        <f t="shared" si="13"/>
        <v>367.59796757693454</v>
      </c>
      <c r="AB94" s="145">
        <f t="shared" si="13"/>
        <v>369.83824520179007</v>
      </c>
      <c r="AC94" s="145">
        <f t="shared" si="13"/>
        <v>308.81320934536978</v>
      </c>
      <c r="AD94" s="145">
        <f t="shared" si="13"/>
        <v>292.46936043671462</v>
      </c>
      <c r="AE94" s="145">
        <f t="shared" si="13"/>
        <v>59.866484683142232</v>
      </c>
      <c r="AF94" s="145">
        <f t="shared" si="13"/>
        <v>83.173513886826584</v>
      </c>
      <c r="AG94" s="145">
        <f t="shared" si="13"/>
        <v>5.49147384023928</v>
      </c>
      <c r="AH94" s="145">
        <f t="shared" si="13"/>
        <v>5.0695206043697567</v>
      </c>
      <c r="AI94" s="145">
        <f t="shared" si="13"/>
        <v>10.87731497239696</v>
      </c>
      <c r="AJ94" s="145">
        <f t="shared" si="13"/>
        <v>1.4301493095832143</v>
      </c>
      <c r="AK94" s="145">
        <f t="shared" si="13"/>
        <v>28.12502424539889</v>
      </c>
      <c r="AL94" s="145">
        <f t="shared" si="13"/>
        <v>6.334957622695697</v>
      </c>
    </row>
    <row r="95" spans="3:39" x14ac:dyDescent="0.35">
      <c r="C95" s="9"/>
      <c r="D95" s="9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</row>
    <row r="96" spans="3:39" hidden="1" x14ac:dyDescent="0.35">
      <c r="C96" s="15" t="s">
        <v>1</v>
      </c>
      <c r="D96" s="15" t="s">
        <v>80</v>
      </c>
      <c r="E96" s="45">
        <f>Prereport!E2</f>
        <v>2000</v>
      </c>
      <c r="F96" s="45">
        <f>Prereport!F2</f>
        <v>2000</v>
      </c>
      <c r="G96" s="45">
        <f>Prereport!G2</f>
        <v>2000</v>
      </c>
      <c r="H96" s="45">
        <f>Prereport!H2</f>
        <v>2000</v>
      </c>
      <c r="I96" s="45">
        <f>Prereport!I2</f>
        <v>2000</v>
      </c>
      <c r="J96" s="45">
        <f>Prereport!J2</f>
        <v>2000</v>
      </c>
      <c r="K96" s="45">
        <f>Prereport!K2</f>
        <v>2000</v>
      </c>
      <c r="L96" s="45">
        <f>Prereport!L2</f>
        <v>2000</v>
      </c>
      <c r="M96" s="45">
        <f>Prereport!M2</f>
        <v>2000</v>
      </c>
      <c r="N96" s="45">
        <f>Prereport!N2</f>
        <v>2000</v>
      </c>
      <c r="O96" s="45">
        <f>Prereport!O2</f>
        <v>2000</v>
      </c>
      <c r="P96" s="45">
        <f>Prereport!P2</f>
        <v>2000</v>
      </c>
      <c r="Q96" s="45">
        <f>Prereport!Q2</f>
        <v>2000</v>
      </c>
      <c r="R96" s="45">
        <f>Prereport!R2</f>
        <v>2000</v>
      </c>
      <c r="S96" s="45">
        <f>Prereport!S2</f>
        <v>2000</v>
      </c>
      <c r="T96" s="45">
        <f>Prereport!T2</f>
        <v>2000</v>
      </c>
      <c r="U96" s="45">
        <f>Prereport!U2</f>
        <v>2000</v>
      </c>
      <c r="V96" s="45">
        <f>Prereport!V2</f>
        <v>2000</v>
      </c>
      <c r="W96" s="45">
        <f>Prereport!W2</f>
        <v>2000</v>
      </c>
      <c r="X96" s="45">
        <f>Prereport!X2</f>
        <v>2000</v>
      </c>
      <c r="Y96" s="45">
        <f>Prereport!Y2</f>
        <v>2000</v>
      </c>
      <c r="Z96" s="45">
        <f>Prereport!Z2</f>
        <v>2000</v>
      </c>
      <c r="AA96" s="45">
        <f>Prereport!AA2</f>
        <v>2000</v>
      </c>
      <c r="AB96" s="45">
        <f>Prereport!AB2</f>
        <v>2000</v>
      </c>
      <c r="AC96" s="45">
        <f>Prereport!AC2</f>
        <v>2000</v>
      </c>
      <c r="AD96" s="45">
        <f>Prereport!AD2</f>
        <v>2000</v>
      </c>
      <c r="AE96" s="45">
        <f>Prereport!AE2</f>
        <v>2000</v>
      </c>
      <c r="AF96" s="45">
        <f>Prereport!AF2</f>
        <v>2000</v>
      </c>
      <c r="AG96" s="45">
        <f>Prereport!AG2</f>
        <v>2000</v>
      </c>
      <c r="AH96" s="45">
        <f>Prereport!AH2</f>
        <v>2000</v>
      </c>
      <c r="AI96" s="45">
        <f>Prereport!AI2</f>
        <v>2000</v>
      </c>
      <c r="AJ96" s="45">
        <f>Prereport!AJ2</f>
        <v>2000</v>
      </c>
      <c r="AK96" s="45">
        <f>Prereport!AK2</f>
        <v>2000</v>
      </c>
      <c r="AL96" s="45">
        <f>Prereport!AL2</f>
        <v>2000</v>
      </c>
      <c r="AM96" s="45"/>
    </row>
    <row r="97" spans="3:39" hidden="1" x14ac:dyDescent="0.35">
      <c r="C97" s="31" t="s">
        <v>2</v>
      </c>
      <c r="D97" s="3" t="s">
        <v>3</v>
      </c>
      <c r="E97" s="17">
        <f>MyBar("CON_IND_1",E75:E82,E90,$E$96)</f>
        <v>0.19624858274999998</v>
      </c>
      <c r="F97" s="17">
        <f>MyBar("CON_IND_2",F75:F82,F90,$F$96)</f>
        <v>0.20340815214999999</v>
      </c>
      <c r="G97" s="17">
        <f>MyBar("CON_IND_3",G75:G82,G90,$G$96)</f>
        <v>0.19752943949999999</v>
      </c>
      <c r="H97" s="17">
        <f>MyBar("CON_IND_4",H75:H82,H90,H96)</f>
        <v>0.16394247675000001</v>
      </c>
      <c r="I97" s="17">
        <f>MyBar("CON_IND_5",I75:I82,I90,I96)</f>
        <v>0.15134596089999999</v>
      </c>
      <c r="J97" s="17">
        <f>MyBar("CON_IND_6",J75:J82,J90,$E$96)</f>
        <v>0.19859610789999999</v>
      </c>
      <c r="K97" s="17">
        <f>MyBar("CON_IND_7",K75:K82,K90,$E$96)</f>
        <v>0.1995041156</v>
      </c>
      <c r="L97" s="17">
        <f>MyBar("CON_IND_8",L75:L82,L90,$E$96)</f>
        <v>0.19780820215</v>
      </c>
      <c r="M97" s="17">
        <f>MyBar("CON_IND_9",M75:M82,M90,$E$96)</f>
        <v>0</v>
      </c>
      <c r="N97" s="17">
        <f>MyBar("CON_IND_10",N75:N82,N90,$E$96)</f>
        <v>0</v>
      </c>
      <c r="O97" s="17">
        <f>MyBar("CON_IND_11",O75:O82,O90,$E$96)</f>
        <v>0</v>
      </c>
      <c r="P97" s="17">
        <f>MyBar("CON_IND_12",P75:P82,P90,$E$96)</f>
        <v>0</v>
      </c>
      <c r="Q97" s="17">
        <f>MyBar("CON_IND_13",Q75:Q82,Q90,$E$96)</f>
        <v>0.15983148075</v>
      </c>
      <c r="R97" s="17">
        <f>MyBar("CON_IND_14",R75:R82,R90,$E$96)</f>
        <v>0.14803097364999998</v>
      </c>
      <c r="S97" s="17">
        <f>MyBar("CON_IND_15",S75:S82,S90,$E$96)</f>
        <v>0.18691912984999998</v>
      </c>
      <c r="T97" s="17">
        <f>MyBar("CON_IND_16",T75:T82,T90,$E$96)</f>
        <v>0.18722580899999999</v>
      </c>
      <c r="U97" s="17">
        <f>MyBar("CON_IND_17",U75:U82,U90,$E$96)</f>
        <v>0.184565694</v>
      </c>
      <c r="V97" s="17">
        <f>MyBar("CON_IND_18",V75:V82,V90,$E$96)</f>
        <v>0.15756042074999999</v>
      </c>
      <c r="W97" s="17">
        <f>MyBar("CON_IND_19",W75:W82,W90,$E$96)</f>
        <v>0.13538986349999999</v>
      </c>
      <c r="X97" s="17">
        <f>MyBar("CON_IND_20",X75:X82,X90,$E$96)</f>
        <v>0.19051598775</v>
      </c>
      <c r="Y97" s="17">
        <f>MyBar("CON_IND_21",Y75:Y82,Y90,$E$96)</f>
        <v>0.18203166707707349</v>
      </c>
      <c r="Z97" s="17">
        <f>MyBar("CON_IND_22",Z75:Z82,Z90,$E$96)</f>
        <v>0.18305064575265748</v>
      </c>
      <c r="AA97" s="17">
        <f>MyBar("CON_IND_23",AA75:AA82,AA90,$E$96)</f>
        <v>0.18379898378846726</v>
      </c>
      <c r="AB97" s="17">
        <f>MyBar("CON_IND_24",AB75:AB82,AB90,$E$96)</f>
        <v>0.18491912260089505</v>
      </c>
      <c r="AC97" s="17">
        <f>MyBar("CON_IND_25",AC75:AC82,AC90,$E$96)</f>
        <v>0.15440660467268488</v>
      </c>
      <c r="AD97" s="17">
        <f>MyBar("CON_IND_26",AD75:AD82,AD90,$E$96)</f>
        <v>0.14623468021835731</v>
      </c>
      <c r="AE97" s="17">
        <f>MyBar("CON_IND_27",AE75:AE82,AE90,$E$96)</f>
        <v>0.18976472309157111</v>
      </c>
      <c r="AF97" s="17">
        <f>MyBar("CON_IND_28",AF75:AF82,AF90,$E$96)</f>
        <v>0.18961773059341328</v>
      </c>
      <c r="AG97" s="17">
        <f>MyBar("CON_IND_29",AG75:AG82,AG90,$E$96)</f>
        <v>0.18966486677011962</v>
      </c>
      <c r="AH97" s="17">
        <f>MyBar("CON_IND_30",AH75:AH82,AH90,$E$96)</f>
        <v>0.18976056930218488</v>
      </c>
      <c r="AI97" s="17">
        <f>MyBar("CON_IND_31",AI75:AI82,AI90,$E$96)</f>
        <v>0.19000435148619849</v>
      </c>
      <c r="AJ97" s="17">
        <f>MyBar("CON_IND_32",AJ75:AJ82,AJ90,$E$96)</f>
        <v>0.15827549540479161</v>
      </c>
      <c r="AK97" s="17">
        <f>MyBar("CON_IND_33",AK75:AK82,AK90,$E$96)</f>
        <v>0.14945237562269945</v>
      </c>
      <c r="AL97" s="17">
        <f>MyBar("CON_IND_34",AL75:AL82,AL90,$E$96)</f>
        <v>0.19368346656134786</v>
      </c>
    </row>
    <row r="98" spans="3:39" hidden="1" x14ac:dyDescent="0.35">
      <c r="C98" s="34"/>
    </row>
    <row r="99" spans="3:39" hidden="1" x14ac:dyDescent="0.35">
      <c r="C99" s="31" t="s">
        <v>209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</row>
    <row r="100" spans="3:39" hidden="1" x14ac:dyDescent="0.35">
      <c r="C100" s="31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</row>
    <row r="101" spans="3:39" hidden="1" x14ac:dyDescent="0.35">
      <c r="C101" s="31" t="s">
        <v>10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</row>
    <row r="102" spans="3:39" hidden="1" x14ac:dyDescent="0.35">
      <c r="C102" s="31" t="s">
        <v>11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</row>
    <row r="103" spans="3:39" hidden="1" x14ac:dyDescent="0.35">
      <c r="C103" s="31" t="s">
        <v>210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</row>
    <row r="104" spans="3:39" hidden="1" x14ac:dyDescent="0.35">
      <c r="C104" s="31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</row>
    <row r="105" spans="3:39" hidden="1" x14ac:dyDescent="0.35">
      <c r="C105" s="31" t="s">
        <v>6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</row>
    <row r="106" spans="3:39" hidden="1" x14ac:dyDescent="0.35">
      <c r="C106" s="31" t="s">
        <v>7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</row>
    <row r="107" spans="3:39" hidden="1" x14ac:dyDescent="0.35">
      <c r="C107" s="31" t="s">
        <v>211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</row>
    <row r="108" spans="3:39" x14ac:dyDescent="0.35">
      <c r="C108" s="51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</row>
    <row r="109" spans="3:39" x14ac:dyDescent="0.35">
      <c r="C109" s="38" t="s">
        <v>191</v>
      </c>
      <c r="E109" s="47" t="str">
        <f>E$33</f>
        <v>W</v>
      </c>
      <c r="F109" s="47" t="str">
        <f t="shared" ref="F109:AL109" si="14">F33</f>
        <v>T</v>
      </c>
      <c r="G109" s="47" t="str">
        <f t="shared" si="14"/>
        <v>F</v>
      </c>
      <c r="H109" s="47" t="str">
        <f t="shared" si="14"/>
        <v>S</v>
      </c>
      <c r="I109" s="47" t="str">
        <f t="shared" si="14"/>
        <v>S</v>
      </c>
      <c r="J109" s="47" t="str">
        <f t="shared" si="14"/>
        <v>M</v>
      </c>
      <c r="K109" s="48" t="str">
        <f t="shared" si="14"/>
        <v>T</v>
      </c>
      <c r="L109" s="47" t="str">
        <f t="shared" si="14"/>
        <v>W</v>
      </c>
      <c r="M109" s="47" t="str">
        <f t="shared" si="14"/>
        <v>T</v>
      </c>
      <c r="N109" s="47" t="str">
        <f t="shared" si="14"/>
        <v>F</v>
      </c>
      <c r="O109" s="47" t="str">
        <f t="shared" si="14"/>
        <v>S</v>
      </c>
      <c r="P109" s="47" t="str">
        <f t="shared" si="14"/>
        <v>S</v>
      </c>
      <c r="Q109" s="47" t="str">
        <f t="shared" si="14"/>
        <v>M</v>
      </c>
      <c r="R109" s="48" t="str">
        <f t="shared" si="14"/>
        <v>T</v>
      </c>
      <c r="S109" s="47" t="str">
        <f t="shared" si="14"/>
        <v>W</v>
      </c>
      <c r="T109" s="47" t="str">
        <f t="shared" si="14"/>
        <v>T</v>
      </c>
      <c r="U109" s="47" t="str">
        <f t="shared" si="14"/>
        <v>F</v>
      </c>
      <c r="V109" s="47" t="str">
        <f t="shared" si="14"/>
        <v>S</v>
      </c>
      <c r="W109" s="47" t="str">
        <f t="shared" si="14"/>
        <v>S</v>
      </c>
      <c r="X109" s="47" t="str">
        <f t="shared" si="14"/>
        <v>M</v>
      </c>
      <c r="Y109" s="48" t="str">
        <f t="shared" si="14"/>
        <v>T</v>
      </c>
      <c r="Z109" s="47" t="str">
        <f t="shared" si="14"/>
        <v>W</v>
      </c>
      <c r="AA109" s="47" t="str">
        <f t="shared" si="14"/>
        <v>T</v>
      </c>
      <c r="AB109" s="47" t="str">
        <f t="shared" si="14"/>
        <v>F</v>
      </c>
      <c r="AC109" s="47" t="str">
        <f t="shared" si="14"/>
        <v>S</v>
      </c>
      <c r="AD109" s="47" t="str">
        <f t="shared" si="14"/>
        <v>S</v>
      </c>
      <c r="AE109" s="47" t="str">
        <f t="shared" si="14"/>
        <v>M</v>
      </c>
      <c r="AF109" s="48" t="str">
        <f t="shared" si="14"/>
        <v>T</v>
      </c>
      <c r="AG109" s="47" t="str">
        <f t="shared" si="14"/>
        <v>W</v>
      </c>
      <c r="AH109" s="47" t="str">
        <f t="shared" si="14"/>
        <v>T</v>
      </c>
      <c r="AI109" s="47" t="str">
        <f t="shared" si="14"/>
        <v>F</v>
      </c>
      <c r="AJ109" s="47" t="str">
        <f t="shared" si="14"/>
        <v>S</v>
      </c>
      <c r="AK109" s="47" t="str">
        <f t="shared" si="14"/>
        <v>S</v>
      </c>
      <c r="AL109" s="47" t="str">
        <f t="shared" si="14"/>
        <v>M</v>
      </c>
    </row>
    <row r="110" spans="3:39" x14ac:dyDescent="0.35">
      <c r="C110" s="38" t="s">
        <v>190</v>
      </c>
      <c r="E110" s="47" t="str">
        <f>E$34</f>
        <v>20</v>
      </c>
      <c r="F110" s="47" t="str">
        <f t="shared" ref="F110:AL110" si="15">F34</f>
        <v>21</v>
      </c>
      <c r="G110" s="47" t="str">
        <f t="shared" si="15"/>
        <v>22</v>
      </c>
      <c r="H110" s="47" t="str">
        <f t="shared" si="15"/>
        <v>23</v>
      </c>
      <c r="I110" s="47" t="str">
        <f t="shared" si="15"/>
        <v>24</v>
      </c>
      <c r="J110" s="47" t="str">
        <f t="shared" si="15"/>
        <v>25</v>
      </c>
      <c r="K110" s="48" t="str">
        <f t="shared" si="15"/>
        <v>26</v>
      </c>
      <c r="L110" s="47" t="str">
        <f t="shared" si="15"/>
        <v>27</v>
      </c>
      <c r="M110" s="47" t="str">
        <f t="shared" si="15"/>
        <v>28</v>
      </c>
      <c r="N110" s="47" t="str">
        <f t="shared" si="15"/>
        <v>29</v>
      </c>
      <c r="O110" s="47" t="str">
        <f t="shared" si="15"/>
        <v>30</v>
      </c>
      <c r="P110" s="47" t="str">
        <f t="shared" si="15"/>
        <v>31</v>
      </c>
      <c r="Q110" s="47" t="str">
        <f t="shared" si="15"/>
        <v>01</v>
      </c>
      <c r="R110" s="48" t="str">
        <f t="shared" si="15"/>
        <v>02</v>
      </c>
      <c r="S110" s="47" t="str">
        <f t="shared" si="15"/>
        <v>03</v>
      </c>
      <c r="T110" s="47" t="str">
        <f t="shared" si="15"/>
        <v>04</v>
      </c>
      <c r="U110" s="47" t="str">
        <f t="shared" si="15"/>
        <v>05</v>
      </c>
      <c r="V110" s="47" t="str">
        <f t="shared" si="15"/>
        <v>06</v>
      </c>
      <c r="W110" s="47" t="str">
        <f t="shared" si="15"/>
        <v>07</v>
      </c>
      <c r="X110" s="47" t="str">
        <f t="shared" si="15"/>
        <v>08</v>
      </c>
      <c r="Y110" s="48" t="str">
        <f t="shared" si="15"/>
        <v>09</v>
      </c>
      <c r="Z110" s="47" t="str">
        <f t="shared" si="15"/>
        <v>10</v>
      </c>
      <c r="AA110" s="47" t="str">
        <f t="shared" si="15"/>
        <v>11</v>
      </c>
      <c r="AB110" s="47" t="str">
        <f t="shared" si="15"/>
        <v>12</v>
      </c>
      <c r="AC110" s="47" t="str">
        <f t="shared" si="15"/>
        <v>13</v>
      </c>
      <c r="AD110" s="47" t="str">
        <f t="shared" si="15"/>
        <v>14</v>
      </c>
      <c r="AE110" s="47" t="str">
        <f t="shared" si="15"/>
        <v>15</v>
      </c>
      <c r="AF110" s="48" t="str">
        <f t="shared" si="15"/>
        <v>16</v>
      </c>
      <c r="AG110" s="47" t="str">
        <f t="shared" si="15"/>
        <v>17</v>
      </c>
      <c r="AH110" s="47" t="str">
        <f t="shared" si="15"/>
        <v>18</v>
      </c>
      <c r="AI110" s="47" t="str">
        <f t="shared" si="15"/>
        <v>19</v>
      </c>
      <c r="AJ110" s="47" t="str">
        <f t="shared" si="15"/>
        <v>20</v>
      </c>
      <c r="AK110" s="47" t="str">
        <f t="shared" si="15"/>
        <v>21</v>
      </c>
      <c r="AL110" s="134" t="str">
        <f t="shared" si="15"/>
        <v>22</v>
      </c>
      <c r="AM110" s="183">
        <f>AM74</f>
        <v>2000</v>
      </c>
    </row>
    <row r="111" spans="3:39" x14ac:dyDescent="0.35"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184"/>
    </row>
    <row r="112" spans="3:39" x14ac:dyDescent="0.35"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</row>
    <row r="113" spans="3:39" x14ac:dyDescent="0.35">
      <c r="C113" s="2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</row>
    <row r="114" spans="3:39" x14ac:dyDescent="0.35">
      <c r="C114" s="2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</row>
    <row r="115" spans="3:39" x14ac:dyDescent="0.35">
      <c r="C115" s="2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</row>
    <row r="116" spans="3:39" x14ac:dyDescent="0.35">
      <c r="C116" s="2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</row>
    <row r="117" spans="3:39" x14ac:dyDescent="0.35"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</row>
    <row r="118" spans="3:39" x14ac:dyDescent="0.35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</row>
    <row r="119" spans="3:39" x14ac:dyDescent="0.35">
      <c r="E119" s="6" t="str">
        <f>E43</f>
        <v>D-20</v>
      </c>
      <c r="F119" s="6" t="str">
        <f t="shared" ref="F119:AL119" si="16">F43</f>
        <v>D-19</v>
      </c>
      <c r="G119" s="6" t="str">
        <f t="shared" si="16"/>
        <v>D-18</v>
      </c>
      <c r="H119" s="6" t="str">
        <f t="shared" si="16"/>
        <v>D-17</v>
      </c>
      <c r="I119" s="6" t="str">
        <f t="shared" si="16"/>
        <v>D-16</v>
      </c>
      <c r="J119" s="6" t="str">
        <f t="shared" si="16"/>
        <v>D-15</v>
      </c>
      <c r="K119" s="6" t="str">
        <f t="shared" si="16"/>
        <v>D-14</v>
      </c>
      <c r="L119" s="6" t="str">
        <f t="shared" si="16"/>
        <v>D-13</v>
      </c>
      <c r="M119" s="6" t="str">
        <f t="shared" si="16"/>
        <v>D-12</v>
      </c>
      <c r="N119" s="6" t="str">
        <f t="shared" si="16"/>
        <v>D-11</v>
      </c>
      <c r="O119" s="6" t="str">
        <f t="shared" si="16"/>
        <v>D-10</v>
      </c>
      <c r="P119" s="6" t="str">
        <f t="shared" si="16"/>
        <v>D-9</v>
      </c>
      <c r="Q119" s="6" t="str">
        <f t="shared" si="16"/>
        <v>D-8</v>
      </c>
      <c r="R119" s="6" t="str">
        <f t="shared" si="16"/>
        <v>D-7</v>
      </c>
      <c r="S119" s="6" t="str">
        <f t="shared" si="16"/>
        <v>D-6</v>
      </c>
      <c r="T119" s="6" t="str">
        <f t="shared" si="16"/>
        <v>D-5</v>
      </c>
      <c r="U119" s="6" t="str">
        <f t="shared" si="16"/>
        <v>D-4</v>
      </c>
      <c r="V119" s="6" t="str">
        <f t="shared" si="16"/>
        <v>D-3</v>
      </c>
      <c r="W119" s="6" t="str">
        <f t="shared" si="16"/>
        <v>D-2</v>
      </c>
      <c r="X119" s="6" t="str">
        <f t="shared" si="16"/>
        <v>D-1</v>
      </c>
      <c r="Y119" s="6" t="str">
        <f t="shared" si="16"/>
        <v>D</v>
      </c>
      <c r="Z119" s="6" t="str">
        <f t="shared" si="16"/>
        <v>D+1</v>
      </c>
      <c r="AA119" s="6" t="str">
        <f t="shared" si="16"/>
        <v>D+2</v>
      </c>
      <c r="AB119" s="6" t="str">
        <f t="shared" si="16"/>
        <v>D+3</v>
      </c>
      <c r="AC119" s="6" t="str">
        <f t="shared" si="16"/>
        <v>D+4</v>
      </c>
      <c r="AD119" s="6" t="str">
        <f t="shared" si="16"/>
        <v>D+5</v>
      </c>
      <c r="AE119" s="6" t="str">
        <f t="shared" si="16"/>
        <v>D+6</v>
      </c>
      <c r="AF119" s="6" t="str">
        <f t="shared" si="16"/>
        <v>D+7</v>
      </c>
      <c r="AG119" s="6" t="str">
        <f t="shared" si="16"/>
        <v>D+8</v>
      </c>
      <c r="AH119" s="6" t="str">
        <f t="shared" si="16"/>
        <v>D+9</v>
      </c>
      <c r="AI119" s="6" t="str">
        <f t="shared" si="16"/>
        <v>D+10</v>
      </c>
      <c r="AJ119" s="6" t="str">
        <f t="shared" si="16"/>
        <v>D+11</v>
      </c>
      <c r="AK119" s="6" t="str">
        <f t="shared" si="16"/>
        <v>D+12</v>
      </c>
      <c r="AL119" s="6" t="str">
        <f t="shared" si="16"/>
        <v>D+13</v>
      </c>
      <c r="AM119" s="6"/>
    </row>
    <row r="120" spans="3:39" x14ac:dyDescent="0.35">
      <c r="C120" s="3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</row>
    <row r="121" spans="3:39" hidden="1" x14ac:dyDescent="0.35">
      <c r="C121" s="2"/>
      <c r="E121" s="140"/>
      <c r="F121" s="140"/>
      <c r="G121" s="140"/>
      <c r="H121" s="140"/>
      <c r="I121" s="140"/>
      <c r="J121" s="140"/>
      <c r="K121" s="140"/>
      <c r="L121" s="140"/>
      <c r="M121" s="140"/>
      <c r="N121" s="140"/>
      <c r="O121" s="140"/>
      <c r="P121" s="14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40"/>
      <c r="AF121" s="140"/>
      <c r="AG121" s="140"/>
      <c r="AH121" s="140"/>
      <c r="AI121" s="140"/>
      <c r="AJ121" s="140"/>
      <c r="AK121" s="140"/>
      <c r="AL121" s="140"/>
    </row>
    <row r="122" spans="3:39" hidden="1" x14ac:dyDescent="0.35">
      <c r="C122" s="2"/>
      <c r="E122" s="140"/>
      <c r="F122" s="140"/>
      <c r="G122" s="140"/>
      <c r="H122" s="140"/>
      <c r="I122" s="140"/>
      <c r="J122" s="140"/>
      <c r="K122" s="140"/>
      <c r="L122" s="140"/>
      <c r="M122" s="140"/>
      <c r="N122" s="140"/>
      <c r="O122" s="140"/>
      <c r="P122" s="140"/>
      <c r="Q122" s="140"/>
      <c r="R122" s="140"/>
      <c r="S122" s="140"/>
      <c r="T122" s="140"/>
      <c r="U122" s="140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40"/>
      <c r="AF122" s="140"/>
      <c r="AG122" s="140"/>
      <c r="AH122" s="140"/>
      <c r="AI122" s="140"/>
      <c r="AJ122" s="140"/>
      <c r="AK122" s="140"/>
      <c r="AL122" s="140"/>
    </row>
    <row r="123" spans="3:39" hidden="1" x14ac:dyDescent="0.35">
      <c r="C123" s="2"/>
      <c r="E123" s="140"/>
      <c r="F123" s="140"/>
      <c r="G123" s="140"/>
      <c r="H123" s="140"/>
      <c r="I123" s="140"/>
      <c r="J123" s="140"/>
      <c r="K123" s="140"/>
      <c r="L123" s="140"/>
      <c r="M123" s="140"/>
      <c r="N123" s="140"/>
      <c r="O123" s="140"/>
      <c r="P123" s="140"/>
      <c r="Q123" s="140"/>
      <c r="R123" s="140"/>
      <c r="S123" s="140"/>
      <c r="T123" s="140"/>
      <c r="U123" s="140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40"/>
      <c r="AF123" s="140"/>
      <c r="AG123" s="140"/>
      <c r="AH123" s="140"/>
      <c r="AI123" s="140"/>
      <c r="AJ123" s="140"/>
      <c r="AK123" s="140"/>
      <c r="AL123" s="140"/>
    </row>
    <row r="124" spans="3:39" hidden="1" x14ac:dyDescent="0.35">
      <c r="C124" s="2"/>
      <c r="E124" s="140"/>
      <c r="F124" s="140"/>
      <c r="G124" s="140"/>
      <c r="H124" s="140"/>
      <c r="I124" s="140"/>
      <c r="J124" s="140"/>
      <c r="K124" s="140"/>
      <c r="L124" s="140"/>
      <c r="M124" s="140"/>
      <c r="N124" s="140"/>
      <c r="O124" s="140"/>
      <c r="P124" s="140"/>
      <c r="Q124" s="140"/>
      <c r="R124" s="140"/>
      <c r="S124" s="140"/>
      <c r="T124" s="140"/>
      <c r="U124" s="140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40"/>
      <c r="AF124" s="140"/>
      <c r="AG124" s="140"/>
      <c r="AH124" s="140"/>
      <c r="AI124" s="140"/>
      <c r="AJ124" s="140"/>
      <c r="AK124" s="140"/>
      <c r="AL124" s="140"/>
    </row>
    <row r="125" spans="3:39" hidden="1" x14ac:dyDescent="0.3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</row>
    <row r="126" spans="3:39" x14ac:dyDescent="0.35">
      <c r="C126" s="3" t="s">
        <v>16</v>
      </c>
      <c r="D126" s="3" t="s">
        <v>80</v>
      </c>
      <c r="E126" s="14">
        <f>Prereport!E10</f>
        <v>543.43601999999998</v>
      </c>
      <c r="F126" s="14">
        <f>Prereport!F10</f>
        <v>492.31577479999999</v>
      </c>
      <c r="G126" s="14">
        <f>Prereport!G10</f>
        <v>456.78592350000002</v>
      </c>
      <c r="H126" s="14">
        <f>Prereport!H10</f>
        <v>323.9616585</v>
      </c>
      <c r="I126" s="14">
        <f>Prereport!I10</f>
        <v>318.96588150000002</v>
      </c>
      <c r="J126" s="14">
        <f>Prereport!J10</f>
        <v>425.32014299999997</v>
      </c>
      <c r="K126" s="14">
        <f>Prereport!K10</f>
        <v>488.8863743</v>
      </c>
      <c r="L126" s="14">
        <f>Prereport!L10</f>
        <v>445.70360030000001</v>
      </c>
      <c r="M126" s="14">
        <f>Prereport!M10</f>
        <v>0</v>
      </c>
      <c r="N126" s="14">
        <f>Prereport!N10</f>
        <v>0</v>
      </c>
      <c r="O126" s="14">
        <f>Prereport!O10</f>
        <v>0</v>
      </c>
      <c r="P126" s="14">
        <f>Prereport!P10</f>
        <v>0</v>
      </c>
      <c r="Q126" s="14">
        <f>Prereport!Q10</f>
        <v>392.52216829999998</v>
      </c>
      <c r="R126" s="14">
        <f>Prereport!R10</f>
        <v>337.24416830000001</v>
      </c>
      <c r="S126" s="14">
        <f>Prereport!S10</f>
        <v>488.78031370000002</v>
      </c>
      <c r="T126" s="14">
        <f>Prereport!T10</f>
        <v>561.44199600000002</v>
      </c>
      <c r="U126" s="14">
        <f>Prereport!U10</f>
        <v>445.42160469999999</v>
      </c>
      <c r="V126" s="14">
        <f>Prereport!V10</f>
        <v>432.042081</v>
      </c>
      <c r="W126" s="14">
        <f>Prereport!W10</f>
        <v>348.08878499999997</v>
      </c>
      <c r="X126" s="14">
        <f>Prereport!X10</f>
        <v>481.58440569999999</v>
      </c>
      <c r="Y126" s="14">
        <f>Prereport!Y10</f>
        <v>568.17971473409011</v>
      </c>
      <c r="Z126" s="14">
        <f>Prereport!Z10</f>
        <v>602.00304096200705</v>
      </c>
      <c r="AA126" s="14">
        <f>Prereport!AA10</f>
        <v>625.39423834144054</v>
      </c>
      <c r="AB126" s="14">
        <f>Prereport!AB10</f>
        <v>594.94384539907037</v>
      </c>
      <c r="AC126" s="14">
        <f>Prereport!AC10</f>
        <v>448.73270910683044</v>
      </c>
      <c r="AD126" s="14">
        <f>Prereport!AD10</f>
        <v>404.03570607186725</v>
      </c>
      <c r="AE126" s="14">
        <f>Prereport!AE10</f>
        <v>595.19588553170399</v>
      </c>
      <c r="AF126" s="14">
        <f>Prereport!AF10</f>
        <v>619.92662563039846</v>
      </c>
      <c r="AG126" s="14">
        <f>Prereport!AG10</f>
        <v>637.3068353339039</v>
      </c>
      <c r="AH126" s="14">
        <f>Prereport!AH10</f>
        <v>649.47538355940321</v>
      </c>
      <c r="AI126" s="14">
        <f>Prereport!AI10</f>
        <v>630.75915261968987</v>
      </c>
      <c r="AJ126" s="14">
        <f>Prereport!AJ10</f>
        <v>477.13858643089804</v>
      </c>
      <c r="AK126" s="14">
        <f>Prereport!AK10</f>
        <v>428.34673693450924</v>
      </c>
      <c r="AL126" s="14">
        <f>Prereport!AL10</f>
        <v>633.74884584477149</v>
      </c>
    </row>
    <row r="127" spans="3:39" x14ac:dyDescent="0.35">
      <c r="C127" s="9" t="s">
        <v>87</v>
      </c>
      <c r="D127" s="9" t="s">
        <v>80</v>
      </c>
      <c r="E127" s="18"/>
      <c r="F127" s="18"/>
      <c r="G127" s="18"/>
      <c r="H127" s="18"/>
      <c r="I127" s="18"/>
      <c r="J127" s="18"/>
      <c r="K127" s="18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50">
        <f>W126-Prereport!W$12</f>
        <v>-19.232039304179921</v>
      </c>
      <c r="X127" s="150">
        <f>X126-Prereport!X$12</f>
        <v>-29.819862751992389</v>
      </c>
      <c r="Y127" s="142">
        <f>Y126-Prereport!Y$12</f>
        <v>18.482745225417602</v>
      </c>
      <c r="Z127" s="142">
        <f>Z126-Prereport!Z$12</f>
        <v>24.146905234884343</v>
      </c>
      <c r="AA127" s="142">
        <f>AA126-Prereport!AA$12</f>
        <v>28.091081210633774</v>
      </c>
      <c r="AB127" s="142">
        <f>AB126-Prereport!AB$12</f>
        <v>10.260620566093053</v>
      </c>
      <c r="AC127" s="142">
        <f>AC126-Prereport!AC$12</f>
        <v>6.1975686933112115</v>
      </c>
      <c r="AD127" s="142">
        <f>AD126-Prereport!AD$12</f>
        <v>6.3129334245932682</v>
      </c>
      <c r="AE127" s="142">
        <f>AE126-Prereport!AE$12</f>
        <v>9.8963967631581227</v>
      </c>
      <c r="AF127" s="142">
        <f>AF126-Prereport!AF$12</f>
        <v>11.637308950804595</v>
      </c>
      <c r="AG127" s="142">
        <f>AG126-Prereport!AG$12</f>
        <v>13.0176228398999</v>
      </c>
      <c r="AH127" s="142">
        <f>AH126-Prereport!AH$12</f>
        <v>13.903737003171159</v>
      </c>
      <c r="AI127" s="142">
        <f>AI126-Prereport!AI$12</f>
        <v>14.328082713638537</v>
      </c>
      <c r="AJ127" s="142">
        <f>AJ126-Prereport!AJ$12</f>
        <v>10.299531076714686</v>
      </c>
      <c r="AK127" s="142">
        <f>AK126-Prereport!AK$12</f>
        <v>9.2985643725342015</v>
      </c>
      <c r="AL127" s="143"/>
    </row>
    <row r="128" spans="3:39" x14ac:dyDescent="0.35">
      <c r="C128" s="28" t="s">
        <v>196</v>
      </c>
      <c r="D128" s="11" t="s">
        <v>80</v>
      </c>
      <c r="E128" s="13"/>
      <c r="F128" s="13"/>
      <c r="G128" s="13"/>
      <c r="H128" s="13"/>
      <c r="I128" s="13"/>
      <c r="J128" s="13"/>
      <c r="K128" s="13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5">
        <f>Y126-$X$126</f>
        <v>86.595309034090121</v>
      </c>
      <c r="Z128" s="145">
        <f t="shared" ref="Z128:AL128" si="17">Z126-$X$126</f>
        <v>120.41863526200706</v>
      </c>
      <c r="AA128" s="145">
        <f t="shared" si="17"/>
        <v>143.80983264144055</v>
      </c>
      <c r="AB128" s="145">
        <f t="shared" si="17"/>
        <v>113.35943969907038</v>
      </c>
      <c r="AC128" s="145">
        <f t="shared" si="17"/>
        <v>-32.851696593169549</v>
      </c>
      <c r="AD128" s="145">
        <f t="shared" si="17"/>
        <v>-77.548699628132738</v>
      </c>
      <c r="AE128" s="145">
        <f t="shared" si="17"/>
        <v>113.611479831704</v>
      </c>
      <c r="AF128" s="145">
        <f t="shared" si="17"/>
        <v>138.34221993039847</v>
      </c>
      <c r="AG128" s="145">
        <f t="shared" si="17"/>
        <v>155.72242963390391</v>
      </c>
      <c r="AH128" s="145">
        <f t="shared" si="17"/>
        <v>167.89097785940322</v>
      </c>
      <c r="AI128" s="145">
        <f t="shared" si="17"/>
        <v>149.17474691968988</v>
      </c>
      <c r="AJ128" s="145">
        <f t="shared" si="17"/>
        <v>-4.4458192691019462</v>
      </c>
      <c r="AK128" s="145">
        <f t="shared" si="17"/>
        <v>-53.237668765490753</v>
      </c>
      <c r="AL128" s="145">
        <f t="shared" si="17"/>
        <v>152.1644401447715</v>
      </c>
    </row>
    <row r="129" spans="3:53" x14ac:dyDescent="0.35">
      <c r="C129" s="9" t="s">
        <v>197</v>
      </c>
      <c r="D129" s="2" t="s">
        <v>80</v>
      </c>
      <c r="E129" s="5"/>
      <c r="F129" s="5"/>
      <c r="G129" s="5"/>
      <c r="H129" s="5"/>
      <c r="I129" s="5"/>
      <c r="J129" s="5"/>
      <c r="K129" s="5"/>
      <c r="L129" s="146">
        <f>L126-E126</f>
        <v>-97.73241969999998</v>
      </c>
      <c r="M129" s="146">
        <f t="shared" ref="M129:AL129" si="18">M126-F126</f>
        <v>-492.31577479999999</v>
      </c>
      <c r="N129" s="146">
        <f t="shared" si="18"/>
        <v>-456.78592350000002</v>
      </c>
      <c r="O129" s="146">
        <f t="shared" si="18"/>
        <v>-323.9616585</v>
      </c>
      <c r="P129" s="146">
        <f t="shared" si="18"/>
        <v>-318.96588150000002</v>
      </c>
      <c r="Q129" s="146">
        <f t="shared" si="18"/>
        <v>-32.797974699999997</v>
      </c>
      <c r="R129" s="146">
        <f t="shared" si="18"/>
        <v>-151.64220599999999</v>
      </c>
      <c r="S129" s="146">
        <f t="shared" si="18"/>
        <v>43.076713400000017</v>
      </c>
      <c r="T129" s="146">
        <f t="shared" si="18"/>
        <v>561.44199600000002</v>
      </c>
      <c r="U129" s="146">
        <f t="shared" si="18"/>
        <v>445.42160469999999</v>
      </c>
      <c r="V129" s="146">
        <f t="shared" si="18"/>
        <v>432.042081</v>
      </c>
      <c r="W129" s="146">
        <f t="shared" si="18"/>
        <v>348.08878499999997</v>
      </c>
      <c r="X129" s="146">
        <f t="shared" si="18"/>
        <v>89.062237400000015</v>
      </c>
      <c r="Y129" s="146">
        <f t="shared" si="18"/>
        <v>230.9355464340901</v>
      </c>
      <c r="Z129" s="146">
        <f t="shared" si="18"/>
        <v>113.22272726200703</v>
      </c>
      <c r="AA129" s="146">
        <f t="shared" si="18"/>
        <v>63.952242341440524</v>
      </c>
      <c r="AB129" s="146">
        <f t="shared" si="18"/>
        <v>149.52224069907038</v>
      </c>
      <c r="AC129" s="146">
        <f t="shared" si="18"/>
        <v>16.690628106830445</v>
      </c>
      <c r="AD129" s="146">
        <f t="shared" si="18"/>
        <v>55.94692107186728</v>
      </c>
      <c r="AE129" s="146">
        <f t="shared" si="18"/>
        <v>113.611479831704</v>
      </c>
      <c r="AF129" s="146">
        <f t="shared" si="18"/>
        <v>51.74691089630835</v>
      </c>
      <c r="AG129" s="146">
        <f t="shared" si="18"/>
        <v>35.303794371896856</v>
      </c>
      <c r="AH129" s="146">
        <f t="shared" si="18"/>
        <v>24.081145217962671</v>
      </c>
      <c r="AI129" s="146">
        <f t="shared" si="18"/>
        <v>35.815307220619502</v>
      </c>
      <c r="AJ129" s="146">
        <f t="shared" si="18"/>
        <v>28.405877324067603</v>
      </c>
      <c r="AK129" s="146">
        <f t="shared" si="18"/>
        <v>24.311030862641985</v>
      </c>
      <c r="AL129" s="146">
        <f t="shared" si="18"/>
        <v>38.552960313067501</v>
      </c>
    </row>
    <row r="130" spans="3:53" x14ac:dyDescent="0.35">
      <c r="C130" s="11" t="s">
        <v>198</v>
      </c>
      <c r="D130" s="11" t="s">
        <v>80</v>
      </c>
      <c r="E130" s="13"/>
      <c r="F130" s="13"/>
      <c r="G130" s="13"/>
      <c r="H130" s="13"/>
      <c r="I130" s="13"/>
      <c r="J130" s="13"/>
      <c r="K130" s="13"/>
      <c r="L130" s="144"/>
      <c r="M130" s="144"/>
      <c r="N130" s="144"/>
      <c r="O130" s="144"/>
      <c r="P130" s="144"/>
      <c r="Q130" s="144"/>
      <c r="R130" s="144"/>
      <c r="S130" s="145">
        <f>S126-E126</f>
        <v>-54.655706299999963</v>
      </c>
      <c r="T130" s="145">
        <f t="shared" ref="T130:AL130" si="19">T126-F126</f>
        <v>69.126221200000032</v>
      </c>
      <c r="U130" s="145">
        <f t="shared" si="19"/>
        <v>-11.364318800000035</v>
      </c>
      <c r="V130" s="145">
        <f t="shared" si="19"/>
        <v>108.0804225</v>
      </c>
      <c r="W130" s="145">
        <f t="shared" si="19"/>
        <v>29.12290349999995</v>
      </c>
      <c r="X130" s="145">
        <f t="shared" si="19"/>
        <v>56.264262700000018</v>
      </c>
      <c r="Y130" s="145">
        <f t="shared" si="19"/>
        <v>79.293340434090112</v>
      </c>
      <c r="Z130" s="145">
        <f t="shared" si="19"/>
        <v>156.29944066200704</v>
      </c>
      <c r="AA130" s="145">
        <f t="shared" si="19"/>
        <v>625.39423834144054</v>
      </c>
      <c r="AB130" s="145">
        <f t="shared" si="19"/>
        <v>594.94384539907037</v>
      </c>
      <c r="AC130" s="145">
        <f t="shared" si="19"/>
        <v>448.73270910683044</v>
      </c>
      <c r="AD130" s="145">
        <f t="shared" si="19"/>
        <v>404.03570607186725</v>
      </c>
      <c r="AE130" s="145">
        <f t="shared" si="19"/>
        <v>202.67371723170402</v>
      </c>
      <c r="AF130" s="145">
        <f t="shared" si="19"/>
        <v>282.68245733039845</v>
      </c>
      <c r="AG130" s="145">
        <f t="shared" si="19"/>
        <v>148.52652163390388</v>
      </c>
      <c r="AH130" s="145">
        <f t="shared" si="19"/>
        <v>88.033387559403195</v>
      </c>
      <c r="AI130" s="145">
        <f t="shared" si="19"/>
        <v>185.33754791968988</v>
      </c>
      <c r="AJ130" s="145">
        <f t="shared" si="19"/>
        <v>45.096505430898048</v>
      </c>
      <c r="AK130" s="145">
        <f t="shared" si="19"/>
        <v>80.257951934509265</v>
      </c>
      <c r="AL130" s="145">
        <f t="shared" si="19"/>
        <v>152.1644401447715</v>
      </c>
    </row>
    <row r="131" spans="3:53" hidden="1" x14ac:dyDescent="0.35">
      <c r="C131" s="3" t="s">
        <v>1</v>
      </c>
      <c r="D131" s="3" t="s">
        <v>80</v>
      </c>
      <c r="E131" s="44">
        <f>Prereport!E2</f>
        <v>2000</v>
      </c>
      <c r="F131" s="44">
        <f>Prereport!F2</f>
        <v>2000</v>
      </c>
      <c r="G131" s="44">
        <f>Prereport!G2</f>
        <v>2000</v>
      </c>
      <c r="H131" s="44">
        <f>Prereport!H2</f>
        <v>2000</v>
      </c>
      <c r="I131" s="44">
        <f>Prereport!I2</f>
        <v>2000</v>
      </c>
      <c r="J131" s="44">
        <f>Prereport!J2</f>
        <v>2000</v>
      </c>
      <c r="K131" s="44">
        <f>Prereport!K2</f>
        <v>2000</v>
      </c>
      <c r="L131" s="44">
        <f>Prereport!L2</f>
        <v>2000</v>
      </c>
      <c r="M131" s="44">
        <f>Prereport!M2</f>
        <v>2000</v>
      </c>
      <c r="N131" s="44">
        <f>Prereport!N2</f>
        <v>2000</v>
      </c>
      <c r="O131" s="44">
        <f>Prereport!O2</f>
        <v>2000</v>
      </c>
      <c r="P131" s="44">
        <f>Prereport!P2</f>
        <v>2000</v>
      </c>
      <c r="Q131" s="44">
        <f>Prereport!Q2</f>
        <v>2000</v>
      </c>
      <c r="R131" s="44">
        <f>Prereport!R2</f>
        <v>2000</v>
      </c>
      <c r="S131" s="44">
        <f>Prereport!S2</f>
        <v>2000</v>
      </c>
      <c r="T131" s="44">
        <f>Prereport!T2</f>
        <v>2000</v>
      </c>
      <c r="U131" s="44">
        <f>Prereport!U2</f>
        <v>2000</v>
      </c>
      <c r="V131" s="44">
        <f>Prereport!V2</f>
        <v>2000</v>
      </c>
      <c r="W131" s="44">
        <f>Prereport!W2</f>
        <v>2000</v>
      </c>
      <c r="X131" s="44">
        <f>Prereport!X2</f>
        <v>2000</v>
      </c>
      <c r="Y131" s="44">
        <f>Prereport!Y2</f>
        <v>2000</v>
      </c>
      <c r="Z131" s="44">
        <f>Prereport!Z2</f>
        <v>2000</v>
      </c>
      <c r="AA131" s="44">
        <f>Prereport!AA2</f>
        <v>2000</v>
      </c>
      <c r="AB131" s="44">
        <f>Prereport!AB2</f>
        <v>2000</v>
      </c>
      <c r="AC131" s="44">
        <f>Prereport!AC2</f>
        <v>2000</v>
      </c>
      <c r="AD131" s="44">
        <f>Prereport!AD2</f>
        <v>2000</v>
      </c>
      <c r="AE131" s="44">
        <f>Prereport!AE2</f>
        <v>2000</v>
      </c>
      <c r="AF131" s="44">
        <f>Prereport!AF2</f>
        <v>2000</v>
      </c>
      <c r="AG131" s="44">
        <f>Prereport!AG2</f>
        <v>2000</v>
      </c>
      <c r="AH131" s="44">
        <f>Prereport!AH2</f>
        <v>2000</v>
      </c>
      <c r="AI131" s="44">
        <f>Prereport!AI2</f>
        <v>2000</v>
      </c>
      <c r="AJ131" s="44">
        <f>Prereport!AJ2</f>
        <v>2000</v>
      </c>
      <c r="AK131" s="44">
        <f>Prereport!AK2</f>
        <v>2000</v>
      </c>
      <c r="AL131" s="44">
        <f>Prereport!AL2</f>
        <v>2000</v>
      </c>
    </row>
    <row r="132" spans="3:53" hidden="1" x14ac:dyDescent="0.35">
      <c r="C132" s="31" t="s">
        <v>2</v>
      </c>
      <c r="D132" s="3" t="s">
        <v>3</v>
      </c>
      <c r="E132" s="17">
        <f>MyBar("CON_POW_1",E111:E118,E126,E131)</f>
        <v>0.27171801000000001</v>
      </c>
      <c r="F132" s="17">
        <f>MyBar("CON_POW_2",F111:F118,F126,F131)</f>
        <v>0.2461578874</v>
      </c>
      <c r="G132" s="17">
        <f>MyBar("CON_POW_3",G111:G118,G126,G131)</f>
        <v>0.22839296175000001</v>
      </c>
      <c r="H132" s="17">
        <f>MyBar("CON_POW_4",H111:H118,H126,H131)</f>
        <v>0.16198082924999999</v>
      </c>
      <c r="I132" s="17">
        <f>MyBar("CON_POW_5",I111:I118,I126,I131)</f>
        <v>0.15948294075000002</v>
      </c>
      <c r="J132" s="17">
        <f>MyBar("CON_POW_6",J111:J118,J126,J131)</f>
        <v>0.21266007149999999</v>
      </c>
      <c r="K132" s="17">
        <f>MyBar("CON_POW_7",K111:K118,K126,K131)</f>
        <v>0.24444318714999999</v>
      </c>
      <c r="L132" s="17">
        <f>MyBar("CON_POW_8",L111:L118,L126,L131)</f>
        <v>0.22285180015</v>
      </c>
      <c r="M132" s="17">
        <f>MyBar("CON_POW_9",M111:M118,M126,M131)</f>
        <v>0</v>
      </c>
      <c r="N132" s="17">
        <f>MyBar("CON_POW_10",N111:N118,N126,N131)</f>
        <v>0</v>
      </c>
      <c r="O132" s="17">
        <f>MyBar("CON_POW_11",O111:O118,O126,O131)</f>
        <v>0</v>
      </c>
      <c r="P132" s="17">
        <f>MyBar("CON_POW_12",P111:P118,P126,P131)</f>
        <v>0</v>
      </c>
      <c r="Q132" s="17">
        <f>MyBar("CON_POW_13",Q111:Q118,Q126,Q131)</f>
        <v>0.19626108414999999</v>
      </c>
      <c r="R132" s="17">
        <f>MyBar("CON_POW_14",R111:R118,R126,R131)</f>
        <v>0.16862208415000002</v>
      </c>
      <c r="S132" s="17">
        <f>MyBar("CON_POW_15",S111:S118,S126,S131)</f>
        <v>0.24439015685000001</v>
      </c>
      <c r="T132" s="17">
        <f>MyBar("CON_POW_16",T111:T118,T126,T131)</f>
        <v>0.280720998</v>
      </c>
      <c r="U132" s="17">
        <f>MyBar("CON_POW_17",U111:U118,U126,U131)</f>
        <v>0.22271080234999999</v>
      </c>
      <c r="V132" s="17">
        <f>MyBar("CON_POW_18",V111:V118,V126,V131)</f>
        <v>0.21602104050000001</v>
      </c>
      <c r="W132" s="17">
        <f>MyBar("CON_POW_19",W111:W118,W126,W131)</f>
        <v>0.17404439249999998</v>
      </c>
      <c r="X132" s="17">
        <f>MyBar("CON_POW_20",X111:X118,X126,X131)</f>
        <v>0.24079220285</v>
      </c>
      <c r="Y132" s="17">
        <f>MyBar("CON_POW_21",Y111:Y118,Y126,Y131)</f>
        <v>0.28408985736704506</v>
      </c>
      <c r="Z132" s="17">
        <f>MyBar("CON_POW_22",Z111:Z118,Z126,Z131)</f>
        <v>0.30100152048100354</v>
      </c>
      <c r="AA132" s="17">
        <f>MyBar("CON_POW_23",AA111:AA118,AA126,AA131)</f>
        <v>0.31269711917072029</v>
      </c>
      <c r="AB132" s="17">
        <f>MyBar("CON_POW_24",AB111:AB118,AB126,AB131)</f>
        <v>0.29747192269953521</v>
      </c>
      <c r="AC132" s="17">
        <f>MyBar("CON_POW_25",AC111:AC118,AC126,AC131)</f>
        <v>0.22436635455341522</v>
      </c>
      <c r="AD132" s="17">
        <f>MyBar("CON_POW_26",AD111:AD118,AD126,AD131)</f>
        <v>0.20201785303593361</v>
      </c>
      <c r="AE132" s="17">
        <f>MyBar("CON_POW_27",AE111:AE118,AE126,AE131)</f>
        <v>0.297597942765852</v>
      </c>
      <c r="AF132" s="17">
        <f>MyBar("CON_POW_28",AF111:AF118,AF126,AF131)</f>
        <v>0.30996331281519923</v>
      </c>
      <c r="AG132" s="17">
        <f>MyBar("CON_POW_29",AG111:AG118,AG126,AG131)</f>
        <v>0.31865341766695193</v>
      </c>
      <c r="AH132" s="17">
        <f>MyBar("CON_POW_30",AH111:AH118,AH126,AH131)</f>
        <v>0.32473769177970163</v>
      </c>
      <c r="AI132" s="17">
        <f>MyBar("CON_POW_31",AI111:AI118,AI126,AI131)</f>
        <v>0.31537957630984492</v>
      </c>
      <c r="AJ132" s="17">
        <f>MyBar("CON_POW_32",AJ111:AJ118,AJ126,AJ131)</f>
        <v>0.23856929321544904</v>
      </c>
      <c r="AK132" s="17">
        <f>MyBar("CON_POW_33",AK111:AK118,AK126,AK131)</f>
        <v>0.21417336846725463</v>
      </c>
      <c r="AL132" s="17">
        <f>MyBar("CON_POW_34",AL111:AL118,AL126,AL131)</f>
        <v>0.31687442292238577</v>
      </c>
    </row>
    <row r="133" spans="3:53" hidden="1" x14ac:dyDescent="0.35">
      <c r="C133" s="31"/>
      <c r="D133" s="3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</row>
    <row r="134" spans="3:53" hidden="1" x14ac:dyDescent="0.35">
      <c r="C134" s="31" t="s">
        <v>208</v>
      </c>
      <c r="D134" s="3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Z134" s="101" t="s">
        <v>13</v>
      </c>
      <c r="BA134" s="156" t="e">
        <f>#REF!/1000</f>
        <v>#REF!</v>
      </c>
    </row>
    <row r="135" spans="3:53" hidden="1" x14ac:dyDescent="0.35">
      <c r="C135" s="31" t="s">
        <v>9</v>
      </c>
      <c r="D135" s="3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Z135" s="101" t="s">
        <v>12</v>
      </c>
      <c r="BA135" s="156">
        <f>MAX(E135:AB137)</f>
        <v>0</v>
      </c>
    </row>
    <row r="136" spans="3:53" hidden="1" x14ac:dyDescent="0.35">
      <c r="C136" s="31" t="s">
        <v>10</v>
      </c>
      <c r="D136" s="3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Z136" s="101" t="s">
        <v>14</v>
      </c>
      <c r="BA136" s="101" t="e">
        <f>2*MAX(ABS(BA134),ABS(BA135))</f>
        <v>#REF!</v>
      </c>
    </row>
    <row r="137" spans="3:53" hidden="1" x14ac:dyDescent="0.35">
      <c r="C137" s="31" t="s">
        <v>11</v>
      </c>
      <c r="D137" s="3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</row>
    <row r="138" spans="3:53" hidden="1" x14ac:dyDescent="0.35">
      <c r="C138" s="31" t="s">
        <v>5</v>
      </c>
      <c r="D138" s="3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</row>
    <row r="139" spans="3:53" x14ac:dyDescent="0.35">
      <c r="C139" s="51"/>
      <c r="D139" s="51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127"/>
      <c r="V139" s="127"/>
      <c r="W139" s="127"/>
      <c r="X139" s="127"/>
      <c r="Y139" s="127"/>
      <c r="Z139" s="127"/>
      <c r="AA139" s="127"/>
      <c r="AB139" s="127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</row>
    <row r="140" spans="3:53" x14ac:dyDescent="0.35">
      <c r="C140" s="51"/>
      <c r="D140" s="51"/>
      <c r="E140" s="127"/>
      <c r="F140" s="127"/>
      <c r="G140" s="127"/>
      <c r="H140" s="127"/>
      <c r="I140" s="127"/>
      <c r="J140" s="127"/>
      <c r="K140" s="127"/>
      <c r="L140" s="127"/>
      <c r="M140" s="127"/>
      <c r="N140" s="127"/>
      <c r="O140" s="127"/>
      <c r="P140" s="127"/>
      <c r="Q140" s="127"/>
      <c r="R140" s="127"/>
      <c r="S140" s="127"/>
      <c r="T140" s="127"/>
      <c r="U140" s="127"/>
      <c r="V140" s="127"/>
      <c r="W140" s="127"/>
      <c r="X140" s="127"/>
      <c r="Y140" s="127"/>
      <c r="Z140" s="127"/>
      <c r="AA140" s="127"/>
      <c r="AB140" s="127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</row>
    <row r="141" spans="3:53" x14ac:dyDescent="0.35">
      <c r="C141" s="38" t="s">
        <v>192</v>
      </c>
      <c r="E141" s="47" t="str">
        <f>E$33</f>
        <v>W</v>
      </c>
      <c r="F141" s="47" t="str">
        <f t="shared" ref="F141:AL141" si="20">F$33</f>
        <v>T</v>
      </c>
      <c r="G141" s="47" t="str">
        <f t="shared" si="20"/>
        <v>F</v>
      </c>
      <c r="H141" s="47" t="str">
        <f t="shared" si="20"/>
        <v>S</v>
      </c>
      <c r="I141" s="47" t="str">
        <f t="shared" si="20"/>
        <v>S</v>
      </c>
      <c r="J141" s="47" t="str">
        <f t="shared" si="20"/>
        <v>M</v>
      </c>
      <c r="K141" s="48" t="str">
        <f t="shared" si="20"/>
        <v>T</v>
      </c>
      <c r="L141" s="47" t="str">
        <f t="shared" si="20"/>
        <v>W</v>
      </c>
      <c r="M141" s="47" t="str">
        <f t="shared" si="20"/>
        <v>T</v>
      </c>
      <c r="N141" s="47" t="str">
        <f t="shared" si="20"/>
        <v>F</v>
      </c>
      <c r="O141" s="47" t="str">
        <f t="shared" si="20"/>
        <v>S</v>
      </c>
      <c r="P141" s="47" t="str">
        <f t="shared" si="20"/>
        <v>S</v>
      </c>
      <c r="Q141" s="47" t="str">
        <f t="shared" si="20"/>
        <v>M</v>
      </c>
      <c r="R141" s="48" t="str">
        <f t="shared" si="20"/>
        <v>T</v>
      </c>
      <c r="S141" s="47" t="str">
        <f t="shared" si="20"/>
        <v>W</v>
      </c>
      <c r="T141" s="47" t="str">
        <f t="shared" si="20"/>
        <v>T</v>
      </c>
      <c r="U141" s="47" t="str">
        <f t="shared" si="20"/>
        <v>F</v>
      </c>
      <c r="V141" s="47" t="str">
        <f t="shared" si="20"/>
        <v>S</v>
      </c>
      <c r="W141" s="47" t="str">
        <f t="shared" si="20"/>
        <v>S</v>
      </c>
      <c r="X141" s="47" t="str">
        <f t="shared" si="20"/>
        <v>M</v>
      </c>
      <c r="Y141" s="48" t="str">
        <f t="shared" si="20"/>
        <v>T</v>
      </c>
      <c r="Z141" s="47" t="str">
        <f t="shared" si="20"/>
        <v>W</v>
      </c>
      <c r="AA141" s="47" t="str">
        <f t="shared" si="20"/>
        <v>T</v>
      </c>
      <c r="AB141" s="47" t="str">
        <f t="shared" si="20"/>
        <v>F</v>
      </c>
      <c r="AC141" s="47" t="str">
        <f t="shared" si="20"/>
        <v>S</v>
      </c>
      <c r="AD141" s="47" t="str">
        <f t="shared" si="20"/>
        <v>S</v>
      </c>
      <c r="AE141" s="47" t="str">
        <f t="shared" si="20"/>
        <v>M</v>
      </c>
      <c r="AF141" s="48" t="str">
        <f t="shared" si="20"/>
        <v>T</v>
      </c>
      <c r="AG141" s="47" t="str">
        <f t="shared" si="20"/>
        <v>W</v>
      </c>
      <c r="AH141" s="47" t="str">
        <f t="shared" si="20"/>
        <v>T</v>
      </c>
      <c r="AI141" s="47" t="str">
        <f t="shared" si="20"/>
        <v>F</v>
      </c>
      <c r="AJ141" s="47" t="str">
        <f t="shared" si="20"/>
        <v>S</v>
      </c>
      <c r="AK141" s="47" t="str">
        <f t="shared" si="20"/>
        <v>S</v>
      </c>
      <c r="AL141" s="47" t="str">
        <f t="shared" si="20"/>
        <v>M</v>
      </c>
    </row>
    <row r="142" spans="3:53" x14ac:dyDescent="0.35">
      <c r="C142" s="38" t="s">
        <v>193</v>
      </c>
      <c r="E142" s="47" t="str">
        <f>E$34</f>
        <v>20</v>
      </c>
      <c r="F142" s="47" t="str">
        <f t="shared" ref="F142:AL142" si="21">F$34</f>
        <v>21</v>
      </c>
      <c r="G142" s="47" t="str">
        <f t="shared" si="21"/>
        <v>22</v>
      </c>
      <c r="H142" s="47" t="str">
        <f t="shared" si="21"/>
        <v>23</v>
      </c>
      <c r="I142" s="47" t="str">
        <f t="shared" si="21"/>
        <v>24</v>
      </c>
      <c r="J142" s="47" t="str">
        <f t="shared" si="21"/>
        <v>25</v>
      </c>
      <c r="K142" s="48" t="str">
        <f t="shared" si="21"/>
        <v>26</v>
      </c>
      <c r="L142" s="47" t="str">
        <f t="shared" si="21"/>
        <v>27</v>
      </c>
      <c r="M142" s="47" t="str">
        <f t="shared" si="21"/>
        <v>28</v>
      </c>
      <c r="N142" s="47" t="str">
        <f t="shared" si="21"/>
        <v>29</v>
      </c>
      <c r="O142" s="47" t="str">
        <f t="shared" si="21"/>
        <v>30</v>
      </c>
      <c r="P142" s="47" t="str">
        <f t="shared" si="21"/>
        <v>31</v>
      </c>
      <c r="Q142" s="47" t="str">
        <f t="shared" si="21"/>
        <v>01</v>
      </c>
      <c r="R142" s="48" t="str">
        <f t="shared" si="21"/>
        <v>02</v>
      </c>
      <c r="S142" s="47" t="str">
        <f t="shared" si="21"/>
        <v>03</v>
      </c>
      <c r="T142" s="47" t="str">
        <f t="shared" si="21"/>
        <v>04</v>
      </c>
      <c r="U142" s="47" t="str">
        <f t="shared" si="21"/>
        <v>05</v>
      </c>
      <c r="V142" s="47" t="str">
        <f t="shared" si="21"/>
        <v>06</v>
      </c>
      <c r="W142" s="47" t="str">
        <f t="shared" si="21"/>
        <v>07</v>
      </c>
      <c r="X142" s="47" t="str">
        <f t="shared" si="21"/>
        <v>08</v>
      </c>
      <c r="Y142" s="48" t="str">
        <f t="shared" si="21"/>
        <v>09</v>
      </c>
      <c r="Z142" s="47" t="str">
        <f t="shared" si="21"/>
        <v>10</v>
      </c>
      <c r="AA142" s="47" t="str">
        <f t="shared" si="21"/>
        <v>11</v>
      </c>
      <c r="AB142" s="47" t="str">
        <f t="shared" si="21"/>
        <v>12</v>
      </c>
      <c r="AC142" s="47" t="str">
        <f t="shared" si="21"/>
        <v>13</v>
      </c>
      <c r="AD142" s="47" t="str">
        <f t="shared" si="21"/>
        <v>14</v>
      </c>
      <c r="AE142" s="47" t="str">
        <f t="shared" si="21"/>
        <v>15</v>
      </c>
      <c r="AF142" s="48" t="str">
        <f t="shared" si="21"/>
        <v>16</v>
      </c>
      <c r="AG142" s="47" t="str">
        <f t="shared" si="21"/>
        <v>17</v>
      </c>
      <c r="AH142" s="47" t="str">
        <f t="shared" si="21"/>
        <v>18</v>
      </c>
      <c r="AI142" s="47" t="str">
        <f t="shared" si="21"/>
        <v>19</v>
      </c>
      <c r="AJ142" s="47" t="str">
        <f t="shared" si="21"/>
        <v>20</v>
      </c>
      <c r="AK142" s="47" t="str">
        <f t="shared" si="21"/>
        <v>21</v>
      </c>
      <c r="AL142" s="134" t="str">
        <f t="shared" si="21"/>
        <v>22</v>
      </c>
      <c r="AM142" s="183">
        <f>AM110</f>
        <v>2000</v>
      </c>
    </row>
    <row r="143" spans="3:53" x14ac:dyDescent="0.35"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184"/>
    </row>
    <row r="144" spans="3:53" x14ac:dyDescent="0.35"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</row>
    <row r="145" spans="3:38" x14ac:dyDescent="0.35"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</row>
    <row r="146" spans="3:38" x14ac:dyDescent="0.35"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</row>
    <row r="147" spans="3:38" x14ac:dyDescent="0.35"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</row>
    <row r="148" spans="3:38" x14ac:dyDescent="0.35"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</row>
    <row r="149" spans="3:38" x14ac:dyDescent="0.35"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</row>
    <row r="150" spans="3:38" x14ac:dyDescent="0.35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</row>
    <row r="151" spans="3:38" x14ac:dyDescent="0.35">
      <c r="C151" s="2"/>
      <c r="E151" s="6" t="s">
        <v>56</v>
      </c>
      <c r="F151" s="6" t="s">
        <v>42</v>
      </c>
      <c r="G151" s="6" t="s">
        <v>41</v>
      </c>
      <c r="H151" s="6" t="s">
        <v>40</v>
      </c>
      <c r="I151" s="6" t="s">
        <v>39</v>
      </c>
      <c r="J151" s="6" t="s">
        <v>38</v>
      </c>
      <c r="K151" s="49" t="s">
        <v>37</v>
      </c>
      <c r="L151" s="6" t="s">
        <v>36</v>
      </c>
      <c r="M151" s="6" t="s">
        <v>35</v>
      </c>
      <c r="N151" s="6" t="s">
        <v>34</v>
      </c>
      <c r="O151" s="6" t="s">
        <v>33</v>
      </c>
      <c r="P151" s="6" t="s">
        <v>32</v>
      </c>
      <c r="Q151" s="6" t="s">
        <v>31</v>
      </c>
      <c r="R151" s="49" t="s">
        <v>30</v>
      </c>
      <c r="S151" s="6" t="s">
        <v>29</v>
      </c>
      <c r="T151" s="6" t="s">
        <v>28</v>
      </c>
      <c r="U151" s="6" t="s">
        <v>27</v>
      </c>
      <c r="V151" s="6" t="s">
        <v>26</v>
      </c>
      <c r="W151" s="6" t="s">
        <v>25</v>
      </c>
      <c r="X151" s="6" t="s">
        <v>24</v>
      </c>
      <c r="Y151" s="49" t="s">
        <v>23</v>
      </c>
      <c r="Z151" s="6" t="s">
        <v>43</v>
      </c>
      <c r="AA151" s="6" t="s">
        <v>44</v>
      </c>
      <c r="AB151" s="6" t="s">
        <v>45</v>
      </c>
      <c r="AC151" s="6" t="s">
        <v>46</v>
      </c>
      <c r="AD151" s="6" t="s">
        <v>47</v>
      </c>
      <c r="AE151" s="6" t="s">
        <v>48</v>
      </c>
      <c r="AF151" s="49" t="s">
        <v>49</v>
      </c>
      <c r="AG151" s="6" t="s">
        <v>50</v>
      </c>
      <c r="AH151" s="6" t="s">
        <v>51</v>
      </c>
      <c r="AI151" s="6" t="s">
        <v>52</v>
      </c>
      <c r="AJ151" s="6" t="s">
        <v>53</v>
      </c>
      <c r="AK151" s="6" t="s">
        <v>54</v>
      </c>
      <c r="AL151" s="6" t="s">
        <v>55</v>
      </c>
    </row>
    <row r="152" spans="3:38" x14ac:dyDescent="0.3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</row>
    <row r="153" spans="3:38" x14ac:dyDescent="0.35">
      <c r="C153" s="15" t="s">
        <v>16</v>
      </c>
      <c r="D153" s="11" t="s">
        <v>80</v>
      </c>
      <c r="E153" s="138">
        <f>Prereport!E15</f>
        <v>426.8890725</v>
      </c>
      <c r="F153" s="138">
        <f>Prereport!F15</f>
        <v>446.67773629999999</v>
      </c>
      <c r="G153" s="138">
        <f>Prereport!G15</f>
        <v>443.97297150000003</v>
      </c>
      <c r="H153" s="138">
        <f>Prereport!H15</f>
        <v>374.3301285</v>
      </c>
      <c r="I153" s="138">
        <f>Prereport!I15</f>
        <v>340.91357850000003</v>
      </c>
      <c r="J153" s="138">
        <f>Prereport!J15</f>
        <v>435.44858779999998</v>
      </c>
      <c r="K153" s="138">
        <f>Prereport!K15</f>
        <v>450.45956180000002</v>
      </c>
      <c r="L153" s="138">
        <f>Prereport!L15</f>
        <v>443.46436949999998</v>
      </c>
      <c r="M153" s="138">
        <f>Prereport!M15</f>
        <v>0</v>
      </c>
      <c r="N153" s="138">
        <f>Prereport!N15</f>
        <v>0</v>
      </c>
      <c r="O153" s="138">
        <f>Prereport!O15</f>
        <v>0</v>
      </c>
      <c r="P153" s="138">
        <f>Prereport!P15</f>
        <v>0</v>
      </c>
      <c r="Q153" s="138">
        <f>Prereport!Q15</f>
        <v>333.68328830000002</v>
      </c>
      <c r="R153" s="138">
        <f>Prereport!R15</f>
        <v>306.93059549999998</v>
      </c>
      <c r="S153" s="138">
        <f>Prereport!S15</f>
        <v>398.47409929999998</v>
      </c>
      <c r="T153" s="138">
        <f>Prereport!T15</f>
        <v>410.2407652</v>
      </c>
      <c r="U153" s="138">
        <f>Prereport!U15</f>
        <v>564.56120699999997</v>
      </c>
      <c r="V153" s="138">
        <f>Prereport!V15</f>
        <v>304.05924750000003</v>
      </c>
      <c r="W153" s="138">
        <f>Prereport!W15</f>
        <v>282.82197819999999</v>
      </c>
      <c r="X153" s="138">
        <f>Prereport!X15</f>
        <v>395.42104430000001</v>
      </c>
      <c r="Y153" s="138">
        <f>Prereport!Y15</f>
        <v>356.30597038635079</v>
      </c>
      <c r="Z153" s="138">
        <f>Prereport!Z15</f>
        <v>354.29076529810897</v>
      </c>
      <c r="AA153" s="138">
        <f>Prereport!AA15</f>
        <v>351.19236482416454</v>
      </c>
      <c r="AB153" s="138">
        <f>Prereport!AB15</f>
        <v>356.12276814086158</v>
      </c>
      <c r="AC153" s="138">
        <f>Prereport!AC15</f>
        <v>323.59541599958908</v>
      </c>
      <c r="AD153" s="138">
        <f>Prereport!AD15</f>
        <v>316.09734608137404</v>
      </c>
      <c r="AE153" s="138">
        <f>Prereport!AE15</f>
        <v>364.7736271725496</v>
      </c>
      <c r="AF153" s="138">
        <f>Prereport!AF15</f>
        <v>361.44744072886863</v>
      </c>
      <c r="AG153" s="138">
        <f>Prereport!AG15</f>
        <v>358.48704546844289</v>
      </c>
      <c r="AH153" s="138">
        <f>Prereport!AH15</f>
        <v>356.29027480922878</v>
      </c>
      <c r="AI153" s="138">
        <f>Prereport!AI15</f>
        <v>352.09488587087458</v>
      </c>
      <c r="AJ153" s="138">
        <f>Prereport!AJ15</f>
        <v>318.26206563881141</v>
      </c>
      <c r="AK153" s="138">
        <f>Prereport!AK15</f>
        <v>311.30210885788392</v>
      </c>
      <c r="AL153" s="138">
        <f>Prereport!AL15</f>
        <v>360.27943748782639</v>
      </c>
    </row>
    <row r="154" spans="3:38" x14ac:dyDescent="0.35">
      <c r="C154" s="9" t="s">
        <v>87</v>
      </c>
      <c r="D154" s="9" t="s">
        <v>80</v>
      </c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49">
        <f>W153-Prereport!W$17</f>
        <v>-26.09293062784036</v>
      </c>
      <c r="X154" s="149">
        <f>X153-Prereport!X$17</f>
        <v>-1.01930197928192</v>
      </c>
      <c r="Y154" s="135">
        <f>Y153-Prereport!Y$17</f>
        <v>-38.925115535741668</v>
      </c>
      <c r="Z154" s="135">
        <f>Z153-Prereport!Z$17</f>
        <v>-39.83603054720885</v>
      </c>
      <c r="AA154" s="135">
        <f>AA153-Prereport!AA$17</f>
        <v>-40.93626411467568</v>
      </c>
      <c r="AB154" s="135">
        <f>AB153-Prereport!AB$17</f>
        <v>-29.282517412450773</v>
      </c>
      <c r="AC154" s="135">
        <f>AC153-Prereport!AC$17</f>
        <v>-26.174258094649815</v>
      </c>
      <c r="AD154" s="135">
        <f>AD153-Prereport!AD$17</f>
        <v>-25.068553135479135</v>
      </c>
      <c r="AE154" s="135">
        <f>AE153-Prereport!AE$17</f>
        <v>-28.983480751405295</v>
      </c>
      <c r="AF154" s="135">
        <f>AF153-Prereport!AF$17</f>
        <v>-28.822127080682435</v>
      </c>
      <c r="AG154" s="135">
        <f>AG153-Prereport!AG$17</f>
        <v>-29.09418994619972</v>
      </c>
      <c r="AH154" s="135">
        <f>AH153-Prereport!AH$17</f>
        <v>-29.822439679987042</v>
      </c>
      <c r="AI154" s="135">
        <f>AI153-Prereport!AI$17</f>
        <v>-28.098286226988705</v>
      </c>
      <c r="AJ154" s="135">
        <f>AJ153-Prereport!AJ$17</f>
        <v>-26.482559145830862</v>
      </c>
      <c r="AK154" s="135">
        <f>AK153-Prereport!AK$17</f>
        <v>-25.515547818046457</v>
      </c>
      <c r="AL154" s="139"/>
    </row>
    <row r="155" spans="3:38" x14ac:dyDescent="0.35">
      <c r="C155" s="28" t="s">
        <v>196</v>
      </c>
      <c r="D155" s="11" t="s">
        <v>80</v>
      </c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6">
        <f>Y153-$X$153</f>
        <v>-39.115073913649212</v>
      </c>
      <c r="Z155" s="136">
        <f t="shared" ref="Z155:AL155" si="22">Z153-$X$153</f>
        <v>-41.13027900189104</v>
      </c>
      <c r="AA155" s="136">
        <f t="shared" si="22"/>
        <v>-44.228679475835463</v>
      </c>
      <c r="AB155" s="136">
        <f t="shared" si="22"/>
        <v>-39.298276159138425</v>
      </c>
      <c r="AC155" s="136">
        <f t="shared" si="22"/>
        <v>-71.825628300410926</v>
      </c>
      <c r="AD155" s="136">
        <f t="shared" si="22"/>
        <v>-79.323698218625964</v>
      </c>
      <c r="AE155" s="136">
        <f t="shared" si="22"/>
        <v>-30.64741712745041</v>
      </c>
      <c r="AF155" s="136">
        <f t="shared" si="22"/>
        <v>-33.973603571131378</v>
      </c>
      <c r="AG155" s="136">
        <f t="shared" si="22"/>
        <v>-36.933998831557119</v>
      </c>
      <c r="AH155" s="136">
        <f t="shared" si="22"/>
        <v>-39.130769490771229</v>
      </c>
      <c r="AI155" s="136">
        <f t="shared" si="22"/>
        <v>-43.326158429125428</v>
      </c>
      <c r="AJ155" s="136">
        <f t="shared" si="22"/>
        <v>-77.158978661188598</v>
      </c>
      <c r="AK155" s="136">
        <f t="shared" si="22"/>
        <v>-84.118935442116083</v>
      </c>
      <c r="AL155" s="136">
        <f t="shared" si="22"/>
        <v>-35.14160681217362</v>
      </c>
    </row>
    <row r="156" spans="3:38" x14ac:dyDescent="0.35">
      <c r="C156" s="9" t="s">
        <v>197</v>
      </c>
      <c r="D156" s="2" t="s">
        <v>80</v>
      </c>
      <c r="E156" s="139"/>
      <c r="F156" s="139"/>
      <c r="G156" s="139"/>
      <c r="H156" s="139"/>
      <c r="I156" s="139"/>
      <c r="J156" s="139"/>
      <c r="K156" s="139"/>
      <c r="L156" s="137">
        <f>L153-E153</f>
        <v>16.575296999999978</v>
      </c>
      <c r="M156" s="137">
        <f t="shared" ref="M156:AL156" si="23">M153-F153</f>
        <v>-446.67773629999999</v>
      </c>
      <c r="N156" s="137">
        <f t="shared" si="23"/>
        <v>-443.97297150000003</v>
      </c>
      <c r="O156" s="137">
        <f t="shared" si="23"/>
        <v>-374.3301285</v>
      </c>
      <c r="P156" s="137">
        <f t="shared" si="23"/>
        <v>-340.91357850000003</v>
      </c>
      <c r="Q156" s="137">
        <f t="shared" si="23"/>
        <v>-101.76529949999997</v>
      </c>
      <c r="R156" s="137">
        <f t="shared" si="23"/>
        <v>-143.52896630000004</v>
      </c>
      <c r="S156" s="137">
        <f t="shared" si="23"/>
        <v>-44.990270199999998</v>
      </c>
      <c r="T156" s="137">
        <f t="shared" si="23"/>
        <v>410.2407652</v>
      </c>
      <c r="U156" s="137">
        <f t="shared" si="23"/>
        <v>564.56120699999997</v>
      </c>
      <c r="V156" s="137">
        <f t="shared" si="23"/>
        <v>304.05924750000003</v>
      </c>
      <c r="W156" s="137">
        <f t="shared" si="23"/>
        <v>282.82197819999999</v>
      </c>
      <c r="X156" s="137">
        <f t="shared" si="23"/>
        <v>61.73775599999999</v>
      </c>
      <c r="Y156" s="137">
        <f t="shared" si="23"/>
        <v>49.375374886350812</v>
      </c>
      <c r="Z156" s="137">
        <f t="shared" si="23"/>
        <v>-44.183334001891012</v>
      </c>
      <c r="AA156" s="137">
        <f t="shared" si="23"/>
        <v>-59.048400375835456</v>
      </c>
      <c r="AB156" s="137">
        <f t="shared" si="23"/>
        <v>-208.43843885913839</v>
      </c>
      <c r="AC156" s="137">
        <f t="shared" si="23"/>
        <v>19.536168499589053</v>
      </c>
      <c r="AD156" s="137">
        <f t="shared" si="23"/>
        <v>33.275367881374052</v>
      </c>
      <c r="AE156" s="137">
        <f t="shared" si="23"/>
        <v>-30.64741712745041</v>
      </c>
      <c r="AF156" s="137">
        <f t="shared" si="23"/>
        <v>5.1414703425178345</v>
      </c>
      <c r="AG156" s="137">
        <f t="shared" si="23"/>
        <v>4.196280170333921</v>
      </c>
      <c r="AH156" s="137">
        <f t="shared" si="23"/>
        <v>5.0979099850642342</v>
      </c>
      <c r="AI156" s="137">
        <f t="shared" si="23"/>
        <v>-4.0278822699870034</v>
      </c>
      <c r="AJ156" s="137">
        <f t="shared" si="23"/>
        <v>-5.333350360777672</v>
      </c>
      <c r="AK156" s="137">
        <f t="shared" si="23"/>
        <v>-4.795237223490119</v>
      </c>
      <c r="AL156" s="137">
        <f t="shared" si="23"/>
        <v>-4.4941896847232101</v>
      </c>
    </row>
    <row r="157" spans="3:38" x14ac:dyDescent="0.35">
      <c r="C157" s="11" t="s">
        <v>198</v>
      </c>
      <c r="D157" s="11" t="s">
        <v>80</v>
      </c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6">
        <f>S153-E153</f>
        <v>-28.41497320000002</v>
      </c>
      <c r="T157" s="136">
        <f t="shared" ref="T157:AL157" si="24">T153-F153</f>
        <v>-36.436971099999994</v>
      </c>
      <c r="U157" s="136">
        <f t="shared" si="24"/>
        <v>120.58823549999994</v>
      </c>
      <c r="V157" s="136">
        <f t="shared" si="24"/>
        <v>-70.270880999999974</v>
      </c>
      <c r="W157" s="136">
        <f t="shared" si="24"/>
        <v>-58.091600300000039</v>
      </c>
      <c r="X157" s="136">
        <f t="shared" si="24"/>
        <v>-40.027543499999979</v>
      </c>
      <c r="Y157" s="136">
        <f t="shared" si="24"/>
        <v>-94.153591413649224</v>
      </c>
      <c r="Z157" s="136">
        <f t="shared" si="24"/>
        <v>-89.17360420189101</v>
      </c>
      <c r="AA157" s="136">
        <f t="shared" si="24"/>
        <v>351.19236482416454</v>
      </c>
      <c r="AB157" s="136">
        <f t="shared" si="24"/>
        <v>356.12276814086158</v>
      </c>
      <c r="AC157" s="136">
        <f t="shared" si="24"/>
        <v>323.59541599958908</v>
      </c>
      <c r="AD157" s="136">
        <f t="shared" si="24"/>
        <v>316.09734608137404</v>
      </c>
      <c r="AE157" s="136">
        <f t="shared" si="24"/>
        <v>31.09033887254958</v>
      </c>
      <c r="AF157" s="136">
        <f t="shared" si="24"/>
        <v>54.516845228868647</v>
      </c>
      <c r="AG157" s="136">
        <f t="shared" si="24"/>
        <v>-39.987053831557091</v>
      </c>
      <c r="AH157" s="136">
        <f t="shared" si="24"/>
        <v>-53.950490390771222</v>
      </c>
      <c r="AI157" s="136">
        <f t="shared" si="24"/>
        <v>-212.46632112912539</v>
      </c>
      <c r="AJ157" s="136">
        <f t="shared" si="24"/>
        <v>14.202818138811381</v>
      </c>
      <c r="AK157" s="136">
        <f t="shared" si="24"/>
        <v>28.480130657883933</v>
      </c>
      <c r="AL157" s="136">
        <f t="shared" si="24"/>
        <v>-35.14160681217362</v>
      </c>
    </row>
    <row r="158" spans="3:38" x14ac:dyDescent="0.35">
      <c r="C158" s="2" t="s">
        <v>1</v>
      </c>
      <c r="D158" s="2" t="s">
        <v>80</v>
      </c>
      <c r="E158" s="52">
        <f>Prereport!E2</f>
        <v>2000</v>
      </c>
      <c r="F158" s="52">
        <f>Prereport!F2</f>
        <v>2000</v>
      </c>
      <c r="G158" s="52">
        <f>Prereport!G2</f>
        <v>2000</v>
      </c>
      <c r="H158" s="52">
        <f>Prereport!H2</f>
        <v>2000</v>
      </c>
      <c r="I158" s="52">
        <f>Prereport!I2</f>
        <v>2000</v>
      </c>
      <c r="J158" s="52">
        <f>Prereport!J2</f>
        <v>2000</v>
      </c>
      <c r="K158" s="52">
        <f>Prereport!K2</f>
        <v>2000</v>
      </c>
      <c r="L158" s="52">
        <f>Prereport!L2</f>
        <v>2000</v>
      </c>
      <c r="M158" s="52">
        <f>Prereport!M2</f>
        <v>2000</v>
      </c>
      <c r="N158" s="52">
        <f>Prereport!N2</f>
        <v>2000</v>
      </c>
      <c r="O158" s="52">
        <f>Prereport!O2</f>
        <v>2000</v>
      </c>
      <c r="P158" s="52">
        <f>Prereport!P2</f>
        <v>2000</v>
      </c>
      <c r="Q158" s="52">
        <f>Prereport!Q2</f>
        <v>2000</v>
      </c>
      <c r="R158" s="52">
        <f>Prereport!R2</f>
        <v>2000</v>
      </c>
      <c r="S158" s="52">
        <f>Prereport!S2</f>
        <v>2000</v>
      </c>
      <c r="T158" s="52">
        <f>Prereport!T2</f>
        <v>2000</v>
      </c>
      <c r="U158" s="52">
        <f>Prereport!U2</f>
        <v>2000</v>
      </c>
      <c r="V158" s="52">
        <f>Prereport!V2</f>
        <v>2000</v>
      </c>
      <c r="W158" s="52">
        <f>Prereport!W2</f>
        <v>2000</v>
      </c>
      <c r="X158" s="52">
        <f>Prereport!X2</f>
        <v>2000</v>
      </c>
      <c r="Y158" s="52">
        <f>Prereport!Y2</f>
        <v>2000</v>
      </c>
      <c r="Z158" s="52">
        <f>Prereport!Z2</f>
        <v>2000</v>
      </c>
      <c r="AA158" s="52">
        <f>Prereport!AA2</f>
        <v>2000</v>
      </c>
      <c r="AB158" s="52">
        <f>Prereport!AB2</f>
        <v>2000</v>
      </c>
      <c r="AC158" s="52">
        <f>Prereport!AC2</f>
        <v>2000</v>
      </c>
      <c r="AD158" s="52">
        <f>Prereport!AD2</f>
        <v>2000</v>
      </c>
      <c r="AE158" s="52">
        <f>Prereport!AE2</f>
        <v>2000</v>
      </c>
      <c r="AF158" s="52">
        <f>Prereport!AF2</f>
        <v>2000</v>
      </c>
      <c r="AG158" s="52">
        <f>Prereport!AG2</f>
        <v>2000</v>
      </c>
      <c r="AH158" s="52">
        <f>Prereport!AH2</f>
        <v>2000</v>
      </c>
      <c r="AI158" s="52">
        <f>Prereport!AI2</f>
        <v>2000</v>
      </c>
      <c r="AJ158" s="52">
        <f>Prereport!AJ2</f>
        <v>2000</v>
      </c>
      <c r="AK158" s="52">
        <f>Prereport!AK2</f>
        <v>2000</v>
      </c>
      <c r="AL158" s="52">
        <f>Prereport!AL2</f>
        <v>2000</v>
      </c>
    </row>
    <row r="159" spans="3:38" x14ac:dyDescent="0.35">
      <c r="C159" s="3" t="s">
        <v>2</v>
      </c>
      <c r="D159" s="2" t="s">
        <v>3</v>
      </c>
      <c r="E159" s="4">
        <f>MyBar("CON_OTHER_1",E143:E150,E153,E158)</f>
        <v>0.21344453625000001</v>
      </c>
      <c r="F159" s="4">
        <f>MyBar("CON_OTHER_2",F143:F150,F153,F158)</f>
        <v>0.22333886815000001</v>
      </c>
      <c r="G159" s="4">
        <f>MyBar("CON_OTHER_3",G143:G150,G153,G158)</f>
        <v>0.22198648575000002</v>
      </c>
      <c r="H159" s="4">
        <f>MyBar("CON_OTHER_4",H143:H150,H153,H158)</f>
        <v>0.18716506425000001</v>
      </c>
      <c r="I159" s="4">
        <f>MyBar("CON_OTHER_5",I143:I150,I153,I158)</f>
        <v>0.17045678925000002</v>
      </c>
      <c r="J159" s="4">
        <f>MyBar("CON_OTHER_6",J143:J150,J153,J158)</f>
        <v>0.2177242939</v>
      </c>
      <c r="K159" s="4">
        <f>MyBar("CON_OTHER_7",K143:K150,K153,K158)</f>
        <v>0.22522978090000001</v>
      </c>
      <c r="L159" s="4">
        <f>MyBar("CON_OTHER_8",L143:L150,L153,L158)</f>
        <v>0.22173218474999998</v>
      </c>
      <c r="M159" s="4">
        <f>MyBar("CON_OTHER_9",M143:M150,M153,M158)</f>
        <v>0</v>
      </c>
      <c r="N159" s="4">
        <f>MyBar("CON_OTHER_10",N143:N150,N153,N158)</f>
        <v>0</v>
      </c>
      <c r="O159" s="4">
        <f>MyBar("CON_OTHER_11",O143:O150,O153,O158)</f>
        <v>0</v>
      </c>
      <c r="P159" s="4">
        <f>MyBar("CON_OTHER_12",P143:P150,P153,P158)</f>
        <v>0</v>
      </c>
      <c r="Q159" s="4">
        <f>MyBar("CON_OTHER_13",Q143:Q150,Q153,Q158)</f>
        <v>0.16684164415</v>
      </c>
      <c r="R159" s="4">
        <f>MyBar("CON_OTHER_14",R143:R150,R153,R158)</f>
        <v>0.15346529774999998</v>
      </c>
      <c r="S159" s="4">
        <f>MyBar("CON_OTHER_15",S143:S150,S153,S158)</f>
        <v>0.19923704965</v>
      </c>
      <c r="T159" s="4">
        <f>MyBar("CON_OTHER_16",T143:T150,T153,T158)</f>
        <v>0.20512038260000001</v>
      </c>
      <c r="U159" s="4">
        <f>MyBar("CON_OTHER_17",U143:U150,U153,U158)</f>
        <v>0.2822806035</v>
      </c>
      <c r="V159" s="4">
        <f>MyBar("CON_OTHER_18",V143:V150,V153,V158)</f>
        <v>0.15202962375000001</v>
      </c>
      <c r="W159" s="4">
        <f>MyBar("CON_OTHER_19",W143:W150,W153,W158)</f>
        <v>0.1414109891</v>
      </c>
      <c r="X159" s="4">
        <f>MyBar("CON_OTHER_20",X143:X150,X153,X158)</f>
        <v>0.19771052215000001</v>
      </c>
      <c r="Y159" s="4">
        <f>MyBar("CON_OTHER_21",Y143:Y150,Y153,Y158)</f>
        <v>0.17815298519317541</v>
      </c>
      <c r="Z159" s="4">
        <f>MyBar("CON_OTHER_22",Z143:Z150,Z153,Z158)</f>
        <v>0.17714538264905449</v>
      </c>
      <c r="AA159" s="4">
        <f>MyBar("CON_OTHER_23",AA143:AA150,AA153,AA158)</f>
        <v>0.17559618241208227</v>
      </c>
      <c r="AB159" s="4">
        <f>MyBar("CON_OTHER_24",AB143:AB150,AB153,AB158)</f>
        <v>0.17806138407043079</v>
      </c>
      <c r="AC159" s="4">
        <f>MyBar("CON_OTHER_25",AC143:AC150,AC153,AC158)</f>
        <v>0.16179770799979454</v>
      </c>
      <c r="AD159" s="4">
        <f>MyBar("CON_OTHER_26",AD143:AD150,AD153,AD158)</f>
        <v>0.15804867304068701</v>
      </c>
      <c r="AE159" s="4">
        <f>MyBar("CON_OTHER_27",AE143:AE150,AE153,AE158)</f>
        <v>0.18238681358627479</v>
      </c>
      <c r="AF159" s="4">
        <f>MyBar("CON_OTHER_28",AF143:AF150,AF153,AF158)</f>
        <v>0.18072372036443432</v>
      </c>
      <c r="AG159" s="4">
        <f>MyBar("CON_OTHER_29",AG143:AG150,AG153,AG158)</f>
        <v>0.17924352273422145</v>
      </c>
      <c r="AH159" s="4">
        <f>MyBar("CON_OTHER_30",AH143:AH150,AH153,AH158)</f>
        <v>0.17814513740461438</v>
      </c>
      <c r="AI159" s="4">
        <f>MyBar("CON_OTHER_31",AI143:AI150,AI153,AI158)</f>
        <v>0.17604744293543728</v>
      </c>
      <c r="AJ159" s="4">
        <f>MyBar("CON_OTHER_32",AJ143:AJ150,AJ153,AJ158)</f>
        <v>0.15913103281940572</v>
      </c>
      <c r="AK159" s="4">
        <f>MyBar("CON_OTHER_33",AK143:AK150,AK153,AK158)</f>
        <v>0.15565105442894195</v>
      </c>
      <c r="AL159" s="4">
        <f>MyBar("CON_OTHER_34",AL143:AL150,AL153,AL158)</f>
        <v>0.18013971874391319</v>
      </c>
    </row>
    <row r="160" spans="3:38" x14ac:dyDescent="0.35">
      <c r="C160" s="3"/>
      <c r="D160" s="2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</row>
    <row r="161" spans="3:39" x14ac:dyDescent="0.35">
      <c r="C161" s="3"/>
      <c r="D161" s="2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</row>
    <row r="162" spans="3:39" x14ac:dyDescent="0.35">
      <c r="C162" s="38" t="s">
        <v>60</v>
      </c>
      <c r="E162" s="47" t="str">
        <f>E$33</f>
        <v>W</v>
      </c>
      <c r="F162" s="47" t="str">
        <f t="shared" ref="F162:AL162" si="25">F$33</f>
        <v>T</v>
      </c>
      <c r="G162" s="47" t="str">
        <f t="shared" si="25"/>
        <v>F</v>
      </c>
      <c r="H162" s="47" t="str">
        <f t="shared" si="25"/>
        <v>S</v>
      </c>
      <c r="I162" s="47" t="str">
        <f t="shared" si="25"/>
        <v>S</v>
      </c>
      <c r="J162" s="47" t="str">
        <f t="shared" si="25"/>
        <v>M</v>
      </c>
      <c r="K162" s="48" t="str">
        <f t="shared" si="25"/>
        <v>T</v>
      </c>
      <c r="L162" s="47" t="str">
        <f t="shared" si="25"/>
        <v>W</v>
      </c>
      <c r="M162" s="47" t="str">
        <f t="shared" si="25"/>
        <v>T</v>
      </c>
      <c r="N162" s="47" t="str">
        <f t="shared" si="25"/>
        <v>F</v>
      </c>
      <c r="O162" s="47" t="str">
        <f t="shared" si="25"/>
        <v>S</v>
      </c>
      <c r="P162" s="47" t="str">
        <f t="shared" si="25"/>
        <v>S</v>
      </c>
      <c r="Q162" s="47" t="str">
        <f t="shared" si="25"/>
        <v>M</v>
      </c>
      <c r="R162" s="48" t="str">
        <f t="shared" si="25"/>
        <v>T</v>
      </c>
      <c r="S162" s="47" t="str">
        <f t="shared" si="25"/>
        <v>W</v>
      </c>
      <c r="T162" s="47" t="str">
        <f t="shared" si="25"/>
        <v>T</v>
      </c>
      <c r="U162" s="47" t="str">
        <f t="shared" si="25"/>
        <v>F</v>
      </c>
      <c r="V162" s="47" t="str">
        <f t="shared" si="25"/>
        <v>S</v>
      </c>
      <c r="W162" s="47" t="str">
        <f t="shared" si="25"/>
        <v>S</v>
      </c>
      <c r="X162" s="47" t="str">
        <f t="shared" si="25"/>
        <v>M</v>
      </c>
      <c r="Y162" s="48" t="str">
        <f t="shared" si="25"/>
        <v>T</v>
      </c>
      <c r="Z162" s="47" t="str">
        <f t="shared" si="25"/>
        <v>W</v>
      </c>
      <c r="AA162" s="47" t="str">
        <f t="shared" si="25"/>
        <v>T</v>
      </c>
      <c r="AB162" s="47" t="str">
        <f t="shared" si="25"/>
        <v>F</v>
      </c>
      <c r="AC162" s="47" t="str">
        <f t="shared" si="25"/>
        <v>S</v>
      </c>
      <c r="AD162" s="47" t="str">
        <f t="shared" si="25"/>
        <v>S</v>
      </c>
      <c r="AE162" s="47" t="str">
        <f t="shared" si="25"/>
        <v>M</v>
      </c>
      <c r="AF162" s="48" t="str">
        <f t="shared" si="25"/>
        <v>T</v>
      </c>
      <c r="AG162" s="47" t="str">
        <f t="shared" si="25"/>
        <v>W</v>
      </c>
      <c r="AH162" s="47" t="str">
        <f t="shared" si="25"/>
        <v>T</v>
      </c>
      <c r="AI162" s="47" t="str">
        <f t="shared" si="25"/>
        <v>F</v>
      </c>
      <c r="AJ162" s="47" t="str">
        <f t="shared" si="25"/>
        <v>S</v>
      </c>
      <c r="AK162" s="47" t="str">
        <f t="shared" si="25"/>
        <v>S</v>
      </c>
      <c r="AL162" s="47" t="str">
        <f t="shared" si="25"/>
        <v>M</v>
      </c>
    </row>
    <row r="163" spans="3:39" x14ac:dyDescent="0.35">
      <c r="C163" s="2" t="s">
        <v>59</v>
      </c>
      <c r="E163" s="47" t="str">
        <f>E$34</f>
        <v>20</v>
      </c>
      <c r="F163" s="47" t="str">
        <f t="shared" ref="F163:AL163" si="26">F$34</f>
        <v>21</v>
      </c>
      <c r="G163" s="47" t="str">
        <f t="shared" si="26"/>
        <v>22</v>
      </c>
      <c r="H163" s="47" t="str">
        <f t="shared" si="26"/>
        <v>23</v>
      </c>
      <c r="I163" s="47" t="str">
        <f t="shared" si="26"/>
        <v>24</v>
      </c>
      <c r="J163" s="47" t="str">
        <f t="shared" si="26"/>
        <v>25</v>
      </c>
      <c r="K163" s="48" t="str">
        <f t="shared" si="26"/>
        <v>26</v>
      </c>
      <c r="L163" s="47" t="str">
        <f t="shared" si="26"/>
        <v>27</v>
      </c>
      <c r="M163" s="47" t="str">
        <f t="shared" si="26"/>
        <v>28</v>
      </c>
      <c r="N163" s="47" t="str">
        <f t="shared" si="26"/>
        <v>29</v>
      </c>
      <c r="O163" s="47" t="str">
        <f t="shared" si="26"/>
        <v>30</v>
      </c>
      <c r="P163" s="47" t="str">
        <f t="shared" si="26"/>
        <v>31</v>
      </c>
      <c r="Q163" s="47" t="str">
        <f t="shared" si="26"/>
        <v>01</v>
      </c>
      <c r="R163" s="48" t="str">
        <f t="shared" si="26"/>
        <v>02</v>
      </c>
      <c r="S163" s="47" t="str">
        <f t="shared" si="26"/>
        <v>03</v>
      </c>
      <c r="T163" s="47" t="str">
        <f t="shared" si="26"/>
        <v>04</v>
      </c>
      <c r="U163" s="47" t="str">
        <f t="shared" si="26"/>
        <v>05</v>
      </c>
      <c r="V163" s="47" t="str">
        <f t="shared" si="26"/>
        <v>06</v>
      </c>
      <c r="W163" s="47" t="str">
        <f t="shared" si="26"/>
        <v>07</v>
      </c>
      <c r="X163" s="47" t="str">
        <f t="shared" si="26"/>
        <v>08</v>
      </c>
      <c r="Y163" s="48" t="str">
        <f t="shared" si="26"/>
        <v>09</v>
      </c>
      <c r="Z163" s="47" t="str">
        <f t="shared" si="26"/>
        <v>10</v>
      </c>
      <c r="AA163" s="47" t="str">
        <f t="shared" si="26"/>
        <v>11</v>
      </c>
      <c r="AB163" s="47" t="str">
        <f t="shared" si="26"/>
        <v>12</v>
      </c>
      <c r="AC163" s="47" t="str">
        <f t="shared" si="26"/>
        <v>13</v>
      </c>
      <c r="AD163" s="47" t="str">
        <f t="shared" si="26"/>
        <v>14</v>
      </c>
      <c r="AE163" s="47" t="str">
        <f t="shared" si="26"/>
        <v>15</v>
      </c>
      <c r="AF163" s="48" t="str">
        <f t="shared" si="26"/>
        <v>16</v>
      </c>
      <c r="AG163" s="47" t="str">
        <f t="shared" si="26"/>
        <v>17</v>
      </c>
      <c r="AH163" s="47" t="str">
        <f t="shared" si="26"/>
        <v>18</v>
      </c>
      <c r="AI163" s="47" t="str">
        <f t="shared" si="26"/>
        <v>19</v>
      </c>
      <c r="AJ163" s="47" t="str">
        <f t="shared" si="26"/>
        <v>20</v>
      </c>
      <c r="AK163" s="47" t="str">
        <f t="shared" si="26"/>
        <v>21</v>
      </c>
      <c r="AL163" s="134" t="str">
        <f t="shared" si="26"/>
        <v>22</v>
      </c>
      <c r="AM163" s="183">
        <f>X175</f>
        <v>1212</v>
      </c>
    </row>
    <row r="164" spans="3:39" x14ac:dyDescent="0.35"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184"/>
    </row>
    <row r="165" spans="3:39" x14ac:dyDescent="0.35"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</row>
    <row r="166" spans="3:39" x14ac:dyDescent="0.35">
      <c r="C166" s="2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</row>
    <row r="167" spans="3:39" x14ac:dyDescent="0.35"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</row>
    <row r="168" spans="3:39" x14ac:dyDescent="0.35"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</row>
    <row r="169" spans="3:39" x14ac:dyDescent="0.35"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</row>
    <row r="170" spans="3:39" x14ac:dyDescent="0.35"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</row>
    <row r="171" spans="3:39" x14ac:dyDescent="0.35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</row>
    <row r="172" spans="3:39" x14ac:dyDescent="0.35">
      <c r="C172" s="2"/>
      <c r="E172" s="6" t="s">
        <v>56</v>
      </c>
      <c r="F172" s="6" t="s">
        <v>42</v>
      </c>
      <c r="G172" s="6" t="s">
        <v>41</v>
      </c>
      <c r="H172" s="6" t="s">
        <v>40</v>
      </c>
      <c r="I172" s="6" t="s">
        <v>39</v>
      </c>
      <c r="J172" s="6" t="s">
        <v>38</v>
      </c>
      <c r="K172" s="49" t="s">
        <v>37</v>
      </c>
      <c r="L172" s="6" t="s">
        <v>36</v>
      </c>
      <c r="M172" s="6" t="s">
        <v>35</v>
      </c>
      <c r="N172" s="6" t="s">
        <v>34</v>
      </c>
      <c r="O172" s="6" t="s">
        <v>33</v>
      </c>
      <c r="P172" s="6" t="s">
        <v>32</v>
      </c>
      <c r="Q172" s="6" t="s">
        <v>31</v>
      </c>
      <c r="R172" s="49" t="s">
        <v>30</v>
      </c>
      <c r="S172" s="6" t="s">
        <v>29</v>
      </c>
      <c r="T172" s="6" t="s">
        <v>28</v>
      </c>
      <c r="U172" s="6" t="s">
        <v>27</v>
      </c>
      <c r="V172" s="6" t="s">
        <v>26</v>
      </c>
      <c r="W172" s="6" t="s">
        <v>25</v>
      </c>
      <c r="X172" s="6" t="s">
        <v>24</v>
      </c>
      <c r="Y172" s="49" t="s">
        <v>23</v>
      </c>
      <c r="Z172" s="6" t="s">
        <v>43</v>
      </c>
      <c r="AA172" s="6" t="s">
        <v>44</v>
      </c>
      <c r="AB172" s="6" t="s">
        <v>45</v>
      </c>
      <c r="AC172" s="6" t="s">
        <v>46</v>
      </c>
      <c r="AD172" s="6" t="s">
        <v>47</v>
      </c>
      <c r="AE172" s="6" t="s">
        <v>48</v>
      </c>
      <c r="AF172" s="49" t="s">
        <v>49</v>
      </c>
      <c r="AG172" s="6" t="s">
        <v>50</v>
      </c>
      <c r="AH172" s="6" t="s">
        <v>51</v>
      </c>
      <c r="AI172" s="6" t="s">
        <v>52</v>
      </c>
      <c r="AJ172" s="6" t="s">
        <v>53</v>
      </c>
      <c r="AK172" s="6" t="s">
        <v>54</v>
      </c>
      <c r="AL172" s="6" t="s">
        <v>55</v>
      </c>
    </row>
    <row r="173" spans="3:39" x14ac:dyDescent="0.3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</row>
    <row r="174" spans="3:39" x14ac:dyDescent="0.35">
      <c r="C174" s="2" t="s">
        <v>189</v>
      </c>
      <c r="D174" s="2" t="s">
        <v>80</v>
      </c>
      <c r="E174" s="52">
        <f>Prereport!E20</f>
        <v>926.313759</v>
      </c>
      <c r="F174" s="52">
        <f>Prereport!F20</f>
        <v>930.27348979999999</v>
      </c>
      <c r="G174" s="52">
        <f>Prereport!G20</f>
        <v>931.29893549999997</v>
      </c>
      <c r="H174" s="52">
        <f>Prereport!H20</f>
        <v>912.50818949999996</v>
      </c>
      <c r="I174" s="52">
        <f>Prereport!I20</f>
        <v>913.49403600000005</v>
      </c>
      <c r="J174" s="52">
        <f>Prereport!J20</f>
        <v>920.01345449999997</v>
      </c>
      <c r="K174" s="52">
        <f>Prereport!K20</f>
        <v>928.16876319999994</v>
      </c>
      <c r="L174" s="52">
        <f>Prereport!L20</f>
        <v>926.57455349999998</v>
      </c>
      <c r="M174" s="52">
        <f>Prereport!M20</f>
        <v>0</v>
      </c>
      <c r="N174" s="52">
        <f>Prereport!N20</f>
        <v>0</v>
      </c>
      <c r="O174" s="52">
        <f>Prereport!O20</f>
        <v>0</v>
      </c>
      <c r="P174" s="52">
        <f>Prereport!P20</f>
        <v>0</v>
      </c>
      <c r="Q174" s="52">
        <f>Prereport!Q20</f>
        <v>817.85132999999996</v>
      </c>
      <c r="R174" s="52">
        <f>Prereport!R20</f>
        <v>829.48870880000004</v>
      </c>
      <c r="S174" s="52">
        <f>Prereport!S20</f>
        <v>843.15394649999996</v>
      </c>
      <c r="T174" s="52">
        <f>Prereport!T20</f>
        <v>858.41475379999997</v>
      </c>
      <c r="U174" s="52">
        <f>Prereport!U20</f>
        <v>903.03703129999997</v>
      </c>
      <c r="V174" s="52">
        <f>Prereport!V20</f>
        <v>819.4905225</v>
      </c>
      <c r="W174" s="52">
        <f>Prereport!W20</f>
        <v>788.94604200000003</v>
      </c>
      <c r="X174" s="52">
        <f>Prereport!X20</f>
        <v>854.66697750000003</v>
      </c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</row>
    <row r="175" spans="3:39" x14ac:dyDescent="0.35">
      <c r="C175" s="9" t="s">
        <v>1</v>
      </c>
      <c r="D175" s="9" t="s">
        <v>80</v>
      </c>
      <c r="E175" s="152">
        <f>Prereport!E21</f>
        <v>1212</v>
      </c>
      <c r="F175" s="152">
        <f>Prereport!F21</f>
        <v>1212</v>
      </c>
      <c r="G175" s="152">
        <f>Prereport!G21</f>
        <v>1212</v>
      </c>
      <c r="H175" s="152">
        <f>Prereport!H21</f>
        <v>1212</v>
      </c>
      <c r="I175" s="152">
        <f>Prereport!I21</f>
        <v>1212</v>
      </c>
      <c r="J175" s="152">
        <f>Prereport!J21</f>
        <v>1212</v>
      </c>
      <c r="K175" s="152">
        <f>Prereport!K21</f>
        <v>1212</v>
      </c>
      <c r="L175" s="152">
        <f>Prereport!L21</f>
        <v>1212</v>
      </c>
      <c r="M175" s="152">
        <f>Prereport!M21</f>
        <v>1212</v>
      </c>
      <c r="N175" s="152">
        <f>Prereport!N21</f>
        <v>1212</v>
      </c>
      <c r="O175" s="152">
        <f>Prereport!O21</f>
        <v>1212</v>
      </c>
      <c r="P175" s="152">
        <f>Prereport!P21</f>
        <v>1212</v>
      </c>
      <c r="Q175" s="152">
        <f>Prereport!Q21</f>
        <v>1212</v>
      </c>
      <c r="R175" s="152">
        <f>Prereport!R21</f>
        <v>1212</v>
      </c>
      <c r="S175" s="152">
        <f>Prereport!S21</f>
        <v>1212</v>
      </c>
      <c r="T175" s="152">
        <f>Prereport!T21</f>
        <v>1212</v>
      </c>
      <c r="U175" s="152">
        <f>Prereport!U21</f>
        <v>1212</v>
      </c>
      <c r="V175" s="152">
        <f>Prereport!V21</f>
        <v>1212</v>
      </c>
      <c r="W175" s="152">
        <f>Prereport!W21</f>
        <v>1212</v>
      </c>
      <c r="X175" s="152">
        <f>Prereport!X21</f>
        <v>1212</v>
      </c>
      <c r="Y175" s="152"/>
      <c r="Z175" s="152"/>
      <c r="AA175" s="152"/>
      <c r="AB175" s="152"/>
      <c r="AC175" s="152"/>
      <c r="AD175" s="152"/>
      <c r="AE175" s="152"/>
      <c r="AF175" s="152"/>
      <c r="AG175" s="152"/>
      <c r="AH175" s="152"/>
      <c r="AI175" s="152"/>
      <c r="AJ175" s="152"/>
      <c r="AK175" s="152"/>
      <c r="AL175" s="152"/>
    </row>
    <row r="176" spans="3:39" x14ac:dyDescent="0.35">
      <c r="C176" s="15" t="s">
        <v>2</v>
      </c>
      <c r="D176" s="11" t="s">
        <v>3</v>
      </c>
      <c r="E176" s="154">
        <f>MyBar("IMP_AU_1",E164:E171,E174,E175)</f>
        <v>0.76428527970297033</v>
      </c>
      <c r="F176" s="154">
        <f>MyBar("IMP_AU_2",F164:F171,F174,F175)</f>
        <v>0.76755238432343231</v>
      </c>
      <c r="G176" s="154">
        <f>MyBar("IMP_AU_3",G164:G171,G174,G175)</f>
        <v>0.76839846163366332</v>
      </c>
      <c r="H176" s="154">
        <f>MyBar("IMP_AU_4",H164:H171,H174,H175)</f>
        <v>0.75289454579207915</v>
      </c>
      <c r="I176" s="154">
        <f>MyBar("IMP_AU_5",I164:I171,I174,I175)</f>
        <v>0.75370795049504957</v>
      </c>
      <c r="J176" s="154">
        <f>MyBar("IMP_AU_6",J164:J171,J174,J175)</f>
        <v>0.75908700866336631</v>
      </c>
      <c r="K176" s="154">
        <f>MyBar("IMP_AU_7",K164:K171,K174,K175)</f>
        <v>0.76581581122112208</v>
      </c>
      <c r="L176" s="154">
        <f>MyBar("IMP_AU_8",L164:L171,L174,L175)</f>
        <v>0.76450045668316835</v>
      </c>
      <c r="M176" s="154">
        <f>MyBar("IMP_AU_9",M164:M171,M174,M175)</f>
        <v>0</v>
      </c>
      <c r="N176" s="154">
        <f>MyBar("IMP_AU_10",N164:N171,N174,N175)</f>
        <v>0</v>
      </c>
      <c r="O176" s="154">
        <f>MyBar("IMP_AU_11",O164:O171,O174,O175)</f>
        <v>0</v>
      </c>
      <c r="P176" s="154">
        <f>MyBar("IMP_AU_12",P164:P171,P174,P175)</f>
        <v>0</v>
      </c>
      <c r="Q176" s="154">
        <f>MyBar("IMP_AU_13",Q164:Q171,Q174,Q175)</f>
        <v>0.67479482673267321</v>
      </c>
      <c r="R176" s="154">
        <f>MyBar("IMP_AU_14",R164:R171,R174,R175)</f>
        <v>0.68439662442244231</v>
      </c>
      <c r="S176" s="154">
        <f>MyBar("IMP_AU_15",S164:S171,S174,S175)</f>
        <v>0.69567157301980198</v>
      </c>
      <c r="T176" s="154">
        <f>MyBar("IMP_AU_16",T164:T171,T174,T175)</f>
        <v>0.70826299818481842</v>
      </c>
      <c r="U176" s="154">
        <f>MyBar("IMP_AU_17",U164:U171,U174,U175)</f>
        <v>0.7450800588283828</v>
      </c>
      <c r="V176" s="154">
        <f>MyBar("IMP_AU_18",V164:V171,V174,V175)</f>
        <v>0.67614729579207922</v>
      </c>
      <c r="W176" s="154">
        <f>MyBar("IMP_AU_19",W164:W171,W174,W175)</f>
        <v>0.65094557920792084</v>
      </c>
      <c r="X176" s="154">
        <f>MyBar("IMP_AU_20",X164:X171,X174,X175)</f>
        <v>0.70517077351485147</v>
      </c>
      <c r="Y176" s="154"/>
      <c r="Z176" s="154"/>
      <c r="AA176" s="154"/>
      <c r="AB176" s="154"/>
      <c r="AC176" s="154"/>
      <c r="AD176" s="154"/>
      <c r="AE176" s="154"/>
      <c r="AF176" s="154"/>
      <c r="AG176" s="154"/>
      <c r="AH176" s="154"/>
      <c r="AI176" s="154"/>
      <c r="AJ176" s="154"/>
      <c r="AK176" s="154"/>
      <c r="AL176" s="154"/>
    </row>
    <row r="177" spans="3:39" x14ac:dyDescent="0.35">
      <c r="C177" s="3"/>
      <c r="D177" s="2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</row>
    <row r="178" spans="3:39" x14ac:dyDescent="0.35">
      <c r="C178" s="3"/>
      <c r="D178" s="2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</row>
    <row r="179" spans="3:39" x14ac:dyDescent="0.35">
      <c r="C179" s="38" t="s">
        <v>61</v>
      </c>
      <c r="E179" s="47" t="str">
        <f>E$33</f>
        <v>W</v>
      </c>
      <c r="F179" s="47" t="str">
        <f t="shared" ref="F179:AL179" si="27">F$33</f>
        <v>T</v>
      </c>
      <c r="G179" s="47" t="str">
        <f t="shared" si="27"/>
        <v>F</v>
      </c>
      <c r="H179" s="47" t="str">
        <f t="shared" si="27"/>
        <v>S</v>
      </c>
      <c r="I179" s="47" t="str">
        <f t="shared" si="27"/>
        <v>S</v>
      </c>
      <c r="J179" s="47" t="str">
        <f t="shared" si="27"/>
        <v>M</v>
      </c>
      <c r="K179" s="48" t="str">
        <f t="shared" si="27"/>
        <v>T</v>
      </c>
      <c r="L179" s="47" t="str">
        <f t="shared" si="27"/>
        <v>W</v>
      </c>
      <c r="M179" s="47" t="str">
        <f t="shared" si="27"/>
        <v>T</v>
      </c>
      <c r="N179" s="47" t="str">
        <f t="shared" si="27"/>
        <v>F</v>
      </c>
      <c r="O179" s="47" t="str">
        <f t="shared" si="27"/>
        <v>S</v>
      </c>
      <c r="P179" s="47" t="str">
        <f t="shared" si="27"/>
        <v>S</v>
      </c>
      <c r="Q179" s="47" t="str">
        <f t="shared" si="27"/>
        <v>M</v>
      </c>
      <c r="R179" s="48" t="str">
        <f t="shared" si="27"/>
        <v>T</v>
      </c>
      <c r="S179" s="47" t="str">
        <f t="shared" si="27"/>
        <v>W</v>
      </c>
      <c r="T179" s="47" t="str">
        <f t="shared" si="27"/>
        <v>T</v>
      </c>
      <c r="U179" s="47" t="str">
        <f t="shared" si="27"/>
        <v>F</v>
      </c>
      <c r="V179" s="47" t="str">
        <f t="shared" si="27"/>
        <v>S</v>
      </c>
      <c r="W179" s="47" t="str">
        <f t="shared" si="27"/>
        <v>S</v>
      </c>
      <c r="X179" s="47" t="str">
        <f t="shared" si="27"/>
        <v>M</v>
      </c>
      <c r="Y179" s="48" t="str">
        <f t="shared" si="27"/>
        <v>T</v>
      </c>
      <c r="Z179" s="47" t="str">
        <f t="shared" si="27"/>
        <v>W</v>
      </c>
      <c r="AA179" s="47" t="str">
        <f t="shared" si="27"/>
        <v>T</v>
      </c>
      <c r="AB179" s="47" t="str">
        <f t="shared" si="27"/>
        <v>F</v>
      </c>
      <c r="AC179" s="47" t="str">
        <f t="shared" si="27"/>
        <v>S</v>
      </c>
      <c r="AD179" s="47" t="str">
        <f t="shared" si="27"/>
        <v>S</v>
      </c>
      <c r="AE179" s="47" t="str">
        <f t="shared" si="27"/>
        <v>M</v>
      </c>
      <c r="AF179" s="48" t="str">
        <f t="shared" si="27"/>
        <v>T</v>
      </c>
      <c r="AG179" s="47" t="str">
        <f t="shared" si="27"/>
        <v>W</v>
      </c>
      <c r="AH179" s="47" t="str">
        <f t="shared" si="27"/>
        <v>T</v>
      </c>
      <c r="AI179" s="47" t="str">
        <f t="shared" si="27"/>
        <v>F</v>
      </c>
      <c r="AJ179" s="47" t="str">
        <f t="shared" si="27"/>
        <v>S</v>
      </c>
      <c r="AK179" s="47" t="str">
        <f t="shared" si="27"/>
        <v>S</v>
      </c>
      <c r="AL179" s="47" t="str">
        <f t="shared" si="27"/>
        <v>M</v>
      </c>
    </row>
    <row r="180" spans="3:39" x14ac:dyDescent="0.35">
      <c r="C180" s="2" t="s">
        <v>62</v>
      </c>
      <c r="E180" s="47" t="str">
        <f>E$34</f>
        <v>20</v>
      </c>
      <c r="F180" s="47" t="str">
        <f t="shared" ref="F180:AL180" si="28">F$34</f>
        <v>21</v>
      </c>
      <c r="G180" s="47" t="str">
        <f t="shared" si="28"/>
        <v>22</v>
      </c>
      <c r="H180" s="47" t="str">
        <f t="shared" si="28"/>
        <v>23</v>
      </c>
      <c r="I180" s="47" t="str">
        <f t="shared" si="28"/>
        <v>24</v>
      </c>
      <c r="J180" s="47" t="str">
        <f t="shared" si="28"/>
        <v>25</v>
      </c>
      <c r="K180" s="48" t="str">
        <f t="shared" si="28"/>
        <v>26</v>
      </c>
      <c r="L180" s="47" t="str">
        <f t="shared" si="28"/>
        <v>27</v>
      </c>
      <c r="M180" s="47" t="str">
        <f t="shared" si="28"/>
        <v>28</v>
      </c>
      <c r="N180" s="47" t="str">
        <f t="shared" si="28"/>
        <v>29</v>
      </c>
      <c r="O180" s="47" t="str">
        <f t="shared" si="28"/>
        <v>30</v>
      </c>
      <c r="P180" s="47" t="str">
        <f t="shared" si="28"/>
        <v>31</v>
      </c>
      <c r="Q180" s="47" t="str">
        <f t="shared" si="28"/>
        <v>01</v>
      </c>
      <c r="R180" s="48" t="str">
        <f t="shared" si="28"/>
        <v>02</v>
      </c>
      <c r="S180" s="47" t="str">
        <f t="shared" si="28"/>
        <v>03</v>
      </c>
      <c r="T180" s="47" t="str">
        <f t="shared" si="28"/>
        <v>04</v>
      </c>
      <c r="U180" s="47" t="str">
        <f t="shared" si="28"/>
        <v>05</v>
      </c>
      <c r="V180" s="47" t="str">
        <f t="shared" si="28"/>
        <v>06</v>
      </c>
      <c r="W180" s="47" t="str">
        <f t="shared" si="28"/>
        <v>07</v>
      </c>
      <c r="X180" s="47" t="str">
        <f t="shared" si="28"/>
        <v>08</v>
      </c>
      <c r="Y180" s="48" t="str">
        <f t="shared" si="28"/>
        <v>09</v>
      </c>
      <c r="Z180" s="47" t="str">
        <f t="shared" si="28"/>
        <v>10</v>
      </c>
      <c r="AA180" s="47" t="str">
        <f t="shared" si="28"/>
        <v>11</v>
      </c>
      <c r="AB180" s="47" t="str">
        <f t="shared" si="28"/>
        <v>12</v>
      </c>
      <c r="AC180" s="47" t="str">
        <f t="shared" si="28"/>
        <v>13</v>
      </c>
      <c r="AD180" s="47" t="str">
        <f t="shared" si="28"/>
        <v>14</v>
      </c>
      <c r="AE180" s="47" t="str">
        <f t="shared" si="28"/>
        <v>15</v>
      </c>
      <c r="AF180" s="48" t="str">
        <f t="shared" si="28"/>
        <v>16</v>
      </c>
      <c r="AG180" s="47" t="str">
        <f t="shared" si="28"/>
        <v>17</v>
      </c>
      <c r="AH180" s="47" t="str">
        <f t="shared" si="28"/>
        <v>18</v>
      </c>
      <c r="AI180" s="47" t="str">
        <f t="shared" si="28"/>
        <v>19</v>
      </c>
      <c r="AJ180" s="47" t="str">
        <f t="shared" si="28"/>
        <v>20</v>
      </c>
      <c r="AK180" s="47" t="str">
        <f t="shared" si="28"/>
        <v>21</v>
      </c>
      <c r="AL180" s="134" t="str">
        <f t="shared" si="28"/>
        <v>22</v>
      </c>
      <c r="AM180" s="183">
        <f>X192</f>
        <v>682</v>
      </c>
    </row>
    <row r="181" spans="3:39" x14ac:dyDescent="0.35"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184"/>
    </row>
    <row r="182" spans="3:39" x14ac:dyDescent="0.35"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</row>
    <row r="183" spans="3:39" x14ac:dyDescent="0.35"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</row>
    <row r="184" spans="3:39" x14ac:dyDescent="0.35"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</row>
    <row r="185" spans="3:39" x14ac:dyDescent="0.35"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</row>
    <row r="186" spans="3:39" x14ac:dyDescent="0.35"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</row>
    <row r="187" spans="3:39" x14ac:dyDescent="0.35"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</row>
    <row r="188" spans="3:39" x14ac:dyDescent="0.35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</row>
    <row r="189" spans="3:39" x14ac:dyDescent="0.35">
      <c r="C189" s="2"/>
      <c r="E189" s="6" t="s">
        <v>56</v>
      </c>
      <c r="F189" s="6" t="s">
        <v>42</v>
      </c>
      <c r="G189" s="6" t="s">
        <v>41</v>
      </c>
      <c r="H189" s="6" t="s">
        <v>40</v>
      </c>
      <c r="I189" s="6" t="s">
        <v>39</v>
      </c>
      <c r="J189" s="6" t="s">
        <v>38</v>
      </c>
      <c r="K189" s="49" t="s">
        <v>37</v>
      </c>
      <c r="L189" s="6" t="s">
        <v>36</v>
      </c>
      <c r="M189" s="6" t="s">
        <v>35</v>
      </c>
      <c r="N189" s="6" t="s">
        <v>34</v>
      </c>
      <c r="O189" s="6" t="s">
        <v>33</v>
      </c>
      <c r="P189" s="6" t="s">
        <v>32</v>
      </c>
      <c r="Q189" s="6" t="s">
        <v>31</v>
      </c>
      <c r="R189" s="49" t="s">
        <v>30</v>
      </c>
      <c r="S189" s="6" t="s">
        <v>29</v>
      </c>
      <c r="T189" s="6" t="s">
        <v>28</v>
      </c>
      <c r="U189" s="6" t="s">
        <v>27</v>
      </c>
      <c r="V189" s="6" t="s">
        <v>26</v>
      </c>
      <c r="W189" s="6" t="s">
        <v>25</v>
      </c>
      <c r="X189" s="6" t="s">
        <v>24</v>
      </c>
      <c r="Y189" s="49" t="s">
        <v>23</v>
      </c>
      <c r="Z189" s="6" t="s">
        <v>43</v>
      </c>
      <c r="AA189" s="6" t="s">
        <v>44</v>
      </c>
      <c r="AB189" s="6" t="s">
        <v>45</v>
      </c>
      <c r="AC189" s="6" t="s">
        <v>46</v>
      </c>
      <c r="AD189" s="6" t="s">
        <v>47</v>
      </c>
      <c r="AE189" s="6" t="s">
        <v>48</v>
      </c>
      <c r="AF189" s="49" t="s">
        <v>49</v>
      </c>
      <c r="AG189" s="6" t="s">
        <v>50</v>
      </c>
      <c r="AH189" s="6" t="s">
        <v>51</v>
      </c>
      <c r="AI189" s="6" t="s">
        <v>52</v>
      </c>
      <c r="AJ189" s="6" t="s">
        <v>53</v>
      </c>
      <c r="AK189" s="6" t="s">
        <v>54</v>
      </c>
      <c r="AL189" s="6" t="s">
        <v>55</v>
      </c>
    </row>
    <row r="190" spans="3:39" x14ac:dyDescent="0.3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</row>
    <row r="191" spans="3:39" x14ac:dyDescent="0.35">
      <c r="C191" s="2" t="s">
        <v>189</v>
      </c>
      <c r="D191" s="2" t="s">
        <v>80</v>
      </c>
      <c r="E191" s="52">
        <f>Prereport!E25</f>
        <v>266.34738599999997</v>
      </c>
      <c r="F191" s="52">
        <f>Prereport!F25</f>
        <v>289.41529500000001</v>
      </c>
      <c r="G191" s="52">
        <f>Prereport!G25</f>
        <v>253.80524629999999</v>
      </c>
      <c r="H191" s="52">
        <f>Prereport!H25</f>
        <v>243.36927600000001</v>
      </c>
      <c r="I191" s="52">
        <f>Prereport!I25</f>
        <v>217.61458429999999</v>
      </c>
      <c r="J191" s="52">
        <f>Prereport!J25</f>
        <v>336.58088780000003</v>
      </c>
      <c r="K191" s="52">
        <f>Prereport!K25</f>
        <v>282.64263</v>
      </c>
      <c r="L191" s="52">
        <f>Prereport!L25</f>
        <v>276.9007388</v>
      </c>
      <c r="M191" s="52">
        <f>Prereport!M25</f>
        <v>0</v>
      </c>
      <c r="N191" s="52">
        <f>Prereport!N25</f>
        <v>0</v>
      </c>
      <c r="O191" s="52">
        <f>Prereport!O25</f>
        <v>0</v>
      </c>
      <c r="P191" s="52">
        <f>Prereport!P25</f>
        <v>0</v>
      </c>
      <c r="Q191" s="52">
        <f>Prereport!Q25</f>
        <v>134.69516999999999</v>
      </c>
      <c r="R191" s="52">
        <f>Prereport!R25</f>
        <v>98.581153499999999</v>
      </c>
      <c r="S191" s="52">
        <f>Prereport!S25</f>
        <v>68.618285299999997</v>
      </c>
      <c r="T191" s="52">
        <f>Prereport!T25</f>
        <v>214.67444399999999</v>
      </c>
      <c r="U191" s="52">
        <f>Prereport!U25</f>
        <v>236.50664549999999</v>
      </c>
      <c r="V191" s="52">
        <f>Prereport!V25</f>
        <v>130.16986650000001</v>
      </c>
      <c r="W191" s="52">
        <f>Prereport!W25</f>
        <v>105.978915</v>
      </c>
      <c r="X191" s="52">
        <f>Prereport!X25</f>
        <v>204.889239</v>
      </c>
      <c r="Y191" s="52"/>
      <c r="Z191" s="52"/>
      <c r="AA191" s="52"/>
      <c r="AB191" s="52"/>
    </row>
    <row r="192" spans="3:39" x14ac:dyDescent="0.35">
      <c r="C192" s="9" t="s">
        <v>1</v>
      </c>
      <c r="D192" s="9" t="s">
        <v>80</v>
      </c>
      <c r="E192" s="152">
        <f>Prereport!E26</f>
        <v>682</v>
      </c>
      <c r="F192" s="152">
        <f>Prereport!F26</f>
        <v>682</v>
      </c>
      <c r="G192" s="152">
        <f>Prereport!G26</f>
        <v>682</v>
      </c>
      <c r="H192" s="152">
        <f>Prereport!H26</f>
        <v>682</v>
      </c>
      <c r="I192" s="152">
        <f>Prereport!I26</f>
        <v>682</v>
      </c>
      <c r="J192" s="152">
        <f>Prereport!J26</f>
        <v>682</v>
      </c>
      <c r="K192" s="152">
        <f>Prereport!K26</f>
        <v>682</v>
      </c>
      <c r="L192" s="152">
        <f>Prereport!L26</f>
        <v>682</v>
      </c>
      <c r="M192" s="152">
        <f>Prereport!M26</f>
        <v>682</v>
      </c>
      <c r="N192" s="152">
        <f>Prereport!N26</f>
        <v>682</v>
      </c>
      <c r="O192" s="152">
        <f>Prereport!O26</f>
        <v>682</v>
      </c>
      <c r="P192" s="152">
        <f>Prereport!P26</f>
        <v>682</v>
      </c>
      <c r="Q192" s="152">
        <f>Prereport!Q26</f>
        <v>682</v>
      </c>
      <c r="R192" s="152">
        <f>Prereport!R26</f>
        <v>682</v>
      </c>
      <c r="S192" s="152">
        <f>Prereport!S26</f>
        <v>682</v>
      </c>
      <c r="T192" s="152">
        <f>Prereport!T26</f>
        <v>682</v>
      </c>
      <c r="U192" s="152">
        <f>Prereport!U26</f>
        <v>682</v>
      </c>
      <c r="V192" s="152">
        <f>Prereport!V26</f>
        <v>682</v>
      </c>
      <c r="W192" s="152">
        <f>Prereport!W26</f>
        <v>682</v>
      </c>
      <c r="X192" s="152">
        <f>Prereport!X26</f>
        <v>682</v>
      </c>
      <c r="Y192" s="152"/>
      <c r="Z192" s="152"/>
      <c r="AA192" s="152"/>
      <c r="AB192" s="152"/>
      <c r="AC192" s="153"/>
      <c r="AD192" s="153"/>
      <c r="AE192" s="153"/>
      <c r="AF192" s="153"/>
      <c r="AG192" s="153"/>
      <c r="AH192" s="153"/>
      <c r="AI192" s="153"/>
      <c r="AJ192" s="153"/>
      <c r="AK192" s="153"/>
      <c r="AL192" s="153"/>
    </row>
    <row r="193" spans="3:39" x14ac:dyDescent="0.35">
      <c r="C193" s="15" t="s">
        <v>2</v>
      </c>
      <c r="D193" s="11" t="s">
        <v>3</v>
      </c>
      <c r="E193" s="154">
        <f>MyBar("IMP_CH_1",E181:E188,E191,E192)</f>
        <v>0.39053868914956008</v>
      </c>
      <c r="F193" s="154">
        <f>MyBar("IMP_CH_2",F181:F188,F191,F192)</f>
        <v>0.4243626026392962</v>
      </c>
      <c r="G193" s="154">
        <f>MyBar("IMP_CH_3",G181:G188,G191,G192)</f>
        <v>0.37214845498533722</v>
      </c>
      <c r="H193" s="154">
        <f>MyBar("IMP_CH_4",H181:H188,H191,H192)</f>
        <v>0.35684644574780061</v>
      </c>
      <c r="I193" s="154">
        <f>MyBar("IMP_CH_5",I181:I188,I191,I192)</f>
        <v>0.31908296818181819</v>
      </c>
      <c r="J193" s="154">
        <f>MyBar("IMP_CH_6",J181:J188,J191,J192)</f>
        <v>0.49352036334310856</v>
      </c>
      <c r="K193" s="154">
        <f>MyBar("IMP_CH_7",K181:K188,K191,K192)</f>
        <v>0.41443200879765396</v>
      </c>
      <c r="L193" s="154">
        <f>MyBar("IMP_CH_8",L181:L188,L191,L192)</f>
        <v>0.40601281348973606</v>
      </c>
      <c r="M193" s="154">
        <f>MyBar("IMP_CH_9",M181:M188,M191,M192)</f>
        <v>0</v>
      </c>
      <c r="N193" s="154">
        <f>MyBar("IMP_CH_10",N181:N188,N191,N192)</f>
        <v>0</v>
      </c>
      <c r="O193" s="154">
        <f>MyBar("IMP_CH_11",O181:O188,O191,O192)</f>
        <v>0</v>
      </c>
      <c r="P193" s="154">
        <f>MyBar("IMP_CH_12",P181:P188,P191,P192)</f>
        <v>0</v>
      </c>
      <c r="Q193" s="154">
        <f>MyBar("IMP_CH_13",Q181:Q188,Q191,Q192)</f>
        <v>0.19750024926686216</v>
      </c>
      <c r="R193" s="154">
        <f>MyBar("IMP_CH_14",R181:R188,R191,R192)</f>
        <v>0.14454714589442816</v>
      </c>
      <c r="S193" s="154">
        <f>MyBar("IMP_CH_15",S181:S188,S191,S192)</f>
        <v>0.10061332155425219</v>
      </c>
      <c r="T193" s="154">
        <f>MyBar("IMP_CH_16",T181:T188,T191,T192)</f>
        <v>0.31477191202346039</v>
      </c>
      <c r="U193" s="154">
        <f>MyBar("IMP_CH_17",U181:U188,U191,U192)</f>
        <v>0.34678393768328447</v>
      </c>
      <c r="V193" s="154">
        <f>MyBar("IMP_CH_18",V181:V188,V191,V192)</f>
        <v>0.19086490689149563</v>
      </c>
      <c r="W193" s="154">
        <f>MyBar("IMP_CH_19",W181:W188,W191,W192)</f>
        <v>0.15539430351906158</v>
      </c>
      <c r="X193" s="154">
        <f>MyBar("IMP_CH_20",X181:X188,X191,X192)</f>
        <v>0.30042410410557185</v>
      </c>
      <c r="Y193" s="154"/>
      <c r="Z193" s="154"/>
      <c r="AA193" s="154"/>
      <c r="AB193" s="154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</row>
    <row r="194" spans="3:39" x14ac:dyDescent="0.35">
      <c r="C194" s="3"/>
      <c r="D194" s="2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</row>
    <row r="195" spans="3:39" x14ac:dyDescent="0.35">
      <c r="C195" s="3"/>
      <c r="D195" s="2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</row>
    <row r="196" spans="3:39" x14ac:dyDescent="0.35">
      <c r="C196" s="38" t="s">
        <v>63</v>
      </c>
      <c r="E196" s="47" t="str">
        <f>E$33</f>
        <v>W</v>
      </c>
      <c r="F196" s="47" t="str">
        <f t="shared" ref="F196:AL196" si="29">F$33</f>
        <v>T</v>
      </c>
      <c r="G196" s="47" t="str">
        <f t="shared" si="29"/>
        <v>F</v>
      </c>
      <c r="H196" s="47" t="str">
        <f t="shared" si="29"/>
        <v>S</v>
      </c>
      <c r="I196" s="47" t="str">
        <f t="shared" si="29"/>
        <v>S</v>
      </c>
      <c r="J196" s="47" t="str">
        <f t="shared" si="29"/>
        <v>M</v>
      </c>
      <c r="K196" s="48" t="str">
        <f t="shared" si="29"/>
        <v>T</v>
      </c>
      <c r="L196" s="47" t="str">
        <f t="shared" si="29"/>
        <v>W</v>
      </c>
      <c r="M196" s="47" t="str">
        <f t="shared" si="29"/>
        <v>T</v>
      </c>
      <c r="N196" s="47" t="str">
        <f t="shared" si="29"/>
        <v>F</v>
      </c>
      <c r="O196" s="47" t="str">
        <f t="shared" si="29"/>
        <v>S</v>
      </c>
      <c r="P196" s="47" t="str">
        <f t="shared" si="29"/>
        <v>S</v>
      </c>
      <c r="Q196" s="47" t="str">
        <f t="shared" si="29"/>
        <v>M</v>
      </c>
      <c r="R196" s="48" t="str">
        <f t="shared" si="29"/>
        <v>T</v>
      </c>
      <c r="S196" s="47" t="str">
        <f t="shared" si="29"/>
        <v>W</v>
      </c>
      <c r="T196" s="47" t="str">
        <f t="shared" si="29"/>
        <v>T</v>
      </c>
      <c r="U196" s="47" t="str">
        <f t="shared" si="29"/>
        <v>F</v>
      </c>
      <c r="V196" s="47" t="str">
        <f t="shared" si="29"/>
        <v>S</v>
      </c>
      <c r="W196" s="47" t="str">
        <f t="shared" si="29"/>
        <v>S</v>
      </c>
      <c r="X196" s="47" t="str">
        <f t="shared" si="29"/>
        <v>M</v>
      </c>
      <c r="Y196" s="48" t="str">
        <f t="shared" si="29"/>
        <v>T</v>
      </c>
      <c r="Z196" s="47" t="str">
        <f t="shared" si="29"/>
        <v>W</v>
      </c>
      <c r="AA196" s="47" t="str">
        <f t="shared" si="29"/>
        <v>T</v>
      </c>
      <c r="AB196" s="47" t="str">
        <f t="shared" si="29"/>
        <v>F</v>
      </c>
      <c r="AC196" s="47" t="str">
        <f t="shared" si="29"/>
        <v>S</v>
      </c>
      <c r="AD196" s="47" t="str">
        <f t="shared" si="29"/>
        <v>S</v>
      </c>
      <c r="AE196" s="47" t="str">
        <f t="shared" si="29"/>
        <v>M</v>
      </c>
      <c r="AF196" s="48" t="str">
        <f t="shared" si="29"/>
        <v>T</v>
      </c>
      <c r="AG196" s="47" t="str">
        <f t="shared" si="29"/>
        <v>W</v>
      </c>
      <c r="AH196" s="47" t="str">
        <f t="shared" si="29"/>
        <v>T</v>
      </c>
      <c r="AI196" s="47" t="str">
        <f t="shared" si="29"/>
        <v>F</v>
      </c>
      <c r="AJ196" s="47" t="str">
        <f t="shared" si="29"/>
        <v>S</v>
      </c>
      <c r="AK196" s="47" t="str">
        <f t="shared" si="29"/>
        <v>S</v>
      </c>
      <c r="AL196" s="47" t="str">
        <f t="shared" si="29"/>
        <v>M</v>
      </c>
    </row>
    <row r="197" spans="3:39" x14ac:dyDescent="0.35">
      <c r="C197" s="2" t="s">
        <v>64</v>
      </c>
      <c r="E197" s="47" t="str">
        <f>E$34</f>
        <v>20</v>
      </c>
      <c r="F197" s="47" t="str">
        <f t="shared" ref="F197:AL197" si="30">F$34</f>
        <v>21</v>
      </c>
      <c r="G197" s="47" t="str">
        <f t="shared" si="30"/>
        <v>22</v>
      </c>
      <c r="H197" s="47" t="str">
        <f t="shared" si="30"/>
        <v>23</v>
      </c>
      <c r="I197" s="47" t="str">
        <f t="shared" si="30"/>
        <v>24</v>
      </c>
      <c r="J197" s="47" t="str">
        <f t="shared" si="30"/>
        <v>25</v>
      </c>
      <c r="K197" s="48" t="str">
        <f t="shared" si="30"/>
        <v>26</v>
      </c>
      <c r="L197" s="47" t="str">
        <f t="shared" si="30"/>
        <v>27</v>
      </c>
      <c r="M197" s="47" t="str">
        <f t="shared" si="30"/>
        <v>28</v>
      </c>
      <c r="N197" s="47" t="str">
        <f t="shared" si="30"/>
        <v>29</v>
      </c>
      <c r="O197" s="47" t="str">
        <f t="shared" si="30"/>
        <v>30</v>
      </c>
      <c r="P197" s="47" t="str">
        <f t="shared" si="30"/>
        <v>31</v>
      </c>
      <c r="Q197" s="47" t="str">
        <f t="shared" si="30"/>
        <v>01</v>
      </c>
      <c r="R197" s="48" t="str">
        <f t="shared" si="30"/>
        <v>02</v>
      </c>
      <c r="S197" s="47" t="str">
        <f t="shared" si="30"/>
        <v>03</v>
      </c>
      <c r="T197" s="47" t="str">
        <f t="shared" si="30"/>
        <v>04</v>
      </c>
      <c r="U197" s="47" t="str">
        <f t="shared" si="30"/>
        <v>05</v>
      </c>
      <c r="V197" s="47" t="str">
        <f t="shared" si="30"/>
        <v>06</v>
      </c>
      <c r="W197" s="47" t="str">
        <f t="shared" si="30"/>
        <v>07</v>
      </c>
      <c r="X197" s="47" t="str">
        <f t="shared" si="30"/>
        <v>08</v>
      </c>
      <c r="Y197" s="48" t="str">
        <f t="shared" si="30"/>
        <v>09</v>
      </c>
      <c r="Z197" s="47" t="str">
        <f t="shared" si="30"/>
        <v>10</v>
      </c>
      <c r="AA197" s="47" t="str">
        <f t="shared" si="30"/>
        <v>11</v>
      </c>
      <c r="AB197" s="47" t="str">
        <f t="shared" si="30"/>
        <v>12</v>
      </c>
      <c r="AC197" s="47" t="str">
        <f t="shared" si="30"/>
        <v>13</v>
      </c>
      <c r="AD197" s="47" t="str">
        <f t="shared" si="30"/>
        <v>14</v>
      </c>
      <c r="AE197" s="47" t="str">
        <f t="shared" si="30"/>
        <v>15</v>
      </c>
      <c r="AF197" s="48" t="str">
        <f t="shared" si="30"/>
        <v>16</v>
      </c>
      <c r="AG197" s="47" t="str">
        <f t="shared" si="30"/>
        <v>17</v>
      </c>
      <c r="AH197" s="47" t="str">
        <f t="shared" si="30"/>
        <v>18</v>
      </c>
      <c r="AI197" s="47" t="str">
        <f t="shared" si="30"/>
        <v>19</v>
      </c>
      <c r="AJ197" s="47" t="str">
        <f t="shared" si="30"/>
        <v>20</v>
      </c>
      <c r="AK197" s="47" t="str">
        <f t="shared" si="30"/>
        <v>21</v>
      </c>
      <c r="AL197" s="134" t="str">
        <f t="shared" si="30"/>
        <v>22</v>
      </c>
      <c r="AM197" s="183">
        <f>X209</f>
        <v>400</v>
      </c>
    </row>
    <row r="198" spans="3:39" x14ac:dyDescent="0.35"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184"/>
    </row>
    <row r="199" spans="3:39" x14ac:dyDescent="0.35"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</row>
    <row r="200" spans="3:39" x14ac:dyDescent="0.35"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</row>
    <row r="201" spans="3:39" x14ac:dyDescent="0.35"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</row>
    <row r="202" spans="3:39" x14ac:dyDescent="0.35"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</row>
    <row r="203" spans="3:39" x14ac:dyDescent="0.35"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</row>
    <row r="204" spans="3:39" x14ac:dyDescent="0.35"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</row>
    <row r="205" spans="3:39" x14ac:dyDescent="0.35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</row>
    <row r="206" spans="3:39" x14ac:dyDescent="0.35">
      <c r="C206" s="2"/>
      <c r="E206" s="6" t="s">
        <v>56</v>
      </c>
      <c r="F206" s="6" t="s">
        <v>42</v>
      </c>
      <c r="G206" s="6" t="s">
        <v>41</v>
      </c>
      <c r="H206" s="6" t="s">
        <v>40</v>
      </c>
      <c r="I206" s="6" t="s">
        <v>39</v>
      </c>
      <c r="J206" s="6" t="s">
        <v>38</v>
      </c>
      <c r="K206" s="49" t="s">
        <v>37</v>
      </c>
      <c r="L206" s="6" t="s">
        <v>36</v>
      </c>
      <c r="M206" s="6" t="s">
        <v>35</v>
      </c>
      <c r="N206" s="6" t="s">
        <v>34</v>
      </c>
      <c r="O206" s="6" t="s">
        <v>33</v>
      </c>
      <c r="P206" s="6" t="s">
        <v>32</v>
      </c>
      <c r="Q206" s="6" t="s">
        <v>31</v>
      </c>
      <c r="R206" s="49" t="s">
        <v>30</v>
      </c>
      <c r="S206" s="6" t="s">
        <v>29</v>
      </c>
      <c r="T206" s="6" t="s">
        <v>28</v>
      </c>
      <c r="U206" s="6" t="s">
        <v>27</v>
      </c>
      <c r="V206" s="6" t="s">
        <v>26</v>
      </c>
      <c r="W206" s="6" t="s">
        <v>25</v>
      </c>
      <c r="X206" s="6" t="s">
        <v>24</v>
      </c>
      <c r="Y206" s="49" t="s">
        <v>23</v>
      </c>
      <c r="Z206" s="6" t="s">
        <v>43</v>
      </c>
      <c r="AA206" s="6" t="s">
        <v>44</v>
      </c>
      <c r="AB206" s="6" t="s">
        <v>45</v>
      </c>
      <c r="AC206" s="6" t="s">
        <v>46</v>
      </c>
      <c r="AD206" s="6" t="s">
        <v>47</v>
      </c>
      <c r="AE206" s="6" t="s">
        <v>48</v>
      </c>
      <c r="AF206" s="49" t="s">
        <v>49</v>
      </c>
      <c r="AG206" s="6" t="s">
        <v>50</v>
      </c>
      <c r="AH206" s="6" t="s">
        <v>51</v>
      </c>
      <c r="AI206" s="6" t="s">
        <v>52</v>
      </c>
      <c r="AJ206" s="6" t="s">
        <v>53</v>
      </c>
      <c r="AK206" s="6" t="s">
        <v>54</v>
      </c>
      <c r="AL206" s="6" t="s">
        <v>55</v>
      </c>
    </row>
    <row r="207" spans="3:39" x14ac:dyDescent="0.3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</row>
    <row r="208" spans="3:39" x14ac:dyDescent="0.35">
      <c r="C208" s="2" t="s">
        <v>189</v>
      </c>
      <c r="D208" s="2" t="s">
        <v>80</v>
      </c>
      <c r="E208" s="52">
        <f>Prereport!E30</f>
        <v>252.62795249999999</v>
      </c>
      <c r="F208" s="52">
        <f>Prereport!F30</f>
        <v>240.50547599999999</v>
      </c>
      <c r="G208" s="52">
        <f>Prereport!G30</f>
        <v>244.55750330000001</v>
      </c>
      <c r="H208" s="52">
        <f>Prereport!H30</f>
        <v>250.2221663</v>
      </c>
      <c r="I208" s="52">
        <f>Prereport!I30</f>
        <v>256.60069800000002</v>
      </c>
      <c r="J208" s="52">
        <f>Prereport!J30</f>
        <v>251.56163100000001</v>
      </c>
      <c r="K208" s="52">
        <f>Prereport!K30</f>
        <v>257.54414250000002</v>
      </c>
      <c r="L208" s="52">
        <f>Prereport!L30</f>
        <v>252.6655537</v>
      </c>
      <c r="M208" s="52">
        <f>Prereport!M30</f>
        <v>0</v>
      </c>
      <c r="N208" s="52">
        <f>Prereport!N30</f>
        <v>0</v>
      </c>
      <c r="O208" s="52">
        <f>Prereport!O30</f>
        <v>0</v>
      </c>
      <c r="P208" s="52">
        <f>Prereport!P30</f>
        <v>0</v>
      </c>
      <c r="Q208" s="52">
        <f>Prereport!Q30</f>
        <v>249.05785950000001</v>
      </c>
      <c r="R208" s="52">
        <f>Prereport!R30</f>
        <v>247.07015469999999</v>
      </c>
      <c r="S208" s="52">
        <f>Prereport!S30</f>
        <v>246.89355380000001</v>
      </c>
      <c r="T208" s="52">
        <f>Prereport!T30</f>
        <v>246.79046249999999</v>
      </c>
      <c r="U208" s="52">
        <f>Prereport!U30</f>
        <v>246.906069</v>
      </c>
      <c r="V208" s="52">
        <f>Prereport!V30</f>
        <v>257.2002367</v>
      </c>
      <c r="W208" s="52">
        <f>Prereport!W30</f>
        <v>258.68549999999999</v>
      </c>
      <c r="X208" s="52">
        <f>Prereport!X30</f>
        <v>247.56685200000001</v>
      </c>
      <c r="Y208" s="52"/>
      <c r="Z208" s="52"/>
      <c r="AA208" s="52"/>
      <c r="AB208" s="52"/>
    </row>
    <row r="209" spans="3:39" x14ac:dyDescent="0.35">
      <c r="C209" s="9" t="s">
        <v>1</v>
      </c>
      <c r="D209" s="9" t="s">
        <v>80</v>
      </c>
      <c r="E209" s="152">
        <f>Prereport!E31</f>
        <v>400</v>
      </c>
      <c r="F209" s="152">
        <f>Prereport!F31</f>
        <v>400</v>
      </c>
      <c r="G209" s="152">
        <f>Prereport!G31</f>
        <v>400</v>
      </c>
      <c r="H209" s="152">
        <f>Prereport!H31</f>
        <v>400</v>
      </c>
      <c r="I209" s="152">
        <f>Prereport!I31</f>
        <v>400</v>
      </c>
      <c r="J209" s="152">
        <f>Prereport!J31</f>
        <v>400</v>
      </c>
      <c r="K209" s="152">
        <f>Prereport!K31</f>
        <v>400</v>
      </c>
      <c r="L209" s="152">
        <f>Prereport!L31</f>
        <v>400</v>
      </c>
      <c r="M209" s="152">
        <f>Prereport!M31</f>
        <v>400</v>
      </c>
      <c r="N209" s="152">
        <f>Prereport!N31</f>
        <v>400</v>
      </c>
      <c r="O209" s="152">
        <f>Prereport!O31</f>
        <v>400</v>
      </c>
      <c r="P209" s="152">
        <f>Prereport!P31</f>
        <v>400</v>
      </c>
      <c r="Q209" s="152">
        <f>Prereport!Q31</f>
        <v>400</v>
      </c>
      <c r="R209" s="152">
        <f>Prereport!R31</f>
        <v>400</v>
      </c>
      <c r="S209" s="152">
        <f>Prereport!S31</f>
        <v>400</v>
      </c>
      <c r="T209" s="152">
        <f>Prereport!T31</f>
        <v>400</v>
      </c>
      <c r="U209" s="152">
        <f>Prereport!U31</f>
        <v>400</v>
      </c>
      <c r="V209" s="152">
        <f>Prereport!V31</f>
        <v>400</v>
      </c>
      <c r="W209" s="152">
        <f>Prereport!W31</f>
        <v>400</v>
      </c>
      <c r="X209" s="152">
        <f>Prereport!X31</f>
        <v>400</v>
      </c>
      <c r="Y209" s="152"/>
      <c r="Z209" s="152"/>
      <c r="AA209" s="152"/>
      <c r="AB209" s="152"/>
      <c r="AC209" s="153"/>
      <c r="AD209" s="153"/>
      <c r="AE209" s="153"/>
      <c r="AF209" s="153"/>
      <c r="AG209" s="153"/>
      <c r="AH209" s="153"/>
      <c r="AI209" s="153"/>
      <c r="AJ209" s="153"/>
      <c r="AK209" s="153"/>
      <c r="AL209" s="153"/>
    </row>
    <row r="210" spans="3:39" x14ac:dyDescent="0.35">
      <c r="C210" s="15" t="s">
        <v>2</v>
      </c>
      <c r="D210" s="11" t="s">
        <v>3</v>
      </c>
      <c r="E210" s="154">
        <f>MyBar("IMP_LY_1",E198:E205,E208,E209)</f>
        <v>0.63156988125000002</v>
      </c>
      <c r="F210" s="154">
        <f>MyBar("IMP_LY_2",F198:F205,F208,F209)</f>
        <v>0.60126369000000002</v>
      </c>
      <c r="G210" s="154">
        <f>MyBar("IMP_LY_3",G198:G205,G208,G209)</f>
        <v>0.61139375824999997</v>
      </c>
      <c r="H210" s="154">
        <f>MyBar("IMP_LY_4",H198:H205,H208,H209)</f>
        <v>0.62555541574999995</v>
      </c>
      <c r="I210" s="154">
        <f>MyBar("IMP_LY_5",I198:I205,I208,I209)</f>
        <v>0.64150174500000001</v>
      </c>
      <c r="J210" s="154">
        <f>MyBar("IMP_LY_6",J198:J205,J208,J209)</f>
        <v>0.62890407749999999</v>
      </c>
      <c r="K210" s="154">
        <f>MyBar("IMP_LY_7",K198:K205,K208,K209)</f>
        <v>0.64386035625000004</v>
      </c>
      <c r="L210" s="154">
        <f>MyBar("IMP_LY_8",L198:L205,L208,L209)</f>
        <v>0.63166388424999997</v>
      </c>
      <c r="M210" s="154">
        <f>MyBar("IMP_LY_9",M198:M205,M208,M209)</f>
        <v>0</v>
      </c>
      <c r="N210" s="154">
        <f>MyBar("IMP_LY_10",N198:N205,N208,N209)</f>
        <v>0</v>
      </c>
      <c r="O210" s="154">
        <f>MyBar("IMP_LY_11",O198:O205,O208,O209)</f>
        <v>0</v>
      </c>
      <c r="P210" s="154">
        <f>MyBar("IMP_LY_12",P198:P205,P208,P209)</f>
        <v>0</v>
      </c>
      <c r="Q210" s="154">
        <f>MyBar("IMP_LY_13",Q198:Q205,Q208,Q209)</f>
        <v>0.62264464875000003</v>
      </c>
      <c r="R210" s="154">
        <f>MyBar("IMP_LY_14",R198:R205,R208,R209)</f>
        <v>0.61767538675</v>
      </c>
      <c r="S210" s="154">
        <f>MyBar("IMP_LY_15",S198:S205,S208,S209)</f>
        <v>0.61723388450000005</v>
      </c>
      <c r="T210" s="154">
        <f>MyBar("IMP_LY_16",T198:T205,T208,T209)</f>
        <v>0.61697615625000002</v>
      </c>
      <c r="U210" s="154">
        <f>MyBar("IMP_LY_17",U198:U205,U208,U209)</f>
        <v>0.61726517250000001</v>
      </c>
      <c r="V210" s="154">
        <f>MyBar("IMP_LY_18",V198:V205,V208,V209)</f>
        <v>0.64300059175000002</v>
      </c>
      <c r="W210" s="154">
        <f>MyBar("IMP_LY_19",W198:W205,W208,W209)</f>
        <v>0.64671374999999998</v>
      </c>
      <c r="X210" s="154">
        <f>MyBar("IMP_LY_20",X198:X205,X208,X209)</f>
        <v>0.61891713000000004</v>
      </c>
      <c r="Y210" s="154"/>
      <c r="Z210" s="154"/>
      <c r="AA210" s="154"/>
      <c r="AB210" s="154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</row>
    <row r="211" spans="3:39" x14ac:dyDescent="0.35">
      <c r="C211" s="3"/>
      <c r="D211" s="2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</row>
    <row r="212" spans="3:39" x14ac:dyDescent="0.35">
      <c r="C212" s="3"/>
      <c r="D212" s="2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</row>
    <row r="213" spans="3:39" x14ac:dyDescent="0.35">
      <c r="C213" s="38" t="s">
        <v>65</v>
      </c>
      <c r="E213" s="47" t="str">
        <f>E$33</f>
        <v>W</v>
      </c>
      <c r="F213" s="47" t="str">
        <f t="shared" ref="F213:AL213" si="31">F$33</f>
        <v>T</v>
      </c>
      <c r="G213" s="47" t="str">
        <f t="shared" si="31"/>
        <v>F</v>
      </c>
      <c r="H213" s="47" t="str">
        <f t="shared" si="31"/>
        <v>S</v>
      </c>
      <c r="I213" s="47" t="str">
        <f t="shared" si="31"/>
        <v>S</v>
      </c>
      <c r="J213" s="47" t="str">
        <f t="shared" si="31"/>
        <v>M</v>
      </c>
      <c r="K213" s="48" t="str">
        <f t="shared" si="31"/>
        <v>T</v>
      </c>
      <c r="L213" s="47" t="str">
        <f t="shared" si="31"/>
        <v>W</v>
      </c>
      <c r="M213" s="47" t="str">
        <f t="shared" si="31"/>
        <v>T</v>
      </c>
      <c r="N213" s="47" t="str">
        <f t="shared" si="31"/>
        <v>F</v>
      </c>
      <c r="O213" s="47" t="str">
        <f t="shared" si="31"/>
        <v>S</v>
      </c>
      <c r="P213" s="47" t="str">
        <f t="shared" si="31"/>
        <v>S</v>
      </c>
      <c r="Q213" s="47" t="str">
        <f t="shared" si="31"/>
        <v>M</v>
      </c>
      <c r="R213" s="48" t="str">
        <f t="shared" si="31"/>
        <v>T</v>
      </c>
      <c r="S213" s="47" t="str">
        <f t="shared" si="31"/>
        <v>W</v>
      </c>
      <c r="T213" s="47" t="str">
        <f t="shared" si="31"/>
        <v>T</v>
      </c>
      <c r="U213" s="47" t="str">
        <f t="shared" si="31"/>
        <v>F</v>
      </c>
      <c r="V213" s="47" t="str">
        <f t="shared" si="31"/>
        <v>S</v>
      </c>
      <c r="W213" s="47" t="str">
        <f t="shared" si="31"/>
        <v>S</v>
      </c>
      <c r="X213" s="47" t="str">
        <f t="shared" si="31"/>
        <v>M</v>
      </c>
      <c r="Y213" s="48" t="str">
        <f t="shared" si="31"/>
        <v>T</v>
      </c>
      <c r="Z213" s="47" t="str">
        <f t="shared" si="31"/>
        <v>W</v>
      </c>
      <c r="AA213" s="47" t="str">
        <f t="shared" si="31"/>
        <v>T</v>
      </c>
      <c r="AB213" s="47" t="str">
        <f t="shared" si="31"/>
        <v>F</v>
      </c>
      <c r="AC213" s="47" t="str">
        <f t="shared" si="31"/>
        <v>S</v>
      </c>
      <c r="AD213" s="47" t="str">
        <f t="shared" si="31"/>
        <v>S</v>
      </c>
      <c r="AE213" s="47" t="str">
        <f t="shared" si="31"/>
        <v>M</v>
      </c>
      <c r="AF213" s="48" t="str">
        <f t="shared" si="31"/>
        <v>T</v>
      </c>
      <c r="AG213" s="47" t="str">
        <f t="shared" si="31"/>
        <v>W</v>
      </c>
      <c r="AH213" s="47" t="str">
        <f t="shared" si="31"/>
        <v>T</v>
      </c>
      <c r="AI213" s="47" t="str">
        <f t="shared" si="31"/>
        <v>F</v>
      </c>
      <c r="AJ213" s="47" t="str">
        <f t="shared" si="31"/>
        <v>S</v>
      </c>
      <c r="AK213" s="47" t="str">
        <f t="shared" si="31"/>
        <v>S</v>
      </c>
      <c r="AL213" s="47" t="str">
        <f t="shared" si="31"/>
        <v>M</v>
      </c>
    </row>
    <row r="214" spans="3:39" x14ac:dyDescent="0.35">
      <c r="C214" s="2" t="s">
        <v>66</v>
      </c>
      <c r="E214" s="47" t="str">
        <f>E$34</f>
        <v>20</v>
      </c>
      <c r="F214" s="47" t="str">
        <f t="shared" ref="F214:AL214" si="32">F$34</f>
        <v>21</v>
      </c>
      <c r="G214" s="47" t="str">
        <f t="shared" si="32"/>
        <v>22</v>
      </c>
      <c r="H214" s="47" t="str">
        <f t="shared" si="32"/>
        <v>23</v>
      </c>
      <c r="I214" s="47" t="str">
        <f t="shared" si="32"/>
        <v>24</v>
      </c>
      <c r="J214" s="47" t="str">
        <f t="shared" si="32"/>
        <v>25</v>
      </c>
      <c r="K214" s="48" t="str">
        <f t="shared" si="32"/>
        <v>26</v>
      </c>
      <c r="L214" s="47" t="str">
        <f t="shared" si="32"/>
        <v>27</v>
      </c>
      <c r="M214" s="47" t="str">
        <f t="shared" si="32"/>
        <v>28</v>
      </c>
      <c r="N214" s="47" t="str">
        <f t="shared" si="32"/>
        <v>29</v>
      </c>
      <c r="O214" s="47" t="str">
        <f t="shared" si="32"/>
        <v>30</v>
      </c>
      <c r="P214" s="47" t="str">
        <f t="shared" si="32"/>
        <v>31</v>
      </c>
      <c r="Q214" s="47" t="str">
        <f t="shared" si="32"/>
        <v>01</v>
      </c>
      <c r="R214" s="48" t="str">
        <f t="shared" si="32"/>
        <v>02</v>
      </c>
      <c r="S214" s="47" t="str">
        <f t="shared" si="32"/>
        <v>03</v>
      </c>
      <c r="T214" s="47" t="str">
        <f t="shared" si="32"/>
        <v>04</v>
      </c>
      <c r="U214" s="47" t="str">
        <f t="shared" si="32"/>
        <v>05</v>
      </c>
      <c r="V214" s="47" t="str">
        <f t="shared" si="32"/>
        <v>06</v>
      </c>
      <c r="W214" s="47" t="str">
        <f t="shared" si="32"/>
        <v>07</v>
      </c>
      <c r="X214" s="47" t="str">
        <f t="shared" si="32"/>
        <v>08</v>
      </c>
      <c r="Y214" s="48" t="str">
        <f t="shared" si="32"/>
        <v>09</v>
      </c>
      <c r="Z214" s="47" t="str">
        <f t="shared" si="32"/>
        <v>10</v>
      </c>
      <c r="AA214" s="47" t="str">
        <f t="shared" si="32"/>
        <v>11</v>
      </c>
      <c r="AB214" s="47" t="str">
        <f t="shared" si="32"/>
        <v>12</v>
      </c>
      <c r="AC214" s="47" t="str">
        <f t="shared" si="32"/>
        <v>13</v>
      </c>
      <c r="AD214" s="47" t="str">
        <f t="shared" si="32"/>
        <v>14</v>
      </c>
      <c r="AE214" s="47" t="str">
        <f t="shared" si="32"/>
        <v>15</v>
      </c>
      <c r="AF214" s="48" t="str">
        <f t="shared" si="32"/>
        <v>16</v>
      </c>
      <c r="AG214" s="47" t="str">
        <f t="shared" si="32"/>
        <v>17</v>
      </c>
      <c r="AH214" s="47" t="str">
        <f t="shared" si="32"/>
        <v>18</v>
      </c>
      <c r="AI214" s="47" t="str">
        <f t="shared" si="32"/>
        <v>19</v>
      </c>
      <c r="AJ214" s="47" t="str">
        <f t="shared" si="32"/>
        <v>20</v>
      </c>
      <c r="AK214" s="47" t="str">
        <f t="shared" si="32"/>
        <v>21</v>
      </c>
      <c r="AL214" s="134" t="str">
        <f t="shared" si="32"/>
        <v>22</v>
      </c>
      <c r="AM214" s="183">
        <f>X226</f>
        <v>1113</v>
      </c>
    </row>
    <row r="215" spans="3:39" x14ac:dyDescent="0.35"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184"/>
    </row>
    <row r="216" spans="3:39" x14ac:dyDescent="0.35"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</row>
    <row r="217" spans="3:39" x14ac:dyDescent="0.35"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</row>
    <row r="218" spans="3:39" x14ac:dyDescent="0.35"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</row>
    <row r="219" spans="3:39" x14ac:dyDescent="0.35"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</row>
    <row r="220" spans="3:39" x14ac:dyDescent="0.35"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</row>
    <row r="221" spans="3:39" x14ac:dyDescent="0.35"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</row>
    <row r="222" spans="3:39" x14ac:dyDescent="0.35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</row>
    <row r="223" spans="3:39" x14ac:dyDescent="0.35">
      <c r="C223" s="2"/>
      <c r="E223" s="6" t="s">
        <v>56</v>
      </c>
      <c r="F223" s="6" t="s">
        <v>42</v>
      </c>
      <c r="G223" s="6" t="s">
        <v>41</v>
      </c>
      <c r="H223" s="6" t="s">
        <v>40</v>
      </c>
      <c r="I223" s="6" t="s">
        <v>39</v>
      </c>
      <c r="J223" s="6" t="s">
        <v>38</v>
      </c>
      <c r="K223" s="49" t="s">
        <v>37</v>
      </c>
      <c r="L223" s="6" t="s">
        <v>36</v>
      </c>
      <c r="M223" s="6" t="s">
        <v>35</v>
      </c>
      <c r="N223" s="6" t="s">
        <v>34</v>
      </c>
      <c r="O223" s="6" t="s">
        <v>33</v>
      </c>
      <c r="P223" s="6" t="s">
        <v>32</v>
      </c>
      <c r="Q223" s="6" t="s">
        <v>31</v>
      </c>
      <c r="R223" s="49" t="s">
        <v>30</v>
      </c>
      <c r="S223" s="6" t="s">
        <v>29</v>
      </c>
      <c r="T223" s="6" t="s">
        <v>28</v>
      </c>
      <c r="U223" s="6" t="s">
        <v>27</v>
      </c>
      <c r="V223" s="6" t="s">
        <v>26</v>
      </c>
      <c r="W223" s="6" t="s">
        <v>25</v>
      </c>
      <c r="X223" s="6" t="s">
        <v>24</v>
      </c>
      <c r="Y223" s="49" t="s">
        <v>23</v>
      </c>
      <c r="Z223" s="6" t="s">
        <v>43</v>
      </c>
      <c r="AA223" s="6" t="s">
        <v>44</v>
      </c>
      <c r="AB223" s="6" t="s">
        <v>45</v>
      </c>
      <c r="AC223" s="6" t="s">
        <v>46</v>
      </c>
      <c r="AD223" s="6" t="s">
        <v>47</v>
      </c>
      <c r="AE223" s="6" t="s">
        <v>48</v>
      </c>
      <c r="AF223" s="49" t="s">
        <v>49</v>
      </c>
      <c r="AG223" s="6" t="s">
        <v>50</v>
      </c>
      <c r="AH223" s="6" t="s">
        <v>51</v>
      </c>
      <c r="AI223" s="6" t="s">
        <v>52</v>
      </c>
      <c r="AJ223" s="6" t="s">
        <v>53</v>
      </c>
      <c r="AK223" s="6" t="s">
        <v>54</v>
      </c>
      <c r="AL223" s="6" t="s">
        <v>55</v>
      </c>
    </row>
    <row r="224" spans="3:39" x14ac:dyDescent="0.3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</row>
    <row r="225" spans="3:39" x14ac:dyDescent="0.35">
      <c r="C225" s="2" t="s">
        <v>189</v>
      </c>
      <c r="D225" s="2" t="s">
        <v>80</v>
      </c>
      <c r="E225" s="52">
        <f>Prereport!E35</f>
        <v>236.98236370000001</v>
      </c>
      <c r="F225" s="52">
        <f>Prereport!F35</f>
        <v>238.88895529999999</v>
      </c>
      <c r="G225" s="52">
        <f>Prereport!G35</f>
        <v>233.38843349999999</v>
      </c>
      <c r="H225" s="52">
        <f>Prereport!H35</f>
        <v>225.73206970000001</v>
      </c>
      <c r="I225" s="52">
        <f>Prereport!I35</f>
        <v>191.57795250000001</v>
      </c>
      <c r="J225" s="52">
        <f>Prereport!J35</f>
        <v>217.6004595</v>
      </c>
      <c r="K225" s="52">
        <f>Prereport!K35</f>
        <v>227.98328849999999</v>
      </c>
      <c r="L225" s="52">
        <f>Prereport!L35</f>
        <v>220.7877135</v>
      </c>
      <c r="M225" s="52">
        <f>Prereport!M35</f>
        <v>0</v>
      </c>
      <c r="N225" s="52">
        <f>Prereport!N35</f>
        <v>0</v>
      </c>
      <c r="O225" s="52">
        <f>Prereport!O35</f>
        <v>0</v>
      </c>
      <c r="P225" s="52">
        <f>Prereport!P35</f>
        <v>0</v>
      </c>
      <c r="Q225" s="52">
        <f>Prereport!Q35</f>
        <v>242.83297949999999</v>
      </c>
      <c r="R225" s="52">
        <f>Prereport!R35</f>
        <v>210.42011930000001</v>
      </c>
      <c r="S225" s="52">
        <f>Prereport!S35</f>
        <v>241.8293175</v>
      </c>
      <c r="T225" s="52">
        <f>Prereport!T35</f>
        <v>241.74709429999999</v>
      </c>
      <c r="U225" s="52">
        <f>Prereport!U35</f>
        <v>234.75464930000001</v>
      </c>
      <c r="V225" s="52">
        <f>Prereport!V35</f>
        <v>233.68879949999999</v>
      </c>
      <c r="W225" s="52">
        <f>Prereport!W35</f>
        <v>217.24897799999999</v>
      </c>
      <c r="X225" s="52">
        <f>Prereport!X35</f>
        <v>245.71395670000001</v>
      </c>
      <c r="Y225" s="52"/>
      <c r="Z225" s="52"/>
      <c r="AA225" s="52"/>
      <c r="AB225" s="52"/>
    </row>
    <row r="226" spans="3:39" x14ac:dyDescent="0.35">
      <c r="C226" s="9" t="s">
        <v>1</v>
      </c>
      <c r="D226" s="9" t="s">
        <v>80</v>
      </c>
      <c r="E226" s="152">
        <f>Prereport!E36</f>
        <v>1113</v>
      </c>
      <c r="F226" s="152">
        <f>Prereport!F36</f>
        <v>1113</v>
      </c>
      <c r="G226" s="152">
        <f>Prereport!G36</f>
        <v>1113</v>
      </c>
      <c r="H226" s="152">
        <f>Prereport!H36</f>
        <v>1113</v>
      </c>
      <c r="I226" s="152">
        <f>Prereport!I36</f>
        <v>1113</v>
      </c>
      <c r="J226" s="152">
        <f>Prereport!J36</f>
        <v>1113</v>
      </c>
      <c r="K226" s="152">
        <f>Prereport!K36</f>
        <v>1113</v>
      </c>
      <c r="L226" s="152">
        <f>Prereport!L36</f>
        <v>1113</v>
      </c>
      <c r="M226" s="152">
        <f>Prereport!M36</f>
        <v>1113</v>
      </c>
      <c r="N226" s="152">
        <f>Prereport!N36</f>
        <v>1113</v>
      </c>
      <c r="O226" s="152">
        <f>Prereport!O36</f>
        <v>1113</v>
      </c>
      <c r="P226" s="152">
        <f>Prereport!P36</f>
        <v>1113</v>
      </c>
      <c r="Q226" s="152">
        <f>Prereport!Q36</f>
        <v>1113</v>
      </c>
      <c r="R226" s="152">
        <f>Prereport!R36</f>
        <v>1113</v>
      </c>
      <c r="S226" s="152">
        <f>Prereport!S36</f>
        <v>1113</v>
      </c>
      <c r="T226" s="152">
        <f>Prereport!T36</f>
        <v>1113</v>
      </c>
      <c r="U226" s="152">
        <f>Prereport!U36</f>
        <v>1113</v>
      </c>
      <c r="V226" s="152">
        <f>Prereport!V36</f>
        <v>1113</v>
      </c>
      <c r="W226" s="152">
        <f>Prereport!W36</f>
        <v>1113</v>
      </c>
      <c r="X226" s="152">
        <f>Prereport!X36</f>
        <v>1113</v>
      </c>
      <c r="Y226" s="152"/>
      <c r="Z226" s="152"/>
      <c r="AA226" s="152"/>
      <c r="AB226" s="152"/>
      <c r="AC226" s="153"/>
      <c r="AD226" s="153"/>
      <c r="AE226" s="153"/>
      <c r="AF226" s="153"/>
      <c r="AG226" s="153"/>
      <c r="AH226" s="153"/>
      <c r="AI226" s="153"/>
      <c r="AJ226" s="153"/>
      <c r="AK226" s="153"/>
      <c r="AL226" s="153"/>
    </row>
    <row r="227" spans="3:39" x14ac:dyDescent="0.35">
      <c r="C227" s="15" t="s">
        <v>2</v>
      </c>
      <c r="D227" s="11" t="s">
        <v>3</v>
      </c>
      <c r="E227" s="154">
        <f>MyBar("IMP_TUN_1",E215:E222,E225,E226)</f>
        <v>0.21292215965858041</v>
      </c>
      <c r="F227" s="154">
        <f>MyBar("IMP_TUN_2",F215:F222,F225,F226)</f>
        <v>0.21463517996406109</v>
      </c>
      <c r="G227" s="154">
        <f>MyBar("IMP_TUN_3",G215:G222,G225,G226)</f>
        <v>0.20969311185983827</v>
      </c>
      <c r="H227" s="154">
        <f>MyBar("IMP_TUN_4",H215:H222,H225,H226)</f>
        <v>0.20281407879604674</v>
      </c>
      <c r="I227" s="154">
        <f>MyBar("IMP_TUN_5",I215:I222,I225,I226)</f>
        <v>0.17212754043126685</v>
      </c>
      <c r="J227" s="154">
        <f>MyBar("IMP_TUN_6",J215:J222,J225,J226)</f>
        <v>0.1955080498652291</v>
      </c>
      <c r="K227" s="154">
        <f>MyBar("IMP_TUN_7",K215:K222,K225,K226)</f>
        <v>0.20483673719676548</v>
      </c>
      <c r="L227" s="154">
        <f>MyBar("IMP_TUN_8",L215:L222,L225,L226)</f>
        <v>0.1983717102425876</v>
      </c>
      <c r="M227" s="154">
        <f>MyBar("IMP_TUN_9",M215:M222,M225,M226)</f>
        <v>0</v>
      </c>
      <c r="N227" s="154">
        <f>MyBar("IMP_TUN_10",N215:N222,N225,N226)</f>
        <v>0</v>
      </c>
      <c r="O227" s="154">
        <f>MyBar("IMP_TUN_11",O215:O222,O225,O226)</f>
        <v>0</v>
      </c>
      <c r="P227" s="154">
        <f>MyBar("IMP_TUN_12",P215:P222,P225,P226)</f>
        <v>0</v>
      </c>
      <c r="Q227" s="154">
        <f>MyBar("IMP_TUN_13",Q215:Q222,Q225,Q226)</f>
        <v>0.21817877762803234</v>
      </c>
      <c r="R227" s="154">
        <f>MyBar("IMP_TUN_14",R215:R222,R225,R226)</f>
        <v>0.1890567109613657</v>
      </c>
      <c r="S227" s="154">
        <f>MyBar("IMP_TUN_15",S215:S222,S225,S226)</f>
        <v>0.21727701482479783</v>
      </c>
      <c r="T227" s="154">
        <f>MyBar("IMP_TUN_16",T215:T222,T225,T226)</f>
        <v>0.21720313953279424</v>
      </c>
      <c r="U227" s="154">
        <f>MyBar("IMP_TUN_17",U215:U222,U225,U226)</f>
        <v>0.21092061931716083</v>
      </c>
      <c r="V227" s="154">
        <f>MyBar("IMP_TUN_18",V215:V222,V225,V226)</f>
        <v>0.20996298247978434</v>
      </c>
      <c r="W227" s="154">
        <f>MyBar("IMP_TUN_19",W215:W222,W225,W226)</f>
        <v>0.19519225336927223</v>
      </c>
      <c r="X227" s="154">
        <f>MyBar("IMP_TUN_20",X215:X222,X225,X226)</f>
        <v>0.22076725669362085</v>
      </c>
      <c r="Y227" s="154"/>
      <c r="Z227" s="154"/>
      <c r="AA227" s="154"/>
      <c r="AB227" s="154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</row>
    <row r="228" spans="3:39" x14ac:dyDescent="0.35">
      <c r="C228" s="3"/>
      <c r="D228" s="2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</row>
    <row r="229" spans="3:39" x14ac:dyDescent="0.35">
      <c r="C229" s="3"/>
      <c r="D229" s="2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</row>
    <row r="230" spans="3:39" x14ac:dyDescent="0.35">
      <c r="C230" s="38" t="s">
        <v>200</v>
      </c>
      <c r="E230" s="47" t="str">
        <f>E$33</f>
        <v>W</v>
      </c>
      <c r="F230" s="47" t="str">
        <f t="shared" ref="F230:AL230" si="33">F$33</f>
        <v>T</v>
      </c>
      <c r="G230" s="47" t="str">
        <f t="shared" si="33"/>
        <v>F</v>
      </c>
      <c r="H230" s="47" t="str">
        <f t="shared" si="33"/>
        <v>S</v>
      </c>
      <c r="I230" s="47" t="str">
        <f t="shared" si="33"/>
        <v>S</v>
      </c>
      <c r="J230" s="47" t="str">
        <f t="shared" si="33"/>
        <v>M</v>
      </c>
      <c r="K230" s="48" t="str">
        <f t="shared" si="33"/>
        <v>T</v>
      </c>
      <c r="L230" s="47" t="str">
        <f t="shared" si="33"/>
        <v>W</v>
      </c>
      <c r="M230" s="47" t="str">
        <f t="shared" si="33"/>
        <v>T</v>
      </c>
      <c r="N230" s="47" t="str">
        <f t="shared" si="33"/>
        <v>F</v>
      </c>
      <c r="O230" s="47" t="str">
        <f t="shared" si="33"/>
        <v>S</v>
      </c>
      <c r="P230" s="47" t="str">
        <f t="shared" si="33"/>
        <v>S</v>
      </c>
      <c r="Q230" s="47" t="str">
        <f t="shared" si="33"/>
        <v>M</v>
      </c>
      <c r="R230" s="48" t="str">
        <f t="shared" si="33"/>
        <v>T</v>
      </c>
      <c r="S230" s="47" t="str">
        <f t="shared" si="33"/>
        <v>W</v>
      </c>
      <c r="T230" s="47" t="str">
        <f t="shared" si="33"/>
        <v>T</v>
      </c>
      <c r="U230" s="47" t="str">
        <f t="shared" si="33"/>
        <v>F</v>
      </c>
      <c r="V230" s="47" t="str">
        <f t="shared" si="33"/>
        <v>S</v>
      </c>
      <c r="W230" s="47" t="str">
        <f t="shared" si="33"/>
        <v>S</v>
      </c>
      <c r="X230" s="47" t="str">
        <f t="shared" si="33"/>
        <v>M</v>
      </c>
      <c r="Y230" s="48" t="str">
        <f t="shared" si="33"/>
        <v>T</v>
      </c>
      <c r="Z230" s="47" t="str">
        <f t="shared" si="33"/>
        <v>W</v>
      </c>
      <c r="AA230" s="47" t="str">
        <f t="shared" si="33"/>
        <v>T</v>
      </c>
      <c r="AB230" s="47" t="str">
        <f t="shared" si="33"/>
        <v>F</v>
      </c>
      <c r="AC230" s="47" t="str">
        <f t="shared" si="33"/>
        <v>S</v>
      </c>
      <c r="AD230" s="47" t="str">
        <f t="shared" si="33"/>
        <v>S</v>
      </c>
      <c r="AE230" s="47" t="str">
        <f t="shared" si="33"/>
        <v>M</v>
      </c>
      <c r="AF230" s="48" t="str">
        <f t="shared" si="33"/>
        <v>T</v>
      </c>
      <c r="AG230" s="47" t="str">
        <f t="shared" si="33"/>
        <v>W</v>
      </c>
      <c r="AH230" s="47" t="str">
        <f t="shared" si="33"/>
        <v>T</v>
      </c>
      <c r="AI230" s="47" t="str">
        <f t="shared" si="33"/>
        <v>F</v>
      </c>
      <c r="AJ230" s="47" t="str">
        <f t="shared" si="33"/>
        <v>S</v>
      </c>
      <c r="AK230" s="47" t="str">
        <f t="shared" si="33"/>
        <v>S</v>
      </c>
      <c r="AL230" s="47" t="str">
        <f t="shared" si="33"/>
        <v>M</v>
      </c>
    </row>
    <row r="231" spans="3:39" x14ac:dyDescent="0.35">
      <c r="C231" s="151" t="s">
        <v>201</v>
      </c>
      <c r="E231" s="47" t="str">
        <f>E$34</f>
        <v>20</v>
      </c>
      <c r="F231" s="47" t="str">
        <f t="shared" ref="F231:AL231" si="34">F$34</f>
        <v>21</v>
      </c>
      <c r="G231" s="47" t="str">
        <f t="shared" si="34"/>
        <v>22</v>
      </c>
      <c r="H231" s="47" t="str">
        <f t="shared" si="34"/>
        <v>23</v>
      </c>
      <c r="I231" s="47" t="str">
        <f t="shared" si="34"/>
        <v>24</v>
      </c>
      <c r="J231" s="47" t="str">
        <f t="shared" si="34"/>
        <v>25</v>
      </c>
      <c r="K231" s="48" t="str">
        <f t="shared" si="34"/>
        <v>26</v>
      </c>
      <c r="L231" s="47" t="str">
        <f t="shared" si="34"/>
        <v>27</v>
      </c>
      <c r="M231" s="47" t="str">
        <f t="shared" si="34"/>
        <v>28</v>
      </c>
      <c r="N231" s="47" t="str">
        <f t="shared" si="34"/>
        <v>29</v>
      </c>
      <c r="O231" s="47" t="str">
        <f t="shared" si="34"/>
        <v>30</v>
      </c>
      <c r="P231" s="47" t="str">
        <f t="shared" si="34"/>
        <v>31</v>
      </c>
      <c r="Q231" s="47" t="str">
        <f t="shared" si="34"/>
        <v>01</v>
      </c>
      <c r="R231" s="48" t="str">
        <f t="shared" si="34"/>
        <v>02</v>
      </c>
      <c r="S231" s="47" t="str">
        <f t="shared" si="34"/>
        <v>03</v>
      </c>
      <c r="T231" s="47" t="str">
        <f t="shared" si="34"/>
        <v>04</v>
      </c>
      <c r="U231" s="47" t="str">
        <f t="shared" si="34"/>
        <v>05</v>
      </c>
      <c r="V231" s="47" t="str">
        <f t="shared" si="34"/>
        <v>06</v>
      </c>
      <c r="W231" s="47" t="str">
        <f t="shared" si="34"/>
        <v>07</v>
      </c>
      <c r="X231" s="47" t="str">
        <f t="shared" si="34"/>
        <v>08</v>
      </c>
      <c r="Y231" s="48" t="str">
        <f t="shared" si="34"/>
        <v>09</v>
      </c>
      <c r="Z231" s="47" t="str">
        <f t="shared" si="34"/>
        <v>10</v>
      </c>
      <c r="AA231" s="47" t="str">
        <f t="shared" si="34"/>
        <v>11</v>
      </c>
      <c r="AB231" s="47" t="str">
        <f t="shared" si="34"/>
        <v>12</v>
      </c>
      <c r="AC231" s="47" t="str">
        <f t="shared" si="34"/>
        <v>13</v>
      </c>
      <c r="AD231" s="47" t="str">
        <f t="shared" si="34"/>
        <v>14</v>
      </c>
      <c r="AE231" s="47" t="str">
        <f t="shared" si="34"/>
        <v>15</v>
      </c>
      <c r="AF231" s="48" t="str">
        <f t="shared" si="34"/>
        <v>16</v>
      </c>
      <c r="AG231" s="47" t="str">
        <f t="shared" si="34"/>
        <v>17</v>
      </c>
      <c r="AH231" s="47" t="str">
        <f t="shared" si="34"/>
        <v>18</v>
      </c>
      <c r="AI231" s="47" t="str">
        <f t="shared" si="34"/>
        <v>19</v>
      </c>
      <c r="AJ231" s="47" t="str">
        <f t="shared" si="34"/>
        <v>20</v>
      </c>
      <c r="AK231" s="47" t="str">
        <f t="shared" si="34"/>
        <v>21</v>
      </c>
      <c r="AL231" s="134" t="str">
        <f t="shared" si="34"/>
        <v>22</v>
      </c>
      <c r="AM231" s="183">
        <f>X243</f>
        <v>280</v>
      </c>
    </row>
    <row r="232" spans="3:39" x14ac:dyDescent="0.35"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184"/>
    </row>
    <row r="233" spans="3:39" x14ac:dyDescent="0.35"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</row>
    <row r="234" spans="3:39" x14ac:dyDescent="0.35"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</row>
    <row r="235" spans="3:39" x14ac:dyDescent="0.35"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</row>
    <row r="236" spans="3:39" x14ac:dyDescent="0.35"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</row>
    <row r="237" spans="3:39" x14ac:dyDescent="0.35"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</row>
    <row r="238" spans="3:39" x14ac:dyDescent="0.35"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</row>
    <row r="239" spans="3:39" x14ac:dyDescent="0.35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</row>
    <row r="240" spans="3:39" x14ac:dyDescent="0.35">
      <c r="C240" s="2"/>
      <c r="E240" s="6" t="s">
        <v>56</v>
      </c>
      <c r="F240" s="6" t="s">
        <v>42</v>
      </c>
      <c r="G240" s="6" t="s">
        <v>41</v>
      </c>
      <c r="H240" s="6" t="s">
        <v>40</v>
      </c>
      <c r="I240" s="6" t="s">
        <v>39</v>
      </c>
      <c r="J240" s="6" t="s">
        <v>38</v>
      </c>
      <c r="K240" s="49" t="s">
        <v>37</v>
      </c>
      <c r="L240" s="6" t="s">
        <v>36</v>
      </c>
      <c r="M240" s="6" t="s">
        <v>35</v>
      </c>
      <c r="N240" s="6" t="s">
        <v>34</v>
      </c>
      <c r="O240" s="6" t="s">
        <v>33</v>
      </c>
      <c r="P240" s="6" t="s">
        <v>32</v>
      </c>
      <c r="Q240" s="6" t="s">
        <v>31</v>
      </c>
      <c r="R240" s="49" t="s">
        <v>30</v>
      </c>
      <c r="S240" s="6" t="s">
        <v>29</v>
      </c>
      <c r="T240" s="6" t="s">
        <v>28</v>
      </c>
      <c r="U240" s="6" t="s">
        <v>27</v>
      </c>
      <c r="V240" s="6" t="s">
        <v>26</v>
      </c>
      <c r="W240" s="6" t="s">
        <v>25</v>
      </c>
      <c r="X240" s="6" t="s">
        <v>24</v>
      </c>
      <c r="Y240" s="49" t="s">
        <v>23</v>
      </c>
      <c r="Z240" s="6" t="s">
        <v>43</v>
      </c>
      <c r="AA240" s="6" t="s">
        <v>44</v>
      </c>
      <c r="AB240" s="6" t="s">
        <v>45</v>
      </c>
      <c r="AC240" s="6" t="s">
        <v>46</v>
      </c>
      <c r="AD240" s="6" t="s">
        <v>47</v>
      </c>
      <c r="AE240" s="6" t="s">
        <v>48</v>
      </c>
      <c r="AF240" s="49" t="s">
        <v>49</v>
      </c>
      <c r="AG240" s="6" t="s">
        <v>50</v>
      </c>
      <c r="AH240" s="6" t="s">
        <v>51</v>
      </c>
      <c r="AI240" s="6" t="s">
        <v>52</v>
      </c>
      <c r="AJ240" s="6" t="s">
        <v>53</v>
      </c>
      <c r="AK240" s="6" t="s">
        <v>54</v>
      </c>
      <c r="AL240" s="6" t="s">
        <v>55</v>
      </c>
    </row>
    <row r="241" spans="3:39" x14ac:dyDescent="0.3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</row>
    <row r="242" spans="3:39" x14ac:dyDescent="0.35">
      <c r="C242" s="2" t="s">
        <v>189</v>
      </c>
      <c r="D242" s="2" t="s">
        <v>80</v>
      </c>
      <c r="E242" s="52">
        <f>Prereport!E40</f>
        <v>142.7491358</v>
      </c>
      <c r="F242" s="52">
        <f>Prereport!F40</f>
        <v>142.80122249999999</v>
      </c>
      <c r="G242" s="52">
        <f>Prereport!G40</f>
        <v>142.78188080000001</v>
      </c>
      <c r="H242" s="52">
        <f>Prereport!H40</f>
        <v>104.3580098</v>
      </c>
      <c r="I242" s="52">
        <f>Prereport!I40</f>
        <v>98.782840500000006</v>
      </c>
      <c r="J242" s="52">
        <f>Prereport!J40</f>
        <v>175.93749750000001</v>
      </c>
      <c r="K242" s="52">
        <f>Prereport!K40</f>
        <v>181.39908600000001</v>
      </c>
      <c r="L242" s="52">
        <f>Prereport!L40</f>
        <v>186.84785400000001</v>
      </c>
      <c r="M242" s="52">
        <f>Prereport!M40</f>
        <v>0</v>
      </c>
      <c r="N242" s="52">
        <f>Prereport!N40</f>
        <v>0</v>
      </c>
      <c r="O242" s="52">
        <f>Prereport!O40</f>
        <v>0</v>
      </c>
      <c r="P242" s="52">
        <f>Prereport!P40</f>
        <v>0</v>
      </c>
      <c r="Q242" s="52">
        <f>Prereport!Q40</f>
        <v>189.5310848</v>
      </c>
      <c r="R242" s="52">
        <f>Prereport!R40</f>
        <v>178.6589955</v>
      </c>
      <c r="S242" s="52">
        <f>Prereport!S40</f>
        <v>203.43549970000001</v>
      </c>
      <c r="T242" s="52">
        <f>Prereport!T40</f>
        <v>186.8914493</v>
      </c>
      <c r="U242" s="52">
        <f>Prereport!U40</f>
        <v>186.86389349999999</v>
      </c>
      <c r="V242" s="52">
        <f>Prereport!V40</f>
        <v>175.85619</v>
      </c>
      <c r="W242" s="52">
        <f>Prereport!W40</f>
        <v>175.958088</v>
      </c>
      <c r="X242" s="52">
        <f>Prereport!X40</f>
        <v>175.97756849999999</v>
      </c>
      <c r="Y242" s="52"/>
      <c r="Z242" s="52"/>
      <c r="AA242" s="52"/>
      <c r="AB242" s="52"/>
    </row>
    <row r="243" spans="3:39" x14ac:dyDescent="0.35">
      <c r="C243" s="9" t="s">
        <v>1</v>
      </c>
      <c r="D243" s="9" t="s">
        <v>80</v>
      </c>
      <c r="E243" s="152">
        <f>Prereport!E41</f>
        <v>280</v>
      </c>
      <c r="F243" s="152">
        <f>Prereport!F41</f>
        <v>280</v>
      </c>
      <c r="G243" s="152">
        <f>Prereport!G41</f>
        <v>280</v>
      </c>
      <c r="H243" s="152">
        <f>Prereport!H41</f>
        <v>280</v>
      </c>
      <c r="I243" s="152">
        <f>Prereport!I41</f>
        <v>280</v>
      </c>
      <c r="J243" s="152">
        <f>Prereport!J41</f>
        <v>280</v>
      </c>
      <c r="K243" s="152">
        <f>Prereport!K41</f>
        <v>280</v>
      </c>
      <c r="L243" s="152">
        <f>Prereport!L41</f>
        <v>280</v>
      </c>
      <c r="M243" s="152">
        <f>Prereport!M41</f>
        <v>280</v>
      </c>
      <c r="N243" s="152">
        <f>Prereport!N41</f>
        <v>280</v>
      </c>
      <c r="O243" s="152">
        <f>Prereport!O41</f>
        <v>280</v>
      </c>
      <c r="P243" s="152">
        <f>Prereport!P41</f>
        <v>280</v>
      </c>
      <c r="Q243" s="152">
        <f>Prereport!Q41</f>
        <v>280</v>
      </c>
      <c r="R243" s="152">
        <f>Prereport!R41</f>
        <v>280</v>
      </c>
      <c r="S243" s="152">
        <f>Prereport!S41</f>
        <v>280</v>
      </c>
      <c r="T243" s="152">
        <f>Prereport!T41</f>
        <v>280</v>
      </c>
      <c r="U243" s="152">
        <f>Prereport!U41</f>
        <v>280</v>
      </c>
      <c r="V243" s="152">
        <f>Prereport!V41</f>
        <v>280</v>
      </c>
      <c r="W243" s="152">
        <f>Prereport!W41</f>
        <v>280</v>
      </c>
      <c r="X243" s="152">
        <f>Prereport!X41</f>
        <v>280</v>
      </c>
      <c r="Y243" s="152"/>
      <c r="Z243" s="152"/>
      <c r="AA243" s="152"/>
      <c r="AB243" s="152"/>
      <c r="AC243" s="153"/>
      <c r="AD243" s="153"/>
      <c r="AE243" s="153"/>
      <c r="AF243" s="153"/>
      <c r="AG243" s="153"/>
      <c r="AH243" s="153"/>
      <c r="AI243" s="153"/>
      <c r="AJ243" s="153"/>
      <c r="AK243" s="153"/>
      <c r="AL243" s="153"/>
    </row>
    <row r="244" spans="3:39" x14ac:dyDescent="0.35">
      <c r="C244" s="15" t="s">
        <v>2</v>
      </c>
      <c r="D244" s="11" t="s">
        <v>3</v>
      </c>
      <c r="E244" s="154">
        <f>MyBar("IMP_CAV_1",E232:E239,E242,E243)</f>
        <v>0.50981834214285715</v>
      </c>
      <c r="F244" s="154">
        <f>MyBar("IMP_CAV_2",F232:F239,F242,F243)</f>
        <v>0.51000436607142852</v>
      </c>
      <c r="G244" s="154">
        <f>MyBar("IMP_CAV_3",G232:G239,G242,G243)</f>
        <v>0.50993528857142856</v>
      </c>
      <c r="H244" s="154">
        <f>MyBar("IMP_CAV_4",H232:H239,H242,H243)</f>
        <v>0.37270717785714286</v>
      </c>
      <c r="I244" s="154">
        <f>MyBar("IMP_CAV_5",I232:I239,I242,I243)</f>
        <v>0.35279585892857146</v>
      </c>
      <c r="J244" s="154">
        <f>MyBar("IMP_CAV_6",J232:J239,J242,J243)</f>
        <v>0.62834820535714286</v>
      </c>
      <c r="K244" s="154">
        <f>MyBar("IMP_CAV_7",K232:K239,K242,K243)</f>
        <v>0.64785387857142862</v>
      </c>
      <c r="L244" s="154">
        <f>MyBar("IMP_CAV_8",L232:L239,L242,L243)</f>
        <v>0.66731376428571432</v>
      </c>
      <c r="M244" s="154">
        <f>MyBar("IMP_CAV_9",M232:M239,M242,M243)</f>
        <v>0</v>
      </c>
      <c r="N244" s="154">
        <f>MyBar("IMP_CAV_10",N232:N239,N242,N243)</f>
        <v>0</v>
      </c>
      <c r="O244" s="154">
        <f>MyBar("IMP_CAV_11",O232:O239,O242,O243)</f>
        <v>0</v>
      </c>
      <c r="P244" s="154">
        <f>MyBar("IMP_CAV_12",P232:P239,P242,P243)</f>
        <v>0</v>
      </c>
      <c r="Q244" s="154">
        <f>MyBar("IMP_CAV_13",Q232:Q239,Q242,Q243)</f>
        <v>0.67689673142857143</v>
      </c>
      <c r="R244" s="154">
        <f>MyBar("IMP_CAV_14",R232:R239,R242,R243)</f>
        <v>0.63806784107142855</v>
      </c>
      <c r="S244" s="154">
        <f>MyBar("IMP_CAV_15",S232:S239,S242,S243)</f>
        <v>0.72655535607142863</v>
      </c>
      <c r="T244" s="154">
        <f>MyBar("IMP_CAV_16",T232:T239,T242,T243)</f>
        <v>0.66746946178571431</v>
      </c>
      <c r="U244" s="154">
        <f>MyBar("IMP_CAV_17",U232:U239,U242,U243)</f>
        <v>0.66737104821428572</v>
      </c>
      <c r="V244" s="154">
        <f>MyBar("IMP_CAV_18",V232:V239,V242,V243)</f>
        <v>0.62805782142857147</v>
      </c>
      <c r="W244" s="154">
        <f>MyBar("IMP_CAV_19",W232:W239,W242,W243)</f>
        <v>0.62842174285714292</v>
      </c>
      <c r="X244" s="154">
        <f>MyBar("IMP_CAV_20",X232:X239,X242,X243)</f>
        <v>0.6284913160714285</v>
      </c>
      <c r="Y244" s="154"/>
      <c r="Z244" s="154"/>
      <c r="AA244" s="154"/>
      <c r="AB244" s="154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</row>
    <row r="245" spans="3:39" x14ac:dyDescent="0.35">
      <c r="C245" s="3"/>
      <c r="D245" s="2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</row>
    <row r="246" spans="3:39" x14ac:dyDescent="0.35">
      <c r="C246" s="3"/>
      <c r="D246" s="2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</row>
    <row r="247" spans="3:39" x14ac:dyDescent="0.35">
      <c r="C247" s="38" t="s">
        <v>200</v>
      </c>
      <c r="E247" s="47" t="str">
        <f>E$33</f>
        <v>W</v>
      </c>
      <c r="F247" s="47" t="str">
        <f t="shared" ref="F247:AL247" si="35">F$33</f>
        <v>T</v>
      </c>
      <c r="G247" s="47" t="str">
        <f t="shared" si="35"/>
        <v>F</v>
      </c>
      <c r="H247" s="47" t="str">
        <f t="shared" si="35"/>
        <v>S</v>
      </c>
      <c r="I247" s="47" t="str">
        <f t="shared" si="35"/>
        <v>S</v>
      </c>
      <c r="J247" s="47" t="str">
        <f t="shared" si="35"/>
        <v>M</v>
      </c>
      <c r="K247" s="48" t="str">
        <f t="shared" si="35"/>
        <v>T</v>
      </c>
      <c r="L247" s="47" t="str">
        <f t="shared" si="35"/>
        <v>W</v>
      </c>
      <c r="M247" s="47" t="str">
        <f t="shared" si="35"/>
        <v>T</v>
      </c>
      <c r="N247" s="47" t="str">
        <f t="shared" si="35"/>
        <v>F</v>
      </c>
      <c r="O247" s="47" t="str">
        <f t="shared" si="35"/>
        <v>S</v>
      </c>
      <c r="P247" s="47" t="str">
        <f t="shared" si="35"/>
        <v>S</v>
      </c>
      <c r="Q247" s="47" t="str">
        <f t="shared" si="35"/>
        <v>M</v>
      </c>
      <c r="R247" s="48" t="str">
        <f t="shared" si="35"/>
        <v>T</v>
      </c>
      <c r="S247" s="47" t="str">
        <f t="shared" si="35"/>
        <v>W</v>
      </c>
      <c r="T247" s="47" t="str">
        <f t="shared" si="35"/>
        <v>T</v>
      </c>
      <c r="U247" s="47" t="str">
        <f t="shared" si="35"/>
        <v>F</v>
      </c>
      <c r="V247" s="47" t="str">
        <f t="shared" si="35"/>
        <v>S</v>
      </c>
      <c r="W247" s="47" t="str">
        <f t="shared" si="35"/>
        <v>S</v>
      </c>
      <c r="X247" s="47" t="str">
        <f t="shared" si="35"/>
        <v>M</v>
      </c>
      <c r="Y247" s="48" t="str">
        <f t="shared" si="35"/>
        <v>T</v>
      </c>
      <c r="Z247" s="47" t="str">
        <f t="shared" si="35"/>
        <v>W</v>
      </c>
      <c r="AA247" s="47" t="str">
        <f t="shared" si="35"/>
        <v>T</v>
      </c>
      <c r="AB247" s="47" t="str">
        <f t="shared" si="35"/>
        <v>F</v>
      </c>
      <c r="AC247" s="47" t="str">
        <f t="shared" si="35"/>
        <v>S</v>
      </c>
      <c r="AD247" s="47" t="str">
        <f t="shared" si="35"/>
        <v>S</v>
      </c>
      <c r="AE247" s="47" t="str">
        <f t="shared" si="35"/>
        <v>M</v>
      </c>
      <c r="AF247" s="48" t="str">
        <f t="shared" si="35"/>
        <v>T</v>
      </c>
      <c r="AG247" s="47" t="str">
        <f t="shared" si="35"/>
        <v>W</v>
      </c>
      <c r="AH247" s="47" t="str">
        <f t="shared" si="35"/>
        <v>T</v>
      </c>
      <c r="AI247" s="47" t="str">
        <f t="shared" si="35"/>
        <v>F</v>
      </c>
      <c r="AJ247" s="47" t="str">
        <f t="shared" si="35"/>
        <v>S</v>
      </c>
      <c r="AK247" s="47" t="str">
        <f t="shared" si="35"/>
        <v>S</v>
      </c>
      <c r="AL247" s="47" t="str">
        <f t="shared" si="35"/>
        <v>M</v>
      </c>
    </row>
    <row r="248" spans="3:39" x14ac:dyDescent="0.35">
      <c r="C248" s="38" t="s">
        <v>202</v>
      </c>
      <c r="E248" s="47" t="str">
        <f>E$34</f>
        <v>20</v>
      </c>
      <c r="F248" s="47" t="str">
        <f t="shared" ref="F248:AL248" si="36">F$34</f>
        <v>21</v>
      </c>
      <c r="G248" s="47" t="str">
        <f t="shared" si="36"/>
        <v>22</v>
      </c>
      <c r="H248" s="47" t="str">
        <f t="shared" si="36"/>
        <v>23</v>
      </c>
      <c r="I248" s="47" t="str">
        <f t="shared" si="36"/>
        <v>24</v>
      </c>
      <c r="J248" s="47" t="str">
        <f t="shared" si="36"/>
        <v>25</v>
      </c>
      <c r="K248" s="48" t="str">
        <f t="shared" si="36"/>
        <v>26</v>
      </c>
      <c r="L248" s="47" t="str">
        <f t="shared" si="36"/>
        <v>27</v>
      </c>
      <c r="M248" s="47" t="str">
        <f t="shared" si="36"/>
        <v>28</v>
      </c>
      <c r="N248" s="47" t="str">
        <f t="shared" si="36"/>
        <v>29</v>
      </c>
      <c r="O248" s="47" t="str">
        <f t="shared" si="36"/>
        <v>30</v>
      </c>
      <c r="P248" s="47" t="str">
        <f t="shared" si="36"/>
        <v>31</v>
      </c>
      <c r="Q248" s="47" t="str">
        <f t="shared" si="36"/>
        <v>01</v>
      </c>
      <c r="R248" s="48" t="str">
        <f t="shared" si="36"/>
        <v>02</v>
      </c>
      <c r="S248" s="47" t="str">
        <f t="shared" si="36"/>
        <v>03</v>
      </c>
      <c r="T248" s="47" t="str">
        <f t="shared" si="36"/>
        <v>04</v>
      </c>
      <c r="U248" s="47" t="str">
        <f t="shared" si="36"/>
        <v>05</v>
      </c>
      <c r="V248" s="47" t="str">
        <f t="shared" si="36"/>
        <v>06</v>
      </c>
      <c r="W248" s="47" t="str">
        <f t="shared" si="36"/>
        <v>07</v>
      </c>
      <c r="X248" s="47" t="str">
        <f t="shared" si="36"/>
        <v>08</v>
      </c>
      <c r="Y248" s="48" t="str">
        <f t="shared" si="36"/>
        <v>09</v>
      </c>
      <c r="Z248" s="47" t="str">
        <f t="shared" si="36"/>
        <v>10</v>
      </c>
      <c r="AA248" s="47" t="str">
        <f t="shared" si="36"/>
        <v>11</v>
      </c>
      <c r="AB248" s="47" t="str">
        <f t="shared" si="36"/>
        <v>12</v>
      </c>
      <c r="AC248" s="47" t="str">
        <f t="shared" si="36"/>
        <v>13</v>
      </c>
      <c r="AD248" s="47" t="str">
        <f t="shared" si="36"/>
        <v>14</v>
      </c>
      <c r="AE248" s="47" t="str">
        <f t="shared" si="36"/>
        <v>15</v>
      </c>
      <c r="AF248" s="48" t="str">
        <f t="shared" si="36"/>
        <v>16</v>
      </c>
      <c r="AG248" s="47" t="str">
        <f t="shared" si="36"/>
        <v>17</v>
      </c>
      <c r="AH248" s="47" t="str">
        <f t="shared" si="36"/>
        <v>18</v>
      </c>
      <c r="AI248" s="47" t="str">
        <f t="shared" si="36"/>
        <v>19</v>
      </c>
      <c r="AJ248" s="47" t="str">
        <f t="shared" si="36"/>
        <v>20</v>
      </c>
      <c r="AK248" s="47" t="str">
        <f t="shared" si="36"/>
        <v>21</v>
      </c>
      <c r="AL248" s="134" t="str">
        <f t="shared" si="36"/>
        <v>22</v>
      </c>
      <c r="AM248" s="183">
        <f>X260</f>
        <v>138</v>
      </c>
    </row>
    <row r="249" spans="3:39" x14ac:dyDescent="0.35"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184"/>
    </row>
    <row r="250" spans="3:39" x14ac:dyDescent="0.35"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</row>
    <row r="251" spans="3:39" x14ac:dyDescent="0.35"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</row>
    <row r="252" spans="3:39" x14ac:dyDescent="0.35"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</row>
    <row r="253" spans="3:39" x14ac:dyDescent="0.35"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</row>
    <row r="254" spans="3:39" x14ac:dyDescent="0.35"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</row>
    <row r="255" spans="3:39" x14ac:dyDescent="0.35"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</row>
    <row r="256" spans="3:39" x14ac:dyDescent="0.35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</row>
    <row r="257" spans="3:39" x14ac:dyDescent="0.35">
      <c r="C257" s="2"/>
      <c r="E257" s="6" t="s">
        <v>56</v>
      </c>
      <c r="F257" s="6" t="s">
        <v>42</v>
      </c>
      <c r="G257" s="6" t="s">
        <v>41</v>
      </c>
      <c r="H257" s="6" t="s">
        <v>40</v>
      </c>
      <c r="I257" s="6" t="s">
        <v>39</v>
      </c>
      <c r="J257" s="6" t="s">
        <v>38</v>
      </c>
      <c r="K257" s="49" t="s">
        <v>37</v>
      </c>
      <c r="L257" s="6" t="s">
        <v>36</v>
      </c>
      <c r="M257" s="6" t="s">
        <v>35</v>
      </c>
      <c r="N257" s="6" t="s">
        <v>34</v>
      </c>
      <c r="O257" s="6" t="s">
        <v>33</v>
      </c>
      <c r="P257" s="6" t="s">
        <v>32</v>
      </c>
      <c r="Q257" s="6" t="s">
        <v>31</v>
      </c>
      <c r="R257" s="49" t="s">
        <v>30</v>
      </c>
      <c r="S257" s="6" t="s">
        <v>29</v>
      </c>
      <c r="T257" s="6" t="s">
        <v>28</v>
      </c>
      <c r="U257" s="6" t="s">
        <v>27</v>
      </c>
      <c r="V257" s="6" t="s">
        <v>26</v>
      </c>
      <c r="W257" s="6" t="s">
        <v>25</v>
      </c>
      <c r="X257" s="6" t="s">
        <v>24</v>
      </c>
      <c r="Y257" s="49" t="s">
        <v>23</v>
      </c>
      <c r="Z257" s="6" t="s">
        <v>43</v>
      </c>
      <c r="AA257" s="6" t="s">
        <v>44</v>
      </c>
      <c r="AB257" s="6" t="s">
        <v>45</v>
      </c>
      <c r="AC257" s="6" t="s">
        <v>46</v>
      </c>
      <c r="AD257" s="6" t="s">
        <v>47</v>
      </c>
      <c r="AE257" s="6" t="s">
        <v>48</v>
      </c>
      <c r="AF257" s="49" t="s">
        <v>49</v>
      </c>
      <c r="AG257" s="6" t="s">
        <v>50</v>
      </c>
      <c r="AH257" s="6" t="s">
        <v>51</v>
      </c>
      <c r="AI257" s="6" t="s">
        <v>52</v>
      </c>
      <c r="AJ257" s="6" t="s">
        <v>53</v>
      </c>
      <c r="AK257" s="6" t="s">
        <v>54</v>
      </c>
      <c r="AL257" s="6" t="s">
        <v>55</v>
      </c>
    </row>
    <row r="259" spans="3:39" x14ac:dyDescent="0.35">
      <c r="C259" s="2" t="s">
        <v>189</v>
      </c>
      <c r="D259" s="2" t="s">
        <v>80</v>
      </c>
      <c r="E259" s="52">
        <f>Prereport!E45</f>
        <v>0.48426530000000001</v>
      </c>
      <c r="F259" s="52">
        <f>Prereport!F45</f>
        <v>0.45543299999999998</v>
      </c>
      <c r="G259" s="52">
        <f>Prereport!G45</f>
        <v>0.37204429999999999</v>
      </c>
      <c r="H259" s="52">
        <f>Prereport!H45</f>
        <v>0.37118400000000001</v>
      </c>
      <c r="I259" s="52">
        <f>Prereport!I45</f>
        <v>0.37060130000000002</v>
      </c>
      <c r="J259" s="52">
        <f>Prereport!J45</f>
        <v>0.37068449999999997</v>
      </c>
      <c r="K259" s="52">
        <f>Prereport!K45</f>
        <v>0</v>
      </c>
      <c r="L259" s="52">
        <f>Prereport!L45</f>
        <v>0.36929699999999999</v>
      </c>
      <c r="M259" s="52">
        <f>Prereport!M45</f>
        <v>0</v>
      </c>
      <c r="N259" s="52">
        <f>Prereport!N45</f>
        <v>0</v>
      </c>
      <c r="O259" s="52">
        <f>Prereport!O45</f>
        <v>0</v>
      </c>
      <c r="P259" s="52">
        <f>Prereport!P45</f>
        <v>0</v>
      </c>
      <c r="Q259" s="52">
        <f>Prereport!Q45</f>
        <v>0.36602249999999997</v>
      </c>
      <c r="R259" s="52">
        <f>Prereport!R45</f>
        <v>0.36532870000000001</v>
      </c>
      <c r="S259" s="52">
        <f>Prereport!S45</f>
        <v>0.36233179999999998</v>
      </c>
      <c r="T259" s="52">
        <f>Prereport!T45</f>
        <v>0.35644880000000001</v>
      </c>
      <c r="U259" s="52">
        <f>Prereport!U45</f>
        <v>0.40992299999999998</v>
      </c>
      <c r="V259" s="52">
        <f>Prereport!V45</f>
        <v>0.46839229999999998</v>
      </c>
      <c r="W259" s="52">
        <f>Prereport!W45</f>
        <v>0.36224849999999997</v>
      </c>
      <c r="X259" s="52">
        <f>Prereport!X45</f>
        <v>0.45806920000000001</v>
      </c>
      <c r="Y259" s="52"/>
      <c r="Z259" s="52"/>
      <c r="AA259" s="52"/>
      <c r="AB259" s="52"/>
    </row>
    <row r="260" spans="3:39" x14ac:dyDescent="0.35">
      <c r="C260" s="9" t="s">
        <v>1</v>
      </c>
      <c r="D260" s="9" t="s">
        <v>80</v>
      </c>
      <c r="E260" s="152">
        <f>Prereport!E46</f>
        <v>138</v>
      </c>
      <c r="F260" s="152">
        <f>Prereport!F46</f>
        <v>138</v>
      </c>
      <c r="G260" s="152">
        <f>Prereport!G46</f>
        <v>138</v>
      </c>
      <c r="H260" s="152">
        <f>Prereport!H46</f>
        <v>138</v>
      </c>
      <c r="I260" s="152">
        <f>Prereport!I46</f>
        <v>138</v>
      </c>
      <c r="J260" s="152">
        <f>Prereport!J46</f>
        <v>138</v>
      </c>
      <c r="K260" s="152">
        <f>Prereport!K46</f>
        <v>138</v>
      </c>
      <c r="L260" s="152">
        <f>Prereport!L46</f>
        <v>138</v>
      </c>
      <c r="M260" s="152">
        <f>Prereport!M46</f>
        <v>138</v>
      </c>
      <c r="N260" s="152">
        <f>Prereport!N46</f>
        <v>138</v>
      </c>
      <c r="O260" s="152">
        <f>Prereport!O46</f>
        <v>138</v>
      </c>
      <c r="P260" s="152">
        <f>Prereport!P46</f>
        <v>138</v>
      </c>
      <c r="Q260" s="152">
        <f>Prereport!Q46</f>
        <v>138</v>
      </c>
      <c r="R260" s="152">
        <f>Prereport!R46</f>
        <v>138</v>
      </c>
      <c r="S260" s="152">
        <f>Prereport!S46</f>
        <v>138</v>
      </c>
      <c r="T260" s="152">
        <f>Prereport!T46</f>
        <v>138</v>
      </c>
      <c r="U260" s="152">
        <f>Prereport!U46</f>
        <v>138</v>
      </c>
      <c r="V260" s="152">
        <f>Prereport!V46</f>
        <v>138</v>
      </c>
      <c r="W260" s="152">
        <f>Prereport!W46</f>
        <v>138</v>
      </c>
      <c r="X260" s="152">
        <f>Prereport!X46</f>
        <v>138</v>
      </c>
      <c r="Y260" s="152"/>
      <c r="Z260" s="152"/>
      <c r="AA260" s="152"/>
      <c r="AB260" s="152"/>
      <c r="AC260" s="153"/>
      <c r="AD260" s="153"/>
      <c r="AE260" s="153"/>
      <c r="AF260" s="153"/>
      <c r="AG260" s="153"/>
      <c r="AH260" s="153"/>
      <c r="AI260" s="153"/>
      <c r="AJ260" s="153"/>
      <c r="AK260" s="153"/>
      <c r="AL260" s="153"/>
    </row>
    <row r="261" spans="3:39" x14ac:dyDescent="0.35">
      <c r="C261" s="15" t="s">
        <v>2</v>
      </c>
      <c r="D261" s="11" t="s">
        <v>3</v>
      </c>
      <c r="E261" s="154">
        <f>MyBar("IMP_PAN_1",E249:E256,E259,E260)</f>
        <v>3.50916884057971E-3</v>
      </c>
      <c r="F261" s="154">
        <f>MyBar("IMP_PAN_2",F249:F256,F259,F260)</f>
        <v>3.3002391304347823E-3</v>
      </c>
      <c r="G261" s="154">
        <f>MyBar("IMP_PAN_3",G249:G256,G259,G260)</f>
        <v>2.695973188405797E-3</v>
      </c>
      <c r="H261" s="154">
        <f>MyBar("IMP_PAN_4",H249:H256,H259,H260)</f>
        <v>2.6897391304347828E-3</v>
      </c>
      <c r="I261" s="154">
        <f>MyBar("IMP_PAN_5",I249:I256,I259,I260)</f>
        <v>2.685516666666667E-3</v>
      </c>
      <c r="J261" s="154">
        <f>MyBar("IMP_PAN_6",J249:J256,J259,J260)</f>
        <v>2.686119565217391E-3</v>
      </c>
      <c r="K261" s="154">
        <f>MyBar("IMP_PAN_7",K249:K256,K259,K260)</f>
        <v>0</v>
      </c>
      <c r="L261" s="154">
        <f>MyBar("IMP_PAN_8",L249:L256,L259,L260)</f>
        <v>2.6760652173913042E-3</v>
      </c>
      <c r="M261" s="154">
        <f>MyBar("IMP_PAN_9",M249:M256,M259,M260)</f>
        <v>0</v>
      </c>
      <c r="N261" s="154">
        <f>MyBar("IMP_PAN_10",N249:N256,N259,N260)</f>
        <v>0</v>
      </c>
      <c r="O261" s="154">
        <f>MyBar("IMP_PAN_11",O249:O256,O259,O260)</f>
        <v>0</v>
      </c>
      <c r="P261" s="154">
        <f>MyBar("IMP_PAN_12",P249:P256,P259,P260)</f>
        <v>0</v>
      </c>
      <c r="Q261" s="154">
        <f>MyBar("IMP_PAN_13",Q249:Q256,Q259,Q260)</f>
        <v>2.6523369565217389E-3</v>
      </c>
      <c r="R261" s="154">
        <f>MyBar("IMP_PAN_14",R249:R256,R259,R260)</f>
        <v>2.647309420289855E-3</v>
      </c>
      <c r="S261" s="154">
        <f>MyBar("IMP_PAN_15",S249:S256,S259,S260)</f>
        <v>2.6255927536231881E-3</v>
      </c>
      <c r="T261" s="154">
        <f>MyBar("IMP_PAN_16",T249:T256,T259,T260)</f>
        <v>2.5829623188405797E-3</v>
      </c>
      <c r="U261" s="154">
        <f>MyBar("IMP_PAN_17",U249:U256,U259,U260)</f>
        <v>2.9704565217391304E-3</v>
      </c>
      <c r="V261" s="154">
        <f>MyBar("IMP_PAN_18",V249:V256,V259,V260)</f>
        <v>3.3941471014492753E-3</v>
      </c>
      <c r="W261" s="154">
        <f>MyBar("IMP_PAN_19",W249:W256,W259,W260)</f>
        <v>2.6249891304347822E-3</v>
      </c>
      <c r="X261" s="154">
        <f>MyBar("IMP_PAN_20",X249:X256,X259,X260)</f>
        <v>3.3193420289855074E-3</v>
      </c>
      <c r="Y261" s="154"/>
      <c r="Z261" s="154"/>
      <c r="AA261" s="154"/>
      <c r="AB261" s="154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</row>
    <row r="262" spans="3:39" x14ac:dyDescent="0.35">
      <c r="C262" s="3"/>
      <c r="D262" s="2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</row>
    <row r="263" spans="3:39" x14ac:dyDescent="0.35">
      <c r="C263" s="3"/>
      <c r="D263" s="2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</row>
    <row r="264" spans="3:39" x14ac:dyDescent="0.35">
      <c r="C264" s="38" t="s">
        <v>200</v>
      </c>
      <c r="E264" s="47" t="str">
        <f>E$33</f>
        <v>W</v>
      </c>
      <c r="F264" s="47" t="str">
        <f t="shared" ref="F264:AL264" si="37">F$33</f>
        <v>T</v>
      </c>
      <c r="G264" s="47" t="str">
        <f t="shared" si="37"/>
        <v>F</v>
      </c>
      <c r="H264" s="47" t="str">
        <f t="shared" si="37"/>
        <v>S</v>
      </c>
      <c r="I264" s="47" t="str">
        <f t="shared" si="37"/>
        <v>S</v>
      </c>
      <c r="J264" s="47" t="str">
        <f t="shared" si="37"/>
        <v>M</v>
      </c>
      <c r="K264" s="48" t="str">
        <f t="shared" si="37"/>
        <v>T</v>
      </c>
      <c r="L264" s="47" t="str">
        <f t="shared" si="37"/>
        <v>W</v>
      </c>
      <c r="M264" s="47" t="str">
        <f t="shared" si="37"/>
        <v>T</v>
      </c>
      <c r="N264" s="47" t="str">
        <f t="shared" si="37"/>
        <v>F</v>
      </c>
      <c r="O264" s="47" t="str">
        <f t="shared" si="37"/>
        <v>S</v>
      </c>
      <c r="P264" s="47" t="str">
        <f t="shared" si="37"/>
        <v>S</v>
      </c>
      <c r="Q264" s="47" t="str">
        <f t="shared" si="37"/>
        <v>M</v>
      </c>
      <c r="R264" s="48" t="str">
        <f t="shared" si="37"/>
        <v>T</v>
      </c>
      <c r="S264" s="47" t="str">
        <f t="shared" si="37"/>
        <v>W</v>
      </c>
      <c r="T264" s="47" t="str">
        <f t="shared" si="37"/>
        <v>T</v>
      </c>
      <c r="U264" s="47" t="str">
        <f t="shared" si="37"/>
        <v>F</v>
      </c>
      <c r="V264" s="47" t="str">
        <f t="shared" si="37"/>
        <v>S</v>
      </c>
      <c r="W264" s="47" t="str">
        <f t="shared" si="37"/>
        <v>S</v>
      </c>
      <c r="X264" s="47" t="str">
        <f t="shared" si="37"/>
        <v>M</v>
      </c>
      <c r="Y264" s="48" t="str">
        <f t="shared" si="37"/>
        <v>T</v>
      </c>
      <c r="Z264" s="47" t="str">
        <f t="shared" si="37"/>
        <v>W</v>
      </c>
      <c r="AA264" s="47" t="str">
        <f t="shared" si="37"/>
        <v>T</v>
      </c>
      <c r="AB264" s="47" t="str">
        <f t="shared" si="37"/>
        <v>F</v>
      </c>
      <c r="AC264" s="47" t="str">
        <f t="shared" si="37"/>
        <v>S</v>
      </c>
      <c r="AD264" s="47" t="str">
        <f t="shared" si="37"/>
        <v>S</v>
      </c>
      <c r="AE264" s="47" t="str">
        <f t="shared" si="37"/>
        <v>M</v>
      </c>
      <c r="AF264" s="48" t="str">
        <f t="shared" si="37"/>
        <v>T</v>
      </c>
      <c r="AG264" s="47" t="str">
        <f t="shared" si="37"/>
        <v>W</v>
      </c>
      <c r="AH264" s="47" t="str">
        <f t="shared" si="37"/>
        <v>T</v>
      </c>
      <c r="AI264" s="47" t="str">
        <f t="shared" si="37"/>
        <v>F</v>
      </c>
      <c r="AJ264" s="47" t="str">
        <f t="shared" si="37"/>
        <v>S</v>
      </c>
      <c r="AK264" s="47" t="str">
        <f t="shared" si="37"/>
        <v>S</v>
      </c>
      <c r="AL264" s="47" t="str">
        <f t="shared" si="37"/>
        <v>M</v>
      </c>
    </row>
    <row r="265" spans="3:39" x14ac:dyDescent="0.35">
      <c r="C265" s="38" t="s">
        <v>203</v>
      </c>
      <c r="E265" s="47" t="str">
        <f>E$34</f>
        <v>20</v>
      </c>
      <c r="F265" s="47" t="str">
        <f t="shared" ref="F265:AL265" si="38">F$34</f>
        <v>21</v>
      </c>
      <c r="G265" s="47" t="str">
        <f t="shared" si="38"/>
        <v>22</v>
      </c>
      <c r="H265" s="47" t="str">
        <f t="shared" si="38"/>
        <v>23</v>
      </c>
      <c r="I265" s="47" t="str">
        <f t="shared" si="38"/>
        <v>24</v>
      </c>
      <c r="J265" s="47" t="str">
        <f t="shared" si="38"/>
        <v>25</v>
      </c>
      <c r="K265" s="48" t="str">
        <f t="shared" si="38"/>
        <v>26</v>
      </c>
      <c r="L265" s="47" t="str">
        <f t="shared" si="38"/>
        <v>27</v>
      </c>
      <c r="M265" s="47" t="str">
        <f t="shared" si="38"/>
        <v>28</v>
      </c>
      <c r="N265" s="47" t="str">
        <f t="shared" si="38"/>
        <v>29</v>
      </c>
      <c r="O265" s="47" t="str">
        <f t="shared" si="38"/>
        <v>30</v>
      </c>
      <c r="P265" s="47" t="str">
        <f t="shared" si="38"/>
        <v>31</v>
      </c>
      <c r="Q265" s="47" t="str">
        <f t="shared" si="38"/>
        <v>01</v>
      </c>
      <c r="R265" s="48" t="str">
        <f t="shared" si="38"/>
        <v>02</v>
      </c>
      <c r="S265" s="47" t="str">
        <f t="shared" si="38"/>
        <v>03</v>
      </c>
      <c r="T265" s="47" t="str">
        <f t="shared" si="38"/>
        <v>04</v>
      </c>
      <c r="U265" s="47" t="str">
        <f t="shared" si="38"/>
        <v>05</v>
      </c>
      <c r="V265" s="47" t="str">
        <f t="shared" si="38"/>
        <v>06</v>
      </c>
      <c r="W265" s="47" t="str">
        <f t="shared" si="38"/>
        <v>07</v>
      </c>
      <c r="X265" s="47" t="str">
        <f t="shared" si="38"/>
        <v>08</v>
      </c>
      <c r="Y265" s="48" t="str">
        <f t="shared" si="38"/>
        <v>09</v>
      </c>
      <c r="Z265" s="47" t="str">
        <f t="shared" si="38"/>
        <v>10</v>
      </c>
      <c r="AA265" s="47" t="str">
        <f t="shared" si="38"/>
        <v>11</v>
      </c>
      <c r="AB265" s="47" t="str">
        <f t="shared" si="38"/>
        <v>12</v>
      </c>
      <c r="AC265" s="47" t="str">
        <f t="shared" si="38"/>
        <v>13</v>
      </c>
      <c r="AD265" s="47" t="str">
        <f t="shared" si="38"/>
        <v>14</v>
      </c>
      <c r="AE265" s="47" t="str">
        <f t="shared" si="38"/>
        <v>15</v>
      </c>
      <c r="AF265" s="48" t="str">
        <f t="shared" si="38"/>
        <v>16</v>
      </c>
      <c r="AG265" s="47" t="str">
        <f t="shared" si="38"/>
        <v>17</v>
      </c>
      <c r="AH265" s="47" t="str">
        <f t="shared" si="38"/>
        <v>18</v>
      </c>
      <c r="AI265" s="47" t="str">
        <f t="shared" si="38"/>
        <v>19</v>
      </c>
      <c r="AJ265" s="47" t="str">
        <f t="shared" si="38"/>
        <v>20</v>
      </c>
      <c r="AK265" s="47" t="str">
        <f t="shared" si="38"/>
        <v>21</v>
      </c>
      <c r="AL265" s="134" t="str">
        <f t="shared" si="38"/>
        <v>22</v>
      </c>
      <c r="AM265" s="183">
        <f>X277</f>
        <v>150</v>
      </c>
    </row>
    <row r="266" spans="3:39" x14ac:dyDescent="0.35"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184"/>
    </row>
    <row r="267" spans="3:39" x14ac:dyDescent="0.35"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</row>
    <row r="268" spans="3:39" x14ac:dyDescent="0.35"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</row>
    <row r="269" spans="3:39" x14ac:dyDescent="0.35"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</row>
    <row r="270" spans="3:39" x14ac:dyDescent="0.35"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</row>
    <row r="271" spans="3:39" x14ac:dyDescent="0.35"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</row>
    <row r="272" spans="3:39" x14ac:dyDescent="0.35"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</row>
    <row r="273" spans="3:38" x14ac:dyDescent="0.35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</row>
    <row r="274" spans="3:38" x14ac:dyDescent="0.35">
      <c r="C274" s="2"/>
      <c r="E274" s="6" t="s">
        <v>56</v>
      </c>
      <c r="F274" s="6" t="s">
        <v>42</v>
      </c>
      <c r="G274" s="6" t="s">
        <v>41</v>
      </c>
      <c r="H274" s="6" t="s">
        <v>40</v>
      </c>
      <c r="I274" s="6" t="s">
        <v>39</v>
      </c>
      <c r="J274" s="6" t="s">
        <v>38</v>
      </c>
      <c r="K274" s="49" t="s">
        <v>37</v>
      </c>
      <c r="L274" s="6" t="s">
        <v>36</v>
      </c>
      <c r="M274" s="6" t="s">
        <v>35</v>
      </c>
      <c r="N274" s="6" t="s">
        <v>34</v>
      </c>
      <c r="O274" s="6" t="s">
        <v>33</v>
      </c>
      <c r="P274" s="6" t="s">
        <v>32</v>
      </c>
      <c r="Q274" s="6" t="s">
        <v>31</v>
      </c>
      <c r="R274" s="49" t="s">
        <v>30</v>
      </c>
      <c r="S274" s="6" t="s">
        <v>29</v>
      </c>
      <c r="T274" s="6" t="s">
        <v>28</v>
      </c>
      <c r="U274" s="6" t="s">
        <v>27</v>
      </c>
      <c r="V274" s="6" t="s">
        <v>26</v>
      </c>
      <c r="W274" s="6" t="s">
        <v>25</v>
      </c>
      <c r="X274" s="6" t="s">
        <v>24</v>
      </c>
      <c r="Y274" s="49" t="s">
        <v>23</v>
      </c>
      <c r="Z274" s="6" t="s">
        <v>43</v>
      </c>
      <c r="AA274" s="6" t="s">
        <v>44</v>
      </c>
      <c r="AB274" s="6" t="s">
        <v>45</v>
      </c>
      <c r="AC274" s="6" t="s">
        <v>46</v>
      </c>
      <c r="AD274" s="6" t="s">
        <v>47</v>
      </c>
      <c r="AE274" s="6" t="s">
        <v>48</v>
      </c>
      <c r="AF274" s="49" t="s">
        <v>49</v>
      </c>
      <c r="AG274" s="6" t="s">
        <v>50</v>
      </c>
      <c r="AH274" s="6" t="s">
        <v>51</v>
      </c>
      <c r="AI274" s="6" t="s">
        <v>52</v>
      </c>
      <c r="AJ274" s="6" t="s">
        <v>53</v>
      </c>
      <c r="AK274" s="6" t="s">
        <v>54</v>
      </c>
      <c r="AL274" s="6" t="s">
        <v>55</v>
      </c>
    </row>
    <row r="275" spans="3:38" x14ac:dyDescent="0.3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</row>
    <row r="276" spans="3:38" x14ac:dyDescent="0.35">
      <c r="C276" s="2" t="s">
        <v>189</v>
      </c>
      <c r="D276" s="2" t="s">
        <v>80</v>
      </c>
      <c r="E276" s="5">
        <f>Prereport!E50</f>
        <v>0</v>
      </c>
      <c r="F276" s="5">
        <f>Prereport!F50</f>
        <v>0</v>
      </c>
      <c r="G276" s="5">
        <f>Prereport!G50</f>
        <v>0</v>
      </c>
      <c r="H276" s="5">
        <f>Prereport!H50</f>
        <v>0</v>
      </c>
      <c r="I276" s="5">
        <f>Prereport!I50</f>
        <v>0</v>
      </c>
      <c r="J276" s="5">
        <f>Prereport!J50</f>
        <v>0</v>
      </c>
      <c r="K276" s="5">
        <f>Prereport!K50</f>
        <v>0</v>
      </c>
      <c r="L276" s="5">
        <f>Prereport!L50</f>
        <v>0</v>
      </c>
      <c r="M276" s="5">
        <f>Prereport!M50</f>
        <v>0</v>
      </c>
      <c r="N276" s="5">
        <f>Prereport!N50</f>
        <v>0</v>
      </c>
      <c r="O276" s="5">
        <f>Prereport!O50</f>
        <v>0</v>
      </c>
      <c r="P276" s="5">
        <f>Prereport!P50</f>
        <v>0</v>
      </c>
      <c r="Q276" s="5">
        <f>Prereport!Q50</f>
        <v>0</v>
      </c>
      <c r="R276" s="5">
        <f>Prereport!R50</f>
        <v>0</v>
      </c>
      <c r="S276" s="5">
        <f>Prereport!S50</f>
        <v>0</v>
      </c>
      <c r="T276" s="5">
        <f>Prereport!T50</f>
        <v>0</v>
      </c>
      <c r="U276" s="5">
        <f>Prereport!U50</f>
        <v>0</v>
      </c>
      <c r="V276" s="5">
        <f>Prereport!V50</f>
        <v>0</v>
      </c>
      <c r="W276" s="5">
        <f>Prereport!W50</f>
        <v>0</v>
      </c>
      <c r="X276" s="5">
        <f>Prereport!X50</f>
        <v>0</v>
      </c>
      <c r="Y276" s="5"/>
      <c r="Z276" s="5"/>
      <c r="AA276" s="5"/>
      <c r="AB276" s="5"/>
    </row>
    <row r="277" spans="3:38" x14ac:dyDescent="0.35">
      <c r="C277" s="9" t="s">
        <v>1</v>
      </c>
      <c r="D277" s="9" t="s">
        <v>80</v>
      </c>
      <c r="E277" s="152">
        <f>Prereport!E51</f>
        <v>150</v>
      </c>
      <c r="F277" s="152">
        <f>Prereport!F51</f>
        <v>150</v>
      </c>
      <c r="G277" s="152">
        <f>Prereport!G51</f>
        <v>150</v>
      </c>
      <c r="H277" s="152">
        <f>Prereport!H51</f>
        <v>150</v>
      </c>
      <c r="I277" s="152">
        <f>Prereport!I51</f>
        <v>150</v>
      </c>
      <c r="J277" s="152">
        <f>Prereport!J51</f>
        <v>150</v>
      </c>
      <c r="K277" s="152">
        <f>Prereport!K51</f>
        <v>150</v>
      </c>
      <c r="L277" s="152">
        <f>Prereport!L51</f>
        <v>150</v>
      </c>
      <c r="M277" s="152">
        <f>Prereport!M51</f>
        <v>150</v>
      </c>
      <c r="N277" s="152">
        <f>Prereport!N51</f>
        <v>150</v>
      </c>
      <c r="O277" s="152">
        <f>Prereport!O51</f>
        <v>150</v>
      </c>
      <c r="P277" s="152">
        <f>Prereport!P51</f>
        <v>150</v>
      </c>
      <c r="Q277" s="152">
        <f>Prereport!Q51</f>
        <v>150</v>
      </c>
      <c r="R277" s="152">
        <f>Prereport!R51</f>
        <v>150</v>
      </c>
      <c r="S277" s="152">
        <f>Prereport!S51</f>
        <v>150</v>
      </c>
      <c r="T277" s="152">
        <f>Prereport!T51</f>
        <v>150</v>
      </c>
      <c r="U277" s="152">
        <f>Prereport!U51</f>
        <v>150</v>
      </c>
      <c r="V277" s="152">
        <f>Prereport!V51</f>
        <v>150</v>
      </c>
      <c r="W277" s="152">
        <f>Prereport!W51</f>
        <v>150</v>
      </c>
      <c r="X277" s="152">
        <f>Prereport!X51</f>
        <v>150</v>
      </c>
      <c r="Y277" s="152"/>
      <c r="Z277" s="152"/>
      <c r="AA277" s="152"/>
      <c r="AB277" s="152"/>
      <c r="AC277" s="153"/>
      <c r="AD277" s="153"/>
      <c r="AE277" s="153"/>
      <c r="AF277" s="153"/>
      <c r="AG277" s="153"/>
      <c r="AH277" s="153"/>
      <c r="AI277" s="153"/>
      <c r="AJ277" s="153"/>
      <c r="AK277" s="153"/>
      <c r="AL277" s="153"/>
    </row>
    <row r="278" spans="3:38" x14ac:dyDescent="0.35">
      <c r="C278" s="15" t="s">
        <v>2</v>
      </c>
      <c r="D278" s="11" t="s">
        <v>3</v>
      </c>
      <c r="E278" s="154">
        <f>MyBar("IMP_STRAT_1",E266:E273,E276,E277)</f>
        <v>0</v>
      </c>
      <c r="F278" s="154">
        <f>MyBar("IMP_STRAT_2",F266:F273,F276,F277)</f>
        <v>0</v>
      </c>
      <c r="G278" s="154">
        <f>MyBar("IMP_STRAT_3",G266:G273,G276,G277)</f>
        <v>0</v>
      </c>
      <c r="H278" s="154">
        <f>MyBar("IMP_STRAT_4",H266:H273,H276,H277)</f>
        <v>0</v>
      </c>
      <c r="I278" s="154">
        <f>MyBar("IMP_STRAT_5",I266:I273,I276,I277)</f>
        <v>0</v>
      </c>
      <c r="J278" s="154">
        <f>MyBar("IMP_STRAT_6",J266:J273,J276,J277)</f>
        <v>0</v>
      </c>
      <c r="K278" s="154">
        <f>MyBar("IMP_STRAT_7",K266:K273,K276,K277)</f>
        <v>0</v>
      </c>
      <c r="L278" s="154">
        <f>MyBar("IMP_STRAT_8",L266:L273,L276,L277)</f>
        <v>0</v>
      </c>
      <c r="M278" s="154">
        <f>MyBar("IMP_STRAT_9",M266:M273,M276,M277)</f>
        <v>0</v>
      </c>
      <c r="N278" s="154">
        <f>MyBar("IMP_STRAT_10",N266:N273,N276,N277)</f>
        <v>0</v>
      </c>
      <c r="O278" s="154">
        <f>MyBar("IMP_STRAT_11",O266:O273,O276,O277)</f>
        <v>0</v>
      </c>
      <c r="P278" s="154">
        <f>MyBar("IMP_STRAT_12",P266:P273,P276,P277)</f>
        <v>0</v>
      </c>
      <c r="Q278" s="154">
        <f>MyBar("IMP_STRAT_13",Q266:Q273,Q276,Q277)</f>
        <v>0</v>
      </c>
      <c r="R278" s="154">
        <f>MyBar("IMP_STRAT_14",R266:R273,R276,R277)</f>
        <v>0</v>
      </c>
      <c r="S278" s="154">
        <f>MyBar("IMP_STRAT_15",S266:S273,S276,S277)</f>
        <v>0</v>
      </c>
      <c r="T278" s="154">
        <f>MyBar("IMP_STRAT_16",T266:T273,T276,T277)</f>
        <v>0</v>
      </c>
      <c r="U278" s="154">
        <f>MyBar("IMP_STRAT_17",U266:U273,U276,U277)</f>
        <v>0</v>
      </c>
      <c r="V278" s="154">
        <f>MyBar("IMP_STRAT_18",V266:V273,V276,V277)</f>
        <v>0</v>
      </c>
      <c r="W278" s="154">
        <f>MyBar("IMP_STRAT_19",W266:W273,W276,W277)</f>
        <v>0</v>
      </c>
      <c r="X278" s="154">
        <f>MyBar("IMP_STRAT_20",X266:X273,X276,X277)</f>
        <v>0</v>
      </c>
      <c r="Y278" s="154"/>
      <c r="Z278" s="154"/>
      <c r="AA278" s="154"/>
      <c r="AB278" s="154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</row>
  </sheetData>
  <mergeCells count="14">
    <mergeCell ref="K1:M1"/>
    <mergeCell ref="AM4:AM5"/>
    <mergeCell ref="AM12:AM13"/>
    <mergeCell ref="AM197:AM198"/>
    <mergeCell ref="AM180:AM181"/>
    <mergeCell ref="AM163:AM164"/>
    <mergeCell ref="AM214:AM215"/>
    <mergeCell ref="AM231:AM232"/>
    <mergeCell ref="AM248:AM249"/>
    <mergeCell ref="AM265:AM266"/>
    <mergeCell ref="AM34:AM35"/>
    <mergeCell ref="AM74:AM75"/>
    <mergeCell ref="AM110:AM111"/>
    <mergeCell ref="AM142:AM143"/>
  </mergeCells>
  <conditionalFormatting sqref="E50:AB50">
    <cfRule type="cellIs" dxfId="39" priority="49" operator="equal">
      <formula>-9.9999999</formula>
    </cfRule>
  </conditionalFormatting>
  <conditionalFormatting sqref="E90">
    <cfRule type="cellIs" dxfId="38" priority="48" operator="equal">
      <formula>-9.9999999</formula>
    </cfRule>
  </conditionalFormatting>
  <conditionalFormatting sqref="E126">
    <cfRule type="cellIs" dxfId="37" priority="47" operator="equal">
      <formula>-9.9999999</formula>
    </cfRule>
  </conditionalFormatting>
  <conditionalFormatting sqref="E153:E154 E156">
    <cfRule type="cellIs" dxfId="36" priority="46" operator="equal">
      <formula>-9.9999999</formula>
    </cfRule>
  </conditionalFormatting>
  <conditionalFormatting sqref="E174">
    <cfRule type="cellIs" dxfId="35" priority="45" operator="equal">
      <formula>-9.9999999</formula>
    </cfRule>
  </conditionalFormatting>
  <conditionalFormatting sqref="E191:AB191">
    <cfRule type="cellIs" dxfId="34" priority="44" operator="equal">
      <formula>-9.9999999</formula>
    </cfRule>
  </conditionalFormatting>
  <conditionalFormatting sqref="E208:AB208">
    <cfRule type="cellIs" dxfId="33" priority="43" operator="equal">
      <formula>-9.9999999</formula>
    </cfRule>
  </conditionalFormatting>
  <conditionalFormatting sqref="E225">
    <cfRule type="cellIs" dxfId="32" priority="42" operator="equal">
      <formula>-9.9999999</formula>
    </cfRule>
  </conditionalFormatting>
  <conditionalFormatting sqref="E242">
    <cfRule type="cellIs" dxfId="31" priority="41" operator="equal">
      <formula>-9.9999999</formula>
    </cfRule>
  </conditionalFormatting>
  <conditionalFormatting sqref="E259">
    <cfRule type="cellIs" dxfId="30" priority="40" operator="equal">
      <formula>-9.9999999</formula>
    </cfRule>
  </conditionalFormatting>
  <conditionalFormatting sqref="E276:AB276">
    <cfRule type="cellIs" dxfId="29" priority="39" operator="equal">
      <formula>-9.9999999</formula>
    </cfRule>
  </conditionalFormatting>
  <conditionalFormatting sqref="E97">
    <cfRule type="expression" dxfId="28" priority="33">
      <formula>E90=-9.9999999</formula>
    </cfRule>
  </conditionalFormatting>
  <conditionalFormatting sqref="E132 E159:AL159">
    <cfRule type="expression" dxfId="27" priority="31">
      <formula>E126=-9.9999999</formula>
    </cfRule>
  </conditionalFormatting>
  <conditionalFormatting sqref="E160:AL161">
    <cfRule type="expression" dxfId="26" priority="29">
      <formula>E158=-9.9999999</formula>
    </cfRule>
  </conditionalFormatting>
  <conditionalFormatting sqref="AB177:AB178">
    <cfRule type="expression" dxfId="25" priority="28">
      <formula>AB175=-9.9999999</formula>
    </cfRule>
  </conditionalFormatting>
  <conditionalFormatting sqref="E177:AA178 E176:AL176">
    <cfRule type="expression" dxfId="24" priority="27">
      <formula>E174=-9.9999999</formula>
    </cfRule>
  </conditionalFormatting>
  <conditionalFormatting sqref="AB193:AB195">
    <cfRule type="expression" dxfId="23" priority="26">
      <formula>AB191=-9.9999999</formula>
    </cfRule>
  </conditionalFormatting>
  <conditionalFormatting sqref="E193:AA195">
    <cfRule type="expression" dxfId="22" priority="25">
      <formula>E191=-9.9999999</formula>
    </cfRule>
  </conditionalFormatting>
  <conditionalFormatting sqref="AB210:AB212">
    <cfRule type="expression" dxfId="21" priority="24">
      <formula>AB208=-9.9999999</formula>
    </cfRule>
  </conditionalFormatting>
  <conditionalFormatting sqref="E210:AA212">
    <cfRule type="expression" dxfId="20" priority="23">
      <formula>E208=-9.9999999</formula>
    </cfRule>
  </conditionalFormatting>
  <conditionalFormatting sqref="AB227:AB229">
    <cfRule type="expression" dxfId="19" priority="22">
      <formula>AB225=-9.9999999</formula>
    </cfRule>
  </conditionalFormatting>
  <conditionalFormatting sqref="AB244:AB246">
    <cfRule type="expression" dxfId="18" priority="21">
      <formula>AB242=-9.9999999</formula>
    </cfRule>
  </conditionalFormatting>
  <conditionalFormatting sqref="AB261:AB263">
    <cfRule type="expression" dxfId="17" priority="20">
      <formula>AB259=-9.9999999</formula>
    </cfRule>
  </conditionalFormatting>
  <conditionalFormatting sqref="AB278">
    <cfRule type="expression" dxfId="16" priority="19">
      <formula>AB276=-9.9999999</formula>
    </cfRule>
  </conditionalFormatting>
  <conditionalFormatting sqref="E227:AA229">
    <cfRule type="expression" dxfId="15" priority="18">
      <formula>E225=-9.9999999</formula>
    </cfRule>
  </conditionalFormatting>
  <conditionalFormatting sqref="E244:AA246">
    <cfRule type="expression" dxfId="14" priority="17">
      <formula>E242=-9.9999999</formula>
    </cfRule>
  </conditionalFormatting>
  <conditionalFormatting sqref="E261:AA263">
    <cfRule type="expression" dxfId="13" priority="16">
      <formula>E259=-9.9999999</formula>
    </cfRule>
  </conditionalFormatting>
  <conditionalFormatting sqref="E278:AA278">
    <cfRule type="expression" dxfId="12" priority="15">
      <formula>E276=-9.9999999</formula>
    </cfRule>
  </conditionalFormatting>
  <conditionalFormatting sqref="AC50:AL50">
    <cfRule type="cellIs" dxfId="11" priority="14" operator="equal">
      <formula>-9.9999999</formula>
    </cfRule>
  </conditionalFormatting>
  <conditionalFormatting sqref="F90:X90">
    <cfRule type="cellIs" dxfId="10" priority="13" operator="equal">
      <formula>-9.9999999</formula>
    </cfRule>
  </conditionalFormatting>
  <conditionalFormatting sqref="AM90">
    <cfRule type="cellIs" dxfId="9" priority="12" operator="equal">
      <formula>-9.9999999</formula>
    </cfRule>
  </conditionalFormatting>
  <conditionalFormatting sqref="F97:AL97">
    <cfRule type="expression" dxfId="8" priority="10">
      <formula>F90=-9.9999999</formula>
    </cfRule>
  </conditionalFormatting>
  <conditionalFormatting sqref="F126:AL126">
    <cfRule type="cellIs" dxfId="7" priority="9" operator="equal">
      <formula>-9.9999999</formula>
    </cfRule>
  </conditionalFormatting>
  <conditionalFormatting sqref="F132:AL132">
    <cfRule type="expression" dxfId="6" priority="8">
      <formula>F126=-9.9999999</formula>
    </cfRule>
  </conditionalFormatting>
  <conditionalFormatting sqref="F153:AL153 F156:K156 F154:V154 AL154">
    <cfRule type="cellIs" dxfId="5" priority="6" operator="equal">
      <formula>-9.9999999</formula>
    </cfRule>
  </conditionalFormatting>
  <conditionalFormatting sqref="F174:AL174">
    <cfRule type="cellIs" dxfId="4" priority="5" operator="equal">
      <formula>-9.9999999</formula>
    </cfRule>
  </conditionalFormatting>
  <conditionalFormatting sqref="F225:AB225">
    <cfRule type="cellIs" dxfId="3" priority="4" operator="equal">
      <formula>-9.9999999</formula>
    </cfRule>
  </conditionalFormatting>
  <conditionalFormatting sqref="F242:AB242">
    <cfRule type="cellIs" dxfId="2" priority="3" operator="equal">
      <formula>-9.9999999</formula>
    </cfRule>
  </conditionalFormatting>
  <conditionalFormatting sqref="F259:AB259">
    <cfRule type="cellIs" dxfId="1" priority="2" operator="equal">
      <formula>-9.9999999</formula>
    </cfRule>
  </conditionalFormatting>
  <conditionalFormatting sqref="Y90:AL90">
    <cfRule type="cellIs" dxfId="0" priority="1" operator="equal">
      <formula>-9.9999999</formula>
    </cfRule>
  </conditionalFormatting>
  <pageMargins left="0.70866141732283472" right="0.70866141732283472" top="0.74803149606299213" bottom="0.74803149606299213" header="0.31496062992125984" footer="0.31496062992125984"/>
  <pageSetup paperSize="8" scale="65" fitToHeight="2" orientation="portrait" r:id="rId1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63"/>
  <sheetViews>
    <sheetView topLeftCell="A50" workbookViewId="0">
      <selection activeCell="AP60" sqref="AP60"/>
    </sheetView>
  </sheetViews>
  <sheetFormatPr defaultColWidth="8.81640625" defaultRowHeight="14.5" x14ac:dyDescent="0.35"/>
  <cols>
    <col min="5" max="24" width="11.453125" bestFit="1" customWidth="1"/>
    <col min="27" max="27" width="10.6328125" bestFit="1" customWidth="1"/>
    <col min="44" max="44" width="10.36328125" bestFit="1" customWidth="1"/>
  </cols>
  <sheetData>
    <row r="1" spans="1:43" x14ac:dyDescent="0.35">
      <c r="A1" t="s">
        <v>16</v>
      </c>
      <c r="C1" t="s">
        <v>17</v>
      </c>
      <c r="E1" s="23">
        <f>datatransposed!B3</f>
        <v>1362.8222580000001</v>
      </c>
      <c r="F1" s="23">
        <f>datatransposed!C3</f>
        <v>1345.8098153999999</v>
      </c>
      <c r="G1" s="23">
        <f>datatransposed!D3</f>
        <v>1295.8177740000001</v>
      </c>
      <c r="H1" s="23">
        <f>datatransposed!E3</f>
        <v>1026.1767405000001</v>
      </c>
      <c r="I1" s="23">
        <f>datatransposed!F3</f>
        <v>962.57138180000015</v>
      </c>
      <c r="J1" s="23">
        <f>datatransposed!G3</f>
        <v>1257.9609465999999</v>
      </c>
      <c r="K1" s="23">
        <f>datatransposed!H3</f>
        <v>1338.3541673</v>
      </c>
      <c r="L1" s="23">
        <f>datatransposed!I3</f>
        <v>1284.7843740999999</v>
      </c>
      <c r="M1" s="23">
        <f>datatransposed!J3</f>
        <v>0</v>
      </c>
      <c r="N1" s="23">
        <f>datatransposed!K3</f>
        <v>0</v>
      </c>
      <c r="O1" s="23">
        <f>datatransposed!L3</f>
        <v>0</v>
      </c>
      <c r="P1" s="23">
        <f>datatransposed!M3</f>
        <v>0</v>
      </c>
      <c r="Q1" s="23">
        <f>datatransposed!N3</f>
        <v>1045.8684180999999</v>
      </c>
      <c r="R1" s="23">
        <f>datatransposed!O3</f>
        <v>940.23671109999998</v>
      </c>
      <c r="S1" s="23">
        <f>datatransposed!P3</f>
        <v>1261.0926727000001</v>
      </c>
      <c r="T1" s="23">
        <f>datatransposed!Q3</f>
        <v>1346.1343792</v>
      </c>
      <c r="U1" s="23">
        <f>datatransposed!R3</f>
        <v>1379.1141997</v>
      </c>
      <c r="V1" s="23">
        <f>datatransposed!S3</f>
        <v>1051.22217</v>
      </c>
      <c r="W1" s="23">
        <f>datatransposed!T3</f>
        <v>901.6904902</v>
      </c>
      <c r="X1" s="24">
        <f>datatransposed!U3</f>
        <v>1258.0374254999999</v>
      </c>
      <c r="Y1" s="23">
        <f>datatransposed!V3</f>
        <v>1288.5490192745879</v>
      </c>
      <c r="Z1" s="23">
        <f>datatransposed!W3</f>
        <v>1322.395097765431</v>
      </c>
      <c r="AA1" s="23">
        <f>datatransposed!X3</f>
        <v>1344.1845707425396</v>
      </c>
      <c r="AB1" s="23">
        <f>datatransposed!Y3</f>
        <v>1320.9048587417219</v>
      </c>
      <c r="AC1" s="23">
        <f>datatransposed!Z3</f>
        <v>1081.1413344517894</v>
      </c>
      <c r="AD1" s="23">
        <f>datatransposed!AA3</f>
        <v>1012.602412589956</v>
      </c>
      <c r="AE1" s="23">
        <f>datatransposed!AB3</f>
        <v>1339.4989588873959</v>
      </c>
      <c r="AF1" s="23">
        <f>datatransposed!AC3</f>
        <v>1360.6095275460937</v>
      </c>
      <c r="AG1" s="23">
        <f>datatransposed!AD3</f>
        <v>1375.1236143425861</v>
      </c>
      <c r="AH1" s="23">
        <f>datatransposed!AE3</f>
        <v>1385.2867969730019</v>
      </c>
      <c r="AI1" s="23">
        <f>datatransposed!AF3</f>
        <v>1362.8627414629614</v>
      </c>
      <c r="AJ1" s="23">
        <f>datatransposed!AG3</f>
        <v>1111.9516428792926</v>
      </c>
      <c r="AK1" s="23">
        <f>datatransposed!AH3</f>
        <v>1038.5535970377921</v>
      </c>
      <c r="AL1" s="23">
        <f>datatransposed!AI3</f>
        <v>1381.3952164552934</v>
      </c>
      <c r="AM1" s="23">
        <f>datatransposed!AJ3</f>
        <v>1630.4471093622637</v>
      </c>
      <c r="AO1" s="23">
        <f>MAX(E1:AM1)+100</f>
        <v>1730.4471093622637</v>
      </c>
      <c r="AQ1" s="23">
        <f>MAX(AO1,2000)</f>
        <v>2000</v>
      </c>
    </row>
    <row r="2" spans="1:43" x14ac:dyDescent="0.35">
      <c r="C2" t="s">
        <v>18</v>
      </c>
      <c r="E2">
        <f t="shared" ref="E2:AB2" si="0">$AQ$1</f>
        <v>2000</v>
      </c>
      <c r="F2">
        <f t="shared" si="0"/>
        <v>2000</v>
      </c>
      <c r="G2">
        <f t="shared" si="0"/>
        <v>2000</v>
      </c>
      <c r="H2">
        <f t="shared" si="0"/>
        <v>2000</v>
      </c>
      <c r="I2">
        <f t="shared" si="0"/>
        <v>2000</v>
      </c>
      <c r="J2">
        <f t="shared" si="0"/>
        <v>2000</v>
      </c>
      <c r="K2">
        <f t="shared" si="0"/>
        <v>2000</v>
      </c>
      <c r="L2">
        <f t="shared" si="0"/>
        <v>2000</v>
      </c>
      <c r="M2">
        <f t="shared" si="0"/>
        <v>2000</v>
      </c>
      <c r="N2">
        <f t="shared" si="0"/>
        <v>2000</v>
      </c>
      <c r="O2">
        <f t="shared" si="0"/>
        <v>2000</v>
      </c>
      <c r="P2">
        <f t="shared" si="0"/>
        <v>2000</v>
      </c>
      <c r="Q2">
        <f t="shared" si="0"/>
        <v>2000</v>
      </c>
      <c r="R2">
        <f t="shared" si="0"/>
        <v>2000</v>
      </c>
      <c r="S2">
        <f t="shared" si="0"/>
        <v>2000</v>
      </c>
      <c r="T2">
        <f t="shared" si="0"/>
        <v>2000</v>
      </c>
      <c r="U2">
        <f t="shared" si="0"/>
        <v>2000</v>
      </c>
      <c r="V2">
        <f t="shared" si="0"/>
        <v>2000</v>
      </c>
      <c r="W2">
        <f t="shared" si="0"/>
        <v>2000</v>
      </c>
      <c r="X2" s="20">
        <f t="shared" si="0"/>
        <v>2000</v>
      </c>
      <c r="Y2">
        <f t="shared" si="0"/>
        <v>2000</v>
      </c>
      <c r="Z2">
        <f t="shared" si="0"/>
        <v>2000</v>
      </c>
      <c r="AA2">
        <f t="shared" si="0"/>
        <v>2000</v>
      </c>
      <c r="AB2">
        <f t="shared" si="0"/>
        <v>2000</v>
      </c>
      <c r="AC2">
        <f t="shared" ref="AC2:AM2" si="1">$AQ$1</f>
        <v>2000</v>
      </c>
      <c r="AD2">
        <f t="shared" si="1"/>
        <v>2000</v>
      </c>
      <c r="AE2">
        <f t="shared" si="1"/>
        <v>2000</v>
      </c>
      <c r="AF2">
        <f t="shared" si="1"/>
        <v>2000</v>
      </c>
      <c r="AG2">
        <f t="shared" si="1"/>
        <v>2000</v>
      </c>
      <c r="AH2">
        <f t="shared" si="1"/>
        <v>2000</v>
      </c>
      <c r="AI2">
        <f t="shared" si="1"/>
        <v>2000</v>
      </c>
      <c r="AJ2">
        <f t="shared" si="1"/>
        <v>2000</v>
      </c>
      <c r="AK2">
        <f t="shared" si="1"/>
        <v>2000</v>
      </c>
      <c r="AL2">
        <f t="shared" si="1"/>
        <v>2000</v>
      </c>
      <c r="AM2">
        <f t="shared" si="1"/>
        <v>2000</v>
      </c>
    </row>
    <row r="3" spans="1:43" x14ac:dyDescent="0.35">
      <c r="C3" t="s">
        <v>195</v>
      </c>
      <c r="W3">
        <f>PCFCast!$C$25</f>
        <v>975.28580173455157</v>
      </c>
      <c r="X3" s="20">
        <f>PCFCast!$B$26</f>
        <v>1295.856126126243</v>
      </c>
      <c r="Y3">
        <f>PCFCast!$B$27</f>
        <v>1333.7219193982298</v>
      </c>
      <c r="Z3">
        <f>PCFCast!$B$28</f>
        <v>1361.307816752379</v>
      </c>
      <c r="AA3">
        <f>PCFCast!$D$29</f>
        <v>1379.1121119731492</v>
      </c>
      <c r="AB3">
        <f>PCFCast!$D$30</f>
        <v>1359.9211845003083</v>
      </c>
      <c r="AC3">
        <f>PCFCast!$D$31</f>
        <v>1116.9186014712964</v>
      </c>
      <c r="AD3">
        <f>PCFCast!$D$32</f>
        <v>1045.5950124072415</v>
      </c>
      <c r="AE3">
        <f>PCFCast!$D$33</f>
        <v>1376.8620296029037</v>
      </c>
      <c r="AF3">
        <f>PCFCast!$D$34</f>
        <v>1395.519981984311</v>
      </c>
      <c r="AG3">
        <f>PCFCast!$D$35</f>
        <v>1408.3591490617173</v>
      </c>
      <c r="AH3">
        <f>PCFCast!$D$36</f>
        <v>1417.9661732752952</v>
      </c>
      <c r="AI3">
        <f>PCFCast!$D$37</f>
        <v>1392.7997458378179</v>
      </c>
      <c r="AJ3">
        <f>PCFCast!$D$38</f>
        <v>1141.2680147950405</v>
      </c>
      <c r="AK3">
        <f>PCFCast!$D$39</f>
        <v>1067.1452529173407</v>
      </c>
      <c r="AL3">
        <f>PCFCast!$D$40</f>
        <v>1414.7932375533753</v>
      </c>
    </row>
    <row r="4" spans="1:43" x14ac:dyDescent="0.35">
      <c r="X4" s="20"/>
    </row>
    <row r="5" spans="1:43" x14ac:dyDescent="0.35">
      <c r="A5" t="s">
        <v>77</v>
      </c>
      <c r="C5" t="s">
        <v>16</v>
      </c>
      <c r="D5" t="s">
        <v>4</v>
      </c>
      <c r="E5" s="23">
        <f>datatransposed!B11</f>
        <v>392.49716549999999</v>
      </c>
      <c r="F5" s="23">
        <f>datatransposed!C11</f>
        <v>406.81630430000001</v>
      </c>
      <c r="G5" s="23">
        <f>datatransposed!D11</f>
        <v>395.05887899999999</v>
      </c>
      <c r="H5" s="23">
        <f>datatransposed!E11</f>
        <v>327.88495349999999</v>
      </c>
      <c r="I5" s="23">
        <f>datatransposed!F11</f>
        <v>302.69192179999999</v>
      </c>
      <c r="J5" s="23">
        <f>datatransposed!G11</f>
        <v>397.19221579999999</v>
      </c>
      <c r="K5" s="23">
        <f>datatransposed!H11</f>
        <v>399.00823120000001</v>
      </c>
      <c r="L5" s="23">
        <f>datatransposed!I11</f>
        <v>395.6164043</v>
      </c>
      <c r="M5" s="23">
        <f>datatransposed!J11</f>
        <v>0</v>
      </c>
      <c r="N5" s="23">
        <f>datatransposed!K11</f>
        <v>0</v>
      </c>
      <c r="O5" s="23">
        <f>datatransposed!L11</f>
        <v>0</v>
      </c>
      <c r="P5" s="23">
        <f>datatransposed!M11</f>
        <v>0</v>
      </c>
      <c r="Q5" s="23">
        <f>datatransposed!N11</f>
        <v>319.66296149999999</v>
      </c>
      <c r="R5" s="23">
        <f>datatransposed!O11</f>
        <v>296.06194729999999</v>
      </c>
      <c r="S5" s="23">
        <f>datatransposed!P11</f>
        <v>373.83825969999998</v>
      </c>
      <c r="T5" s="23">
        <f>datatransposed!Q11</f>
        <v>374.451618</v>
      </c>
      <c r="U5" s="23">
        <f>datatransposed!R11</f>
        <v>369.13138800000002</v>
      </c>
      <c r="V5" s="23">
        <f>datatransposed!S11</f>
        <v>315.12084149999998</v>
      </c>
      <c r="W5" s="23">
        <f>datatransposed!T11</f>
        <v>270.77972699999998</v>
      </c>
      <c r="X5" s="24">
        <f>datatransposed!U11</f>
        <v>381.03197549999999</v>
      </c>
      <c r="Y5" s="23">
        <f>datatransposed!V11</f>
        <v>364.06333415414701</v>
      </c>
      <c r="Z5" s="23">
        <f>datatransposed!W11</f>
        <v>366.10129150531498</v>
      </c>
      <c r="AA5" s="23">
        <f>datatransposed!X11</f>
        <v>367.59796757693454</v>
      </c>
      <c r="AB5" s="23">
        <f>datatransposed!Y11</f>
        <v>369.83824520179007</v>
      </c>
      <c r="AC5" s="23">
        <f>datatransposed!Z11</f>
        <v>308.81320934536978</v>
      </c>
      <c r="AD5" s="23">
        <f>datatransposed!AA11</f>
        <v>292.46936043671462</v>
      </c>
      <c r="AE5" s="23">
        <f>datatransposed!AB11</f>
        <v>379.52944618314223</v>
      </c>
      <c r="AF5" s="23">
        <f>datatransposed!AC11</f>
        <v>379.23546118682657</v>
      </c>
      <c r="AG5" s="23">
        <f>datatransposed!AD11</f>
        <v>379.32973354023926</v>
      </c>
      <c r="AH5" s="23">
        <f>datatransposed!AE11</f>
        <v>379.52113860436975</v>
      </c>
      <c r="AI5" s="23">
        <f>datatransposed!AF11</f>
        <v>380.00870297239697</v>
      </c>
      <c r="AJ5" s="23">
        <f>datatransposed!AG11</f>
        <v>316.5509908095832</v>
      </c>
      <c r="AK5" s="23">
        <f>datatransposed!AH11</f>
        <v>298.90475124539887</v>
      </c>
      <c r="AL5" s="23">
        <f>datatransposed!AI11</f>
        <v>387.36693312269568</v>
      </c>
      <c r="AM5" s="23">
        <f>datatransposed!AJ11</f>
        <v>353.95739724575276</v>
      </c>
      <c r="AO5" s="23">
        <f>MAX(E5:AM5)</f>
        <v>406.81630430000001</v>
      </c>
      <c r="AQ5" s="23">
        <f>MAX(AO5,2000)</f>
        <v>2000</v>
      </c>
    </row>
    <row r="6" spans="1:43" x14ac:dyDescent="0.35">
      <c r="C6" t="s">
        <v>1</v>
      </c>
      <c r="D6" t="s">
        <v>4</v>
      </c>
      <c r="E6" s="23">
        <f t="shared" ref="E6:AL6" si="2">$AQ$5</f>
        <v>2000</v>
      </c>
      <c r="F6" s="23">
        <f t="shared" si="2"/>
        <v>2000</v>
      </c>
      <c r="G6" s="23">
        <f t="shared" si="2"/>
        <v>2000</v>
      </c>
      <c r="H6" s="23">
        <f t="shared" si="2"/>
        <v>2000</v>
      </c>
      <c r="I6" s="23">
        <f t="shared" si="2"/>
        <v>2000</v>
      </c>
      <c r="J6" s="23">
        <f t="shared" si="2"/>
        <v>2000</v>
      </c>
      <c r="K6" s="23">
        <f t="shared" si="2"/>
        <v>2000</v>
      </c>
      <c r="L6" s="23">
        <f t="shared" si="2"/>
        <v>2000</v>
      </c>
      <c r="M6" s="23">
        <f t="shared" si="2"/>
        <v>2000</v>
      </c>
      <c r="N6" s="23">
        <f t="shared" si="2"/>
        <v>2000</v>
      </c>
      <c r="O6" s="23">
        <f t="shared" si="2"/>
        <v>2000</v>
      </c>
      <c r="P6" s="23">
        <f t="shared" si="2"/>
        <v>2000</v>
      </c>
      <c r="Q6" s="23">
        <f t="shared" si="2"/>
        <v>2000</v>
      </c>
      <c r="R6" s="23">
        <f t="shared" si="2"/>
        <v>2000</v>
      </c>
      <c r="S6" s="23">
        <f t="shared" si="2"/>
        <v>2000</v>
      </c>
      <c r="T6" s="23">
        <f t="shared" si="2"/>
        <v>2000</v>
      </c>
      <c r="U6" s="23">
        <f t="shared" si="2"/>
        <v>2000</v>
      </c>
      <c r="V6" s="23">
        <f t="shared" si="2"/>
        <v>2000</v>
      </c>
      <c r="W6" s="23">
        <f t="shared" si="2"/>
        <v>2000</v>
      </c>
      <c r="X6" s="24">
        <f t="shared" si="2"/>
        <v>2000</v>
      </c>
      <c r="Y6" s="23">
        <f t="shared" si="2"/>
        <v>2000</v>
      </c>
      <c r="Z6" s="23">
        <f t="shared" si="2"/>
        <v>2000</v>
      </c>
      <c r="AA6" s="23">
        <f t="shared" si="2"/>
        <v>2000</v>
      </c>
      <c r="AB6" s="23">
        <f t="shared" si="2"/>
        <v>2000</v>
      </c>
      <c r="AC6" s="23">
        <f t="shared" si="2"/>
        <v>2000</v>
      </c>
      <c r="AD6" s="23">
        <f t="shared" si="2"/>
        <v>2000</v>
      </c>
      <c r="AE6" s="23">
        <f t="shared" si="2"/>
        <v>2000</v>
      </c>
      <c r="AF6" s="23">
        <f t="shared" si="2"/>
        <v>2000</v>
      </c>
      <c r="AG6" s="23">
        <f t="shared" si="2"/>
        <v>2000</v>
      </c>
      <c r="AH6" s="23">
        <f t="shared" si="2"/>
        <v>2000</v>
      </c>
      <c r="AI6" s="23">
        <f t="shared" si="2"/>
        <v>2000</v>
      </c>
      <c r="AJ6" s="23">
        <f t="shared" si="2"/>
        <v>2000</v>
      </c>
      <c r="AK6" s="23">
        <f t="shared" si="2"/>
        <v>2000</v>
      </c>
      <c r="AL6" s="23">
        <f t="shared" si="2"/>
        <v>2000</v>
      </c>
      <c r="AM6" s="23">
        <f>$AQ$5</f>
        <v>2000</v>
      </c>
    </row>
    <row r="7" spans="1:43" x14ac:dyDescent="0.35">
      <c r="W7">
        <f>PCFCast!$K$25</f>
        <v>299.05006860253133</v>
      </c>
      <c r="X7" s="20">
        <f>PCFCast!$J$26</f>
        <v>388.01151139496886</v>
      </c>
      <c r="Y7">
        <f>PCFCast!$J$27</f>
        <v>388.7938639674648</v>
      </c>
      <c r="Z7">
        <f>PCFCast!$J$28</f>
        <v>389.32488517993835</v>
      </c>
      <c r="AA7">
        <f>PCFCast!$L$29</f>
        <v>389.68032590350236</v>
      </c>
      <c r="AB7">
        <f>PCFCast!$L$30</f>
        <v>389.83267411401874</v>
      </c>
      <c r="AC7">
        <f>PCFCast!$L$31</f>
        <v>324.61378696353842</v>
      </c>
      <c r="AD7">
        <f>PCFCast!$L$32</f>
        <v>306.70634054311444</v>
      </c>
      <c r="AE7">
        <f>PCFCast!$L$33</f>
        <v>397.80543291040289</v>
      </c>
      <c r="AF7">
        <f>PCFCast!$L$34</f>
        <v>396.96109749516614</v>
      </c>
      <c r="AG7">
        <f>PCFCast!$L$35</f>
        <v>396.48870115307062</v>
      </c>
      <c r="AH7">
        <f>PCFCast!$L$36</f>
        <v>396.28181222984716</v>
      </c>
      <c r="AI7">
        <f>PCFCast!$L$37</f>
        <v>396.17550383390335</v>
      </c>
      <c r="AJ7">
        <f>PCFCast!$L$38</f>
        <v>329.68433465621501</v>
      </c>
      <c r="AK7">
        <f>PCFCast!$L$39</f>
        <v>311.27942367943541</v>
      </c>
      <c r="AL7">
        <f>PCFCast!$L$40</f>
        <v>403.58971785169564</v>
      </c>
    </row>
    <row r="8" spans="1:43" x14ac:dyDescent="0.35">
      <c r="X8" s="20"/>
    </row>
    <row r="9" spans="1:43" x14ac:dyDescent="0.35">
      <c r="X9" s="20"/>
    </row>
    <row r="10" spans="1:43" x14ac:dyDescent="0.35">
      <c r="A10" t="s">
        <v>78</v>
      </c>
      <c r="C10" t="s">
        <v>16</v>
      </c>
      <c r="D10" t="s">
        <v>4</v>
      </c>
      <c r="E10" s="23">
        <f>datatransposed!B10</f>
        <v>543.43601999999998</v>
      </c>
      <c r="F10" s="23">
        <f>datatransposed!C10</f>
        <v>492.31577479999999</v>
      </c>
      <c r="G10" s="23">
        <f>datatransposed!D10</f>
        <v>456.78592350000002</v>
      </c>
      <c r="H10" s="23">
        <f>datatransposed!E10</f>
        <v>323.9616585</v>
      </c>
      <c r="I10" s="23">
        <f>datatransposed!F10</f>
        <v>318.96588150000002</v>
      </c>
      <c r="J10" s="23">
        <f>datatransposed!G10</f>
        <v>425.32014299999997</v>
      </c>
      <c r="K10" s="23">
        <f>datatransposed!H10</f>
        <v>488.8863743</v>
      </c>
      <c r="L10" s="23">
        <f>datatransposed!I10</f>
        <v>445.70360030000001</v>
      </c>
      <c r="M10" s="23">
        <f>datatransposed!J10</f>
        <v>0</v>
      </c>
      <c r="N10" s="23">
        <f>datatransposed!K10</f>
        <v>0</v>
      </c>
      <c r="O10" s="23">
        <f>datatransposed!L10</f>
        <v>0</v>
      </c>
      <c r="P10" s="23">
        <f>datatransposed!M10</f>
        <v>0</v>
      </c>
      <c r="Q10" s="23">
        <f>datatransposed!N10</f>
        <v>392.52216829999998</v>
      </c>
      <c r="R10" s="23">
        <f>datatransposed!O10</f>
        <v>337.24416830000001</v>
      </c>
      <c r="S10" s="23">
        <f>datatransposed!P10</f>
        <v>488.78031370000002</v>
      </c>
      <c r="T10" s="23">
        <f>datatransposed!Q10</f>
        <v>561.44199600000002</v>
      </c>
      <c r="U10" s="23">
        <f>datatransposed!R10</f>
        <v>445.42160469999999</v>
      </c>
      <c r="V10" s="23">
        <f>datatransposed!S10</f>
        <v>432.042081</v>
      </c>
      <c r="W10" s="23">
        <f>datatransposed!T10</f>
        <v>348.08878499999997</v>
      </c>
      <c r="X10" s="24">
        <f>datatransposed!U10</f>
        <v>481.58440569999999</v>
      </c>
      <c r="Y10" s="23">
        <f>datatransposed!V10</f>
        <v>568.17971473409011</v>
      </c>
      <c r="Z10" s="23">
        <f>datatransposed!W10</f>
        <v>602.00304096200705</v>
      </c>
      <c r="AA10" s="23">
        <f>datatransposed!X10</f>
        <v>625.39423834144054</v>
      </c>
      <c r="AB10" s="23">
        <f>datatransposed!Y10</f>
        <v>594.94384539907037</v>
      </c>
      <c r="AC10" s="23">
        <f>datatransposed!Z10</f>
        <v>448.73270910683044</v>
      </c>
      <c r="AD10" s="23">
        <f>datatransposed!AA10</f>
        <v>404.03570607186725</v>
      </c>
      <c r="AE10" s="23">
        <f>datatransposed!AB10</f>
        <v>595.19588553170399</v>
      </c>
      <c r="AF10" s="23">
        <f>datatransposed!AC10</f>
        <v>619.92662563039846</v>
      </c>
      <c r="AG10" s="23">
        <f>datatransposed!AD10</f>
        <v>637.3068353339039</v>
      </c>
      <c r="AH10" s="23">
        <f>datatransposed!AE10</f>
        <v>649.47538355940321</v>
      </c>
      <c r="AI10" s="23">
        <f>datatransposed!AF10</f>
        <v>630.75915261968987</v>
      </c>
      <c r="AJ10" s="23">
        <f>datatransposed!AG10</f>
        <v>477.13858643089804</v>
      </c>
      <c r="AK10" s="23">
        <f>datatransposed!AH10</f>
        <v>428.34673693450924</v>
      </c>
      <c r="AL10" s="23">
        <f>datatransposed!AI10</f>
        <v>633.74884584477149</v>
      </c>
      <c r="AM10" s="23">
        <f>datatransposed!AJ10</f>
        <v>640.83822138682979</v>
      </c>
      <c r="AO10" s="23">
        <f>MAX(E10:AM10)</f>
        <v>649.47538355940321</v>
      </c>
      <c r="AQ10" s="23">
        <f>MAX(AO10,2000)</f>
        <v>2000</v>
      </c>
    </row>
    <row r="11" spans="1:43" x14ac:dyDescent="0.35">
      <c r="C11" t="s">
        <v>1</v>
      </c>
      <c r="D11" t="s">
        <v>4</v>
      </c>
      <c r="E11" s="23">
        <f>$AQ$10</f>
        <v>2000</v>
      </c>
      <c r="F11" s="23">
        <f t="shared" ref="F11:AM11" si="3">$AQ$10</f>
        <v>2000</v>
      </c>
      <c r="G11" s="23">
        <f t="shared" si="3"/>
        <v>2000</v>
      </c>
      <c r="H11" s="23">
        <f t="shared" si="3"/>
        <v>2000</v>
      </c>
      <c r="I11" s="23">
        <f t="shared" si="3"/>
        <v>2000</v>
      </c>
      <c r="J11" s="23">
        <f t="shared" si="3"/>
        <v>2000</v>
      </c>
      <c r="K11" s="23">
        <f t="shared" si="3"/>
        <v>2000</v>
      </c>
      <c r="L11" s="23">
        <f t="shared" si="3"/>
        <v>2000</v>
      </c>
      <c r="M11" s="23">
        <f t="shared" si="3"/>
        <v>2000</v>
      </c>
      <c r="N11" s="23">
        <f t="shared" si="3"/>
        <v>2000</v>
      </c>
      <c r="O11" s="23">
        <f t="shared" si="3"/>
        <v>2000</v>
      </c>
      <c r="P11" s="23">
        <f t="shared" si="3"/>
        <v>2000</v>
      </c>
      <c r="Q11" s="23">
        <f t="shared" si="3"/>
        <v>2000</v>
      </c>
      <c r="R11" s="23">
        <f t="shared" si="3"/>
        <v>2000</v>
      </c>
      <c r="S11" s="23">
        <f t="shared" si="3"/>
        <v>2000</v>
      </c>
      <c r="T11" s="23">
        <f t="shared" si="3"/>
        <v>2000</v>
      </c>
      <c r="U11" s="23">
        <f t="shared" si="3"/>
        <v>2000</v>
      </c>
      <c r="V11" s="23">
        <f t="shared" si="3"/>
        <v>2000</v>
      </c>
      <c r="W11" s="23">
        <f t="shared" si="3"/>
        <v>2000</v>
      </c>
      <c r="X11" s="24">
        <f t="shared" si="3"/>
        <v>2000</v>
      </c>
      <c r="Y11" s="23">
        <f t="shared" si="3"/>
        <v>2000</v>
      </c>
      <c r="Z11" s="23">
        <f t="shared" si="3"/>
        <v>2000</v>
      </c>
      <c r="AA11" s="23">
        <f t="shared" si="3"/>
        <v>2000</v>
      </c>
      <c r="AB11" s="23">
        <f t="shared" si="3"/>
        <v>2000</v>
      </c>
      <c r="AC11" s="23">
        <f t="shared" si="3"/>
        <v>2000</v>
      </c>
      <c r="AD11" s="23">
        <f t="shared" si="3"/>
        <v>2000</v>
      </c>
      <c r="AE11" s="23">
        <f t="shared" si="3"/>
        <v>2000</v>
      </c>
      <c r="AF11" s="23">
        <f t="shared" si="3"/>
        <v>2000</v>
      </c>
      <c r="AG11" s="23">
        <f t="shared" si="3"/>
        <v>2000</v>
      </c>
      <c r="AH11" s="23">
        <f t="shared" si="3"/>
        <v>2000</v>
      </c>
      <c r="AI11" s="23">
        <f t="shared" si="3"/>
        <v>2000</v>
      </c>
      <c r="AJ11" s="23">
        <f t="shared" si="3"/>
        <v>2000</v>
      </c>
      <c r="AK11" s="23">
        <f t="shared" si="3"/>
        <v>2000</v>
      </c>
      <c r="AL11" s="23">
        <f t="shared" si="3"/>
        <v>2000</v>
      </c>
      <c r="AM11" s="23">
        <f t="shared" si="3"/>
        <v>2000</v>
      </c>
    </row>
    <row r="12" spans="1:43" x14ac:dyDescent="0.35">
      <c r="W12">
        <f>PCFCast!$R$25</f>
        <v>367.32082430417989</v>
      </c>
      <c r="X12" s="20">
        <f>PCFCast!$Q$26</f>
        <v>511.40426845199238</v>
      </c>
      <c r="Y12">
        <f>PCFCast!$Q$27</f>
        <v>549.69696950867251</v>
      </c>
      <c r="Z12">
        <f>PCFCast!$Q$28</f>
        <v>577.85613572712271</v>
      </c>
      <c r="AA12">
        <f>PCFCast!$S$29</f>
        <v>597.30315713080677</v>
      </c>
      <c r="AB12">
        <f>PCFCast!$S$30</f>
        <v>584.68322483297732</v>
      </c>
      <c r="AC12">
        <f>PCFCast!$S$31</f>
        <v>442.53514041351923</v>
      </c>
      <c r="AD12">
        <f>PCFCast!$S$32</f>
        <v>397.72277264727398</v>
      </c>
      <c r="AE12">
        <f>PCFCast!$S$33</f>
        <v>585.29948876854587</v>
      </c>
      <c r="AF12">
        <f>PCFCast!$S$34</f>
        <v>608.28931667959387</v>
      </c>
      <c r="AG12">
        <f>PCFCast!$S$35</f>
        <v>624.289212494004</v>
      </c>
      <c r="AH12">
        <f>PCFCast!$S$36</f>
        <v>635.57164655623205</v>
      </c>
      <c r="AI12">
        <f>PCFCast!$S$37</f>
        <v>616.43106990605133</v>
      </c>
      <c r="AJ12">
        <f>PCFCast!$S$38</f>
        <v>466.83905535418336</v>
      </c>
      <c r="AK12">
        <f>PCFCast!$S$39</f>
        <v>419.04817256197504</v>
      </c>
      <c r="AL12">
        <f>PCFCast!$S$40</f>
        <v>620.25925038292883</v>
      </c>
    </row>
    <row r="13" spans="1:43" x14ac:dyDescent="0.35">
      <c r="X13" s="20"/>
    </row>
    <row r="14" spans="1:43" x14ac:dyDescent="0.35">
      <c r="A14" t="s">
        <v>79</v>
      </c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91"/>
      <c r="Y14" s="21"/>
      <c r="Z14" s="21"/>
      <c r="AA14" s="21"/>
      <c r="AB14" s="21"/>
    </row>
    <row r="15" spans="1:43" x14ac:dyDescent="0.35">
      <c r="C15" t="s">
        <v>16</v>
      </c>
      <c r="D15" s="21" t="s">
        <v>4</v>
      </c>
      <c r="E15" s="22">
        <f>datatransposed!B14</f>
        <v>426.8890725</v>
      </c>
      <c r="F15" s="22">
        <f>datatransposed!C14</f>
        <v>446.67773629999999</v>
      </c>
      <c r="G15" s="22">
        <f>datatransposed!D14</f>
        <v>443.97297150000003</v>
      </c>
      <c r="H15" s="22">
        <f>datatransposed!E14</f>
        <v>374.3301285</v>
      </c>
      <c r="I15" s="22">
        <f>datatransposed!F14</f>
        <v>340.91357850000003</v>
      </c>
      <c r="J15" s="22">
        <f>datatransposed!G14</f>
        <v>435.44858779999998</v>
      </c>
      <c r="K15" s="22">
        <f>datatransposed!H14</f>
        <v>450.45956180000002</v>
      </c>
      <c r="L15" s="22">
        <f>datatransposed!I14</f>
        <v>443.46436949999998</v>
      </c>
      <c r="M15" s="22">
        <f>datatransposed!J14</f>
        <v>0</v>
      </c>
      <c r="N15" s="22">
        <f>datatransposed!K14</f>
        <v>0</v>
      </c>
      <c r="O15" s="22">
        <f>datatransposed!L14</f>
        <v>0</v>
      </c>
      <c r="P15" s="22">
        <f>datatransposed!M14</f>
        <v>0</v>
      </c>
      <c r="Q15" s="22">
        <f>datatransposed!N14</f>
        <v>333.68328830000002</v>
      </c>
      <c r="R15" s="22">
        <f>datatransposed!O14</f>
        <v>306.93059549999998</v>
      </c>
      <c r="S15" s="22">
        <f>datatransposed!P14</f>
        <v>398.47409929999998</v>
      </c>
      <c r="T15" s="22">
        <f>datatransposed!Q14</f>
        <v>410.2407652</v>
      </c>
      <c r="U15" s="22">
        <f>datatransposed!R14</f>
        <v>564.56120699999997</v>
      </c>
      <c r="V15" s="22">
        <f>datatransposed!S14</f>
        <v>304.05924750000003</v>
      </c>
      <c r="W15" s="22">
        <f>datatransposed!T14</f>
        <v>282.82197819999999</v>
      </c>
      <c r="X15" s="92">
        <f>datatransposed!U14</f>
        <v>395.42104430000001</v>
      </c>
      <c r="Y15" s="22">
        <f>datatransposed!V14</f>
        <v>356.30597038635079</v>
      </c>
      <c r="Z15" s="22">
        <f>datatransposed!W14</f>
        <v>354.29076529810897</v>
      </c>
      <c r="AA15" s="22">
        <f>datatransposed!X14</f>
        <v>351.19236482416454</v>
      </c>
      <c r="AB15" s="22">
        <f>datatransposed!Y14</f>
        <v>356.12276814086158</v>
      </c>
      <c r="AC15" s="22">
        <f>datatransposed!Z14</f>
        <v>323.59541599958908</v>
      </c>
      <c r="AD15" s="22">
        <f>datatransposed!AA14</f>
        <v>316.09734608137404</v>
      </c>
      <c r="AE15" s="22">
        <f>datatransposed!AB14</f>
        <v>364.7736271725496</v>
      </c>
      <c r="AF15" s="22">
        <f>datatransposed!AC14</f>
        <v>361.44744072886863</v>
      </c>
      <c r="AG15" s="22">
        <f>datatransposed!AD14</f>
        <v>358.48704546844289</v>
      </c>
      <c r="AH15" s="22">
        <f>datatransposed!AE14</f>
        <v>356.29027480922878</v>
      </c>
      <c r="AI15" s="22">
        <f>datatransposed!AF14</f>
        <v>352.09488587087458</v>
      </c>
      <c r="AJ15" s="22">
        <f>datatransposed!AG14</f>
        <v>318.26206563881141</v>
      </c>
      <c r="AK15" s="22">
        <f>datatransposed!AH14</f>
        <v>311.30210885788392</v>
      </c>
      <c r="AL15" s="22">
        <f>datatransposed!AI14</f>
        <v>360.27943748782639</v>
      </c>
      <c r="AM15" s="22">
        <f>datatransposed!AJ14</f>
        <v>635.65149072968131</v>
      </c>
      <c r="AO15" s="23">
        <f>MAX(E15:AM15)</f>
        <v>635.65149072968131</v>
      </c>
      <c r="AQ15" s="23">
        <f>MAX(AO15,2000)</f>
        <v>2000</v>
      </c>
    </row>
    <row r="16" spans="1:43" x14ac:dyDescent="0.35">
      <c r="C16" s="21" t="s">
        <v>1</v>
      </c>
      <c r="D16" s="21" t="s">
        <v>4</v>
      </c>
      <c r="E16" s="23">
        <f t="shared" ref="E16:AL16" si="4">$AQ$15</f>
        <v>2000</v>
      </c>
      <c r="F16" s="23">
        <f t="shared" si="4"/>
        <v>2000</v>
      </c>
      <c r="G16" s="23">
        <f t="shared" si="4"/>
        <v>2000</v>
      </c>
      <c r="H16" s="23">
        <f t="shared" si="4"/>
        <v>2000</v>
      </c>
      <c r="I16" s="23">
        <f t="shared" si="4"/>
        <v>2000</v>
      </c>
      <c r="J16" s="23">
        <f t="shared" si="4"/>
        <v>2000</v>
      </c>
      <c r="K16" s="23">
        <f t="shared" si="4"/>
        <v>2000</v>
      </c>
      <c r="L16" s="23">
        <f t="shared" si="4"/>
        <v>2000</v>
      </c>
      <c r="M16" s="23">
        <f t="shared" si="4"/>
        <v>2000</v>
      </c>
      <c r="N16" s="23">
        <f t="shared" si="4"/>
        <v>2000</v>
      </c>
      <c r="O16" s="23">
        <f t="shared" si="4"/>
        <v>2000</v>
      </c>
      <c r="P16" s="23">
        <f t="shared" si="4"/>
        <v>2000</v>
      </c>
      <c r="Q16" s="23">
        <f t="shared" si="4"/>
        <v>2000</v>
      </c>
      <c r="R16" s="23">
        <f t="shared" si="4"/>
        <v>2000</v>
      </c>
      <c r="S16" s="23">
        <f t="shared" si="4"/>
        <v>2000</v>
      </c>
      <c r="T16" s="23">
        <f t="shared" si="4"/>
        <v>2000</v>
      </c>
      <c r="U16" s="23">
        <f t="shared" si="4"/>
        <v>2000</v>
      </c>
      <c r="V16" s="23">
        <f t="shared" si="4"/>
        <v>2000</v>
      </c>
      <c r="W16" s="23">
        <f t="shared" si="4"/>
        <v>2000</v>
      </c>
      <c r="X16" s="24">
        <f t="shared" si="4"/>
        <v>2000</v>
      </c>
      <c r="Y16" s="23">
        <f t="shared" si="4"/>
        <v>2000</v>
      </c>
      <c r="Z16" s="23">
        <f t="shared" si="4"/>
        <v>2000</v>
      </c>
      <c r="AA16" s="23">
        <f t="shared" si="4"/>
        <v>2000</v>
      </c>
      <c r="AB16" s="23">
        <f t="shared" si="4"/>
        <v>2000</v>
      </c>
      <c r="AC16" s="23">
        <f t="shared" si="4"/>
        <v>2000</v>
      </c>
      <c r="AD16" s="23">
        <f t="shared" si="4"/>
        <v>2000</v>
      </c>
      <c r="AE16" s="23">
        <f t="shared" si="4"/>
        <v>2000</v>
      </c>
      <c r="AF16" s="23">
        <f t="shared" si="4"/>
        <v>2000</v>
      </c>
      <c r="AG16" s="23">
        <f t="shared" si="4"/>
        <v>2000</v>
      </c>
      <c r="AH16" s="23">
        <f t="shared" si="4"/>
        <v>2000</v>
      </c>
      <c r="AI16" s="23">
        <f t="shared" si="4"/>
        <v>2000</v>
      </c>
      <c r="AJ16" s="23">
        <f t="shared" si="4"/>
        <v>2000</v>
      </c>
      <c r="AK16" s="23">
        <f t="shared" si="4"/>
        <v>2000</v>
      </c>
      <c r="AL16" s="23">
        <f t="shared" si="4"/>
        <v>2000</v>
      </c>
      <c r="AM16" s="23">
        <f>$AQ$15</f>
        <v>2000</v>
      </c>
    </row>
    <row r="17" spans="1:43" x14ac:dyDescent="0.35"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>
        <f>PCFCast!$Y$25</f>
        <v>308.91490882784035</v>
      </c>
      <c r="X17" s="20">
        <f>PCFCast!$X$26</f>
        <v>396.44034627928193</v>
      </c>
      <c r="Y17">
        <f>PCFCast!$X$27</f>
        <v>395.23108592209246</v>
      </c>
      <c r="Z17">
        <f>PCFCast!$X$28</f>
        <v>394.12679584531782</v>
      </c>
      <c r="AA17">
        <f>PCFCast!$Z$29</f>
        <v>392.12862893884022</v>
      </c>
      <c r="AB17">
        <f>PCFCast!$Z$30</f>
        <v>385.40528555331235</v>
      </c>
      <c r="AC17">
        <f>PCFCast!$Z$31</f>
        <v>349.76967409423889</v>
      </c>
      <c r="AD17">
        <f>PCFCast!$Z$32</f>
        <v>341.16589921685318</v>
      </c>
      <c r="AE17">
        <f>PCFCast!$Z$33</f>
        <v>393.75710792395489</v>
      </c>
      <c r="AF17">
        <f>PCFCast!$Z$34</f>
        <v>390.26956780955106</v>
      </c>
      <c r="AG17">
        <f>PCFCast!$Z$35</f>
        <v>387.58123541464261</v>
      </c>
      <c r="AH17">
        <f>PCFCast!$Z$36</f>
        <v>386.11271448921582</v>
      </c>
      <c r="AI17">
        <f>PCFCast!$Z$37</f>
        <v>380.19317209786328</v>
      </c>
      <c r="AJ17">
        <f>PCFCast!$Z$38</f>
        <v>344.74462478464227</v>
      </c>
      <c r="AK17">
        <f>PCFCast!$Z$39</f>
        <v>336.81765667593038</v>
      </c>
      <c r="AL17">
        <f>PCFCast!$Z$40</f>
        <v>390.94426931875091</v>
      </c>
    </row>
    <row r="18" spans="1:43" x14ac:dyDescent="0.35"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91"/>
      <c r="Y18" s="21"/>
      <c r="Z18" s="21"/>
      <c r="AA18" s="21"/>
      <c r="AB18" s="21"/>
    </row>
    <row r="19" spans="1:43" x14ac:dyDescent="0.35">
      <c r="A19" t="s">
        <v>81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91"/>
      <c r="Y19" s="21"/>
      <c r="Z19" s="21"/>
      <c r="AA19" s="21"/>
      <c r="AB19" s="21"/>
    </row>
    <row r="20" spans="1:43" x14ac:dyDescent="0.35">
      <c r="C20" s="21" t="s">
        <v>0</v>
      </c>
      <c r="D20" s="21" t="s">
        <v>4</v>
      </c>
      <c r="E20" s="22">
        <f>datatransposed!B9</f>
        <v>926.313759</v>
      </c>
      <c r="F20" s="22">
        <f>datatransposed!C9</f>
        <v>930.27348979999999</v>
      </c>
      <c r="G20" s="22">
        <f>datatransposed!D9</f>
        <v>931.29893549999997</v>
      </c>
      <c r="H20" s="22">
        <f>datatransposed!E9</f>
        <v>912.50818949999996</v>
      </c>
      <c r="I20" s="22">
        <f>datatransposed!F9</f>
        <v>913.49403600000005</v>
      </c>
      <c r="J20" s="22">
        <f>datatransposed!G9</f>
        <v>920.01345449999997</v>
      </c>
      <c r="K20" s="22">
        <f>datatransposed!H9</f>
        <v>928.16876319999994</v>
      </c>
      <c r="L20" s="22">
        <f>datatransposed!I9</f>
        <v>926.57455349999998</v>
      </c>
      <c r="M20" s="22">
        <f>datatransposed!J9</f>
        <v>0</v>
      </c>
      <c r="N20" s="22">
        <f>datatransposed!K9</f>
        <v>0</v>
      </c>
      <c r="O20" s="22">
        <f>datatransposed!L9</f>
        <v>0</v>
      </c>
      <c r="P20" s="22">
        <f>datatransposed!M9</f>
        <v>0</v>
      </c>
      <c r="Q20" s="22">
        <f>datatransposed!N9</f>
        <v>817.85132999999996</v>
      </c>
      <c r="R20" s="22">
        <f>datatransposed!O9</f>
        <v>829.48870880000004</v>
      </c>
      <c r="S20" s="22">
        <f>datatransposed!P9</f>
        <v>843.15394649999996</v>
      </c>
      <c r="T20" s="22">
        <f>datatransposed!Q9</f>
        <v>858.41475379999997</v>
      </c>
      <c r="U20" s="22">
        <f>datatransposed!R9</f>
        <v>903.03703129999997</v>
      </c>
      <c r="V20" s="22">
        <f>datatransposed!S9</f>
        <v>819.4905225</v>
      </c>
      <c r="W20" s="22">
        <f>datatransposed!T9</f>
        <v>788.94604200000003</v>
      </c>
      <c r="X20" s="92">
        <f>datatransposed!U9</f>
        <v>854.66697750000003</v>
      </c>
      <c r="Y20" s="22">
        <f>datatransposed!V9</f>
        <v>0</v>
      </c>
      <c r="Z20" s="22">
        <f>datatransposed!W9</f>
        <v>0</v>
      </c>
      <c r="AA20" s="22">
        <f>datatransposed!X9</f>
        <v>0</v>
      </c>
      <c r="AB20" s="22">
        <f>datatransposed!Y9</f>
        <v>0</v>
      </c>
      <c r="AC20" s="22">
        <f>datatransposed!Z9</f>
        <v>0</v>
      </c>
      <c r="AD20" s="22">
        <f>datatransposed!AA9</f>
        <v>0</v>
      </c>
      <c r="AE20" s="22">
        <f>datatransposed!AB9</f>
        <v>0</v>
      </c>
      <c r="AF20" s="22">
        <f>datatransposed!AC9</f>
        <v>0</v>
      </c>
      <c r="AG20" s="22">
        <f>datatransposed!AD9</f>
        <v>0</v>
      </c>
      <c r="AH20" s="22">
        <f>datatransposed!AE9</f>
        <v>0</v>
      </c>
      <c r="AI20" s="22">
        <f>datatransposed!AF9</f>
        <v>0</v>
      </c>
      <c r="AJ20" s="22">
        <f>datatransposed!AG9</f>
        <v>0</v>
      </c>
      <c r="AK20" s="22">
        <f>datatransposed!AH9</f>
        <v>0</v>
      </c>
      <c r="AL20" s="22">
        <f>datatransposed!AI9</f>
        <v>0</v>
      </c>
      <c r="AM20" s="22">
        <f>datatransposed!AJ9</f>
        <v>0</v>
      </c>
      <c r="AO20" s="23">
        <f>MAX(E20:AM20)</f>
        <v>931.29893549999997</v>
      </c>
      <c r="AQ20" s="23">
        <f>MAX(AO20,1000)</f>
        <v>1000</v>
      </c>
    </row>
    <row r="21" spans="1:43" x14ac:dyDescent="0.35">
      <c r="C21" s="21" t="s">
        <v>1</v>
      </c>
      <c r="D21" s="21" t="s">
        <v>4</v>
      </c>
      <c r="E21" s="22">
        <v>1212</v>
      </c>
      <c r="F21" s="22">
        <v>1212</v>
      </c>
      <c r="G21" s="22">
        <v>1212</v>
      </c>
      <c r="H21" s="22">
        <v>1212</v>
      </c>
      <c r="I21" s="22">
        <v>1212</v>
      </c>
      <c r="J21" s="22">
        <v>1212</v>
      </c>
      <c r="K21" s="22">
        <v>1212</v>
      </c>
      <c r="L21" s="22">
        <v>1212</v>
      </c>
      <c r="M21" s="22">
        <v>1212</v>
      </c>
      <c r="N21" s="22">
        <v>1212</v>
      </c>
      <c r="O21" s="22">
        <v>1212</v>
      </c>
      <c r="P21" s="22">
        <v>1212</v>
      </c>
      <c r="Q21" s="22">
        <v>1212</v>
      </c>
      <c r="R21" s="22">
        <v>1212</v>
      </c>
      <c r="S21" s="22">
        <v>1212</v>
      </c>
      <c r="T21" s="22">
        <v>1212</v>
      </c>
      <c r="U21" s="22">
        <v>1212</v>
      </c>
      <c r="V21" s="22">
        <v>1212</v>
      </c>
      <c r="W21" s="22">
        <v>1212</v>
      </c>
      <c r="X21" s="92">
        <v>1212</v>
      </c>
      <c r="Y21" s="22">
        <v>1212</v>
      </c>
      <c r="Z21" s="22">
        <v>1212</v>
      </c>
      <c r="AA21" s="22">
        <v>1212</v>
      </c>
      <c r="AB21" s="22">
        <v>1212</v>
      </c>
      <c r="AC21" s="22">
        <v>1212</v>
      </c>
      <c r="AD21" s="22">
        <v>1212</v>
      </c>
      <c r="AE21" s="22">
        <v>1212</v>
      </c>
      <c r="AF21" s="22">
        <v>1212</v>
      </c>
      <c r="AG21" s="22">
        <v>1212</v>
      </c>
      <c r="AH21" s="22">
        <v>1212</v>
      </c>
      <c r="AI21" s="22">
        <v>1212</v>
      </c>
      <c r="AJ21" s="22">
        <v>1212</v>
      </c>
      <c r="AK21" s="22">
        <v>1212</v>
      </c>
      <c r="AL21" s="22">
        <v>1212</v>
      </c>
      <c r="AM21" s="22">
        <v>1212</v>
      </c>
    </row>
    <row r="22" spans="1:43" x14ac:dyDescent="0.35"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91"/>
      <c r="Y22" s="21"/>
      <c r="Z22" s="21"/>
      <c r="AA22" s="21"/>
      <c r="AB22" s="21"/>
    </row>
    <row r="23" spans="1:43" x14ac:dyDescent="0.35"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91"/>
      <c r="Y23" s="21"/>
      <c r="Z23" s="21"/>
      <c r="AA23" s="21"/>
      <c r="AB23" s="21"/>
    </row>
    <row r="24" spans="1:43" x14ac:dyDescent="0.35">
      <c r="A24" t="s">
        <v>82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91"/>
      <c r="Y24" s="21"/>
      <c r="Z24" s="21"/>
      <c r="AA24" s="21"/>
      <c r="AB24" s="21"/>
    </row>
    <row r="25" spans="1:43" x14ac:dyDescent="0.35">
      <c r="C25" s="21" t="s">
        <v>0</v>
      </c>
      <c r="D25" s="21" t="s">
        <v>4</v>
      </c>
      <c r="E25" s="22">
        <f>datatransposed!B7</f>
        <v>266.34738599999997</v>
      </c>
      <c r="F25" s="22">
        <f>datatransposed!C7</f>
        <v>289.41529500000001</v>
      </c>
      <c r="G25" s="22">
        <f>datatransposed!D7</f>
        <v>253.80524629999999</v>
      </c>
      <c r="H25" s="22">
        <f>datatransposed!E7</f>
        <v>243.36927600000001</v>
      </c>
      <c r="I25" s="22">
        <f>datatransposed!F7</f>
        <v>217.61458429999999</v>
      </c>
      <c r="J25" s="22">
        <f>datatransposed!G7</f>
        <v>336.58088780000003</v>
      </c>
      <c r="K25" s="22">
        <f>datatransposed!H7</f>
        <v>282.64263</v>
      </c>
      <c r="L25" s="22">
        <f>datatransposed!I7</f>
        <v>276.9007388</v>
      </c>
      <c r="M25" s="22">
        <f>datatransposed!J7</f>
        <v>0</v>
      </c>
      <c r="N25" s="22">
        <f>datatransposed!K7</f>
        <v>0</v>
      </c>
      <c r="O25" s="22">
        <f>datatransposed!L7</f>
        <v>0</v>
      </c>
      <c r="P25" s="22">
        <f>datatransposed!M7</f>
        <v>0</v>
      </c>
      <c r="Q25" s="22">
        <f>datatransposed!N7</f>
        <v>134.69516999999999</v>
      </c>
      <c r="R25" s="22">
        <f>datatransposed!O7</f>
        <v>98.581153499999999</v>
      </c>
      <c r="S25" s="22">
        <f>datatransposed!P7</f>
        <v>68.618285299999997</v>
      </c>
      <c r="T25" s="22">
        <f>datatransposed!Q7</f>
        <v>214.67444399999999</v>
      </c>
      <c r="U25" s="22">
        <f>datatransposed!R7</f>
        <v>236.50664549999999</v>
      </c>
      <c r="V25" s="22">
        <f>datatransposed!S7</f>
        <v>130.16986650000001</v>
      </c>
      <c r="W25" s="22">
        <f>datatransposed!T7</f>
        <v>105.978915</v>
      </c>
      <c r="X25" s="92">
        <f>datatransposed!U7</f>
        <v>204.889239</v>
      </c>
      <c r="Y25" s="22">
        <f>datatransposed!V7</f>
        <v>0</v>
      </c>
      <c r="Z25" s="22">
        <f>datatransposed!W7</f>
        <v>0</v>
      </c>
      <c r="AA25" s="22">
        <f>datatransposed!X7</f>
        <v>0</v>
      </c>
      <c r="AB25" s="22">
        <f>datatransposed!Y7</f>
        <v>0</v>
      </c>
      <c r="AC25" s="22">
        <f>datatransposed!Z7</f>
        <v>0</v>
      </c>
      <c r="AD25" s="22">
        <f>datatransposed!AA7</f>
        <v>0</v>
      </c>
      <c r="AE25" s="22">
        <f>datatransposed!AB7</f>
        <v>0</v>
      </c>
      <c r="AF25" s="22">
        <f>datatransposed!AC7</f>
        <v>0</v>
      </c>
      <c r="AG25" s="22">
        <f>datatransposed!AD7</f>
        <v>0</v>
      </c>
      <c r="AH25" s="22">
        <f>datatransposed!AE7</f>
        <v>0</v>
      </c>
      <c r="AI25" s="22">
        <f>datatransposed!AF7</f>
        <v>0</v>
      </c>
      <c r="AJ25" s="22">
        <f>datatransposed!AG7</f>
        <v>0</v>
      </c>
      <c r="AK25" s="22">
        <f>datatransposed!AH7</f>
        <v>0</v>
      </c>
      <c r="AL25" s="22">
        <f>datatransposed!AI7</f>
        <v>0</v>
      </c>
      <c r="AM25" s="22">
        <f>datatransposed!AJ7</f>
        <v>0</v>
      </c>
      <c r="AO25" s="23">
        <f>MAX(E25:AM25)</f>
        <v>336.58088780000003</v>
      </c>
      <c r="AQ25" s="23">
        <f>MAX(AO25,1000)</f>
        <v>1000</v>
      </c>
    </row>
    <row r="26" spans="1:43" x14ac:dyDescent="0.35">
      <c r="C26" s="21" t="s">
        <v>1</v>
      </c>
      <c r="D26" s="21" t="s">
        <v>4</v>
      </c>
      <c r="E26" s="22">
        <v>682</v>
      </c>
      <c r="F26" s="22">
        <v>682</v>
      </c>
      <c r="G26" s="22">
        <v>682</v>
      </c>
      <c r="H26" s="22">
        <v>682</v>
      </c>
      <c r="I26" s="22">
        <v>682</v>
      </c>
      <c r="J26" s="22">
        <v>682</v>
      </c>
      <c r="K26" s="22">
        <v>682</v>
      </c>
      <c r="L26" s="22">
        <v>682</v>
      </c>
      <c r="M26" s="22">
        <v>682</v>
      </c>
      <c r="N26" s="22">
        <v>682</v>
      </c>
      <c r="O26" s="22">
        <v>682</v>
      </c>
      <c r="P26" s="22">
        <v>682</v>
      </c>
      <c r="Q26" s="22">
        <v>682</v>
      </c>
      <c r="R26" s="22">
        <v>682</v>
      </c>
      <c r="S26" s="22">
        <v>682</v>
      </c>
      <c r="T26" s="22">
        <v>682</v>
      </c>
      <c r="U26" s="22">
        <v>682</v>
      </c>
      <c r="V26" s="22">
        <v>682</v>
      </c>
      <c r="W26" s="22">
        <v>682</v>
      </c>
      <c r="X26" s="22">
        <v>682</v>
      </c>
      <c r="Y26" s="22">
        <v>682</v>
      </c>
      <c r="Z26" s="22">
        <v>682</v>
      </c>
      <c r="AA26" s="22">
        <v>682</v>
      </c>
      <c r="AB26" s="22">
        <v>682</v>
      </c>
      <c r="AC26" s="22">
        <v>682</v>
      </c>
      <c r="AD26" s="22">
        <v>682</v>
      </c>
      <c r="AE26" s="22">
        <v>682</v>
      </c>
      <c r="AF26" s="22">
        <v>682</v>
      </c>
      <c r="AG26" s="22">
        <v>682</v>
      </c>
      <c r="AH26" s="22">
        <v>682</v>
      </c>
      <c r="AI26" s="22">
        <v>682</v>
      </c>
      <c r="AJ26" s="22">
        <v>682</v>
      </c>
      <c r="AK26" s="22">
        <v>682</v>
      </c>
      <c r="AL26" s="22">
        <v>682</v>
      </c>
      <c r="AM26" s="22">
        <v>682</v>
      </c>
    </row>
    <row r="27" spans="1:43" x14ac:dyDescent="0.35"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91"/>
      <c r="Y27" s="21"/>
      <c r="Z27" s="21"/>
      <c r="AA27" s="21"/>
      <c r="AB27" s="21"/>
    </row>
    <row r="28" spans="1:43" x14ac:dyDescent="0.35"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91"/>
      <c r="Y28" s="21"/>
      <c r="Z28" s="21"/>
      <c r="AA28" s="21"/>
      <c r="AB28" s="21"/>
    </row>
    <row r="29" spans="1:43" x14ac:dyDescent="0.35">
      <c r="A29" t="s">
        <v>83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91"/>
      <c r="Y29" s="21"/>
      <c r="Z29" s="21"/>
      <c r="AA29" s="21"/>
      <c r="AB29" s="21"/>
    </row>
    <row r="30" spans="1:43" x14ac:dyDescent="0.35">
      <c r="C30" s="21" t="s">
        <v>0</v>
      </c>
      <c r="D30" s="21" t="s">
        <v>4</v>
      </c>
      <c r="E30" s="22">
        <f>datatransposed!B8</f>
        <v>252.62795249999999</v>
      </c>
      <c r="F30" s="22">
        <f>datatransposed!C8</f>
        <v>240.50547599999999</v>
      </c>
      <c r="G30" s="22">
        <f>datatransposed!D8</f>
        <v>244.55750330000001</v>
      </c>
      <c r="H30" s="22">
        <f>datatransposed!E8</f>
        <v>250.2221663</v>
      </c>
      <c r="I30" s="22">
        <f>datatransposed!F8</f>
        <v>256.60069800000002</v>
      </c>
      <c r="J30" s="22">
        <f>datatransposed!G8</f>
        <v>251.56163100000001</v>
      </c>
      <c r="K30" s="22">
        <f>datatransposed!H8</f>
        <v>257.54414250000002</v>
      </c>
      <c r="L30" s="22">
        <f>datatransposed!I8</f>
        <v>252.6655537</v>
      </c>
      <c r="M30" s="22">
        <f>datatransposed!J8</f>
        <v>0</v>
      </c>
      <c r="N30" s="22">
        <f>datatransposed!K8</f>
        <v>0</v>
      </c>
      <c r="O30" s="22">
        <f>datatransposed!L8</f>
        <v>0</v>
      </c>
      <c r="P30" s="22">
        <f>datatransposed!M8</f>
        <v>0</v>
      </c>
      <c r="Q30" s="22">
        <f>datatransposed!N8</f>
        <v>249.05785950000001</v>
      </c>
      <c r="R30" s="22">
        <f>datatransposed!O8</f>
        <v>247.07015469999999</v>
      </c>
      <c r="S30" s="22">
        <f>datatransposed!P8</f>
        <v>246.89355380000001</v>
      </c>
      <c r="T30" s="22">
        <f>datatransposed!Q8</f>
        <v>246.79046249999999</v>
      </c>
      <c r="U30" s="22">
        <f>datatransposed!R8</f>
        <v>246.906069</v>
      </c>
      <c r="V30" s="22">
        <f>datatransposed!S8</f>
        <v>257.2002367</v>
      </c>
      <c r="W30" s="22">
        <f>datatransposed!T8</f>
        <v>258.68549999999999</v>
      </c>
      <c r="X30" s="92">
        <f>datatransposed!U8</f>
        <v>247.56685200000001</v>
      </c>
      <c r="Y30" s="22">
        <f>datatransposed!V8</f>
        <v>0</v>
      </c>
      <c r="Z30" s="22">
        <f>datatransposed!W8</f>
        <v>0</v>
      </c>
      <c r="AA30" s="22">
        <f>datatransposed!X8</f>
        <v>0</v>
      </c>
      <c r="AB30" s="22">
        <f>datatransposed!Y8</f>
        <v>0</v>
      </c>
      <c r="AC30" s="22">
        <f>datatransposed!Z8</f>
        <v>0</v>
      </c>
      <c r="AD30" s="22">
        <f>datatransposed!AA8</f>
        <v>0</v>
      </c>
      <c r="AE30" s="22">
        <f>datatransposed!AB8</f>
        <v>0</v>
      </c>
      <c r="AF30" s="22">
        <f>datatransposed!AC8</f>
        <v>0</v>
      </c>
      <c r="AG30" s="22">
        <f>datatransposed!AD8</f>
        <v>0</v>
      </c>
      <c r="AH30" s="22">
        <f>datatransposed!AE8</f>
        <v>0</v>
      </c>
      <c r="AI30" s="22">
        <f>datatransposed!AF8</f>
        <v>0</v>
      </c>
      <c r="AJ30" s="22">
        <f>datatransposed!AG8</f>
        <v>0</v>
      </c>
      <c r="AK30" s="22">
        <f>datatransposed!AH8</f>
        <v>0</v>
      </c>
      <c r="AL30" s="22">
        <f>datatransposed!AI8</f>
        <v>0</v>
      </c>
      <c r="AM30" s="22">
        <f>datatransposed!AJ8</f>
        <v>0</v>
      </c>
      <c r="AO30" s="23">
        <f>MAX(E30:AM30)</f>
        <v>258.68549999999999</v>
      </c>
      <c r="AQ30" s="23">
        <f>MAX(AO30,1000)</f>
        <v>1000</v>
      </c>
    </row>
    <row r="31" spans="1:43" x14ac:dyDescent="0.35">
      <c r="C31" s="21" t="s">
        <v>1</v>
      </c>
      <c r="D31" s="21" t="s">
        <v>4</v>
      </c>
      <c r="E31" s="22">
        <v>400</v>
      </c>
      <c r="F31" s="22">
        <v>400</v>
      </c>
      <c r="G31" s="22">
        <v>400</v>
      </c>
      <c r="H31" s="22">
        <v>400</v>
      </c>
      <c r="I31" s="22">
        <v>400</v>
      </c>
      <c r="J31" s="22">
        <v>400</v>
      </c>
      <c r="K31" s="22">
        <v>400</v>
      </c>
      <c r="L31" s="22">
        <v>400</v>
      </c>
      <c r="M31" s="22">
        <v>400</v>
      </c>
      <c r="N31" s="22">
        <v>400</v>
      </c>
      <c r="O31" s="22">
        <v>400</v>
      </c>
      <c r="P31" s="22">
        <v>400</v>
      </c>
      <c r="Q31" s="22">
        <v>400</v>
      </c>
      <c r="R31" s="22">
        <v>400</v>
      </c>
      <c r="S31" s="22">
        <v>400</v>
      </c>
      <c r="T31" s="22">
        <v>400</v>
      </c>
      <c r="U31" s="22">
        <v>400</v>
      </c>
      <c r="V31" s="22">
        <v>400</v>
      </c>
      <c r="W31" s="22">
        <v>400</v>
      </c>
      <c r="X31" s="22">
        <v>400</v>
      </c>
      <c r="Y31" s="22">
        <v>400</v>
      </c>
      <c r="Z31" s="22">
        <v>400</v>
      </c>
      <c r="AA31" s="22">
        <v>400</v>
      </c>
      <c r="AB31" s="22">
        <v>400</v>
      </c>
      <c r="AC31" s="22">
        <v>400</v>
      </c>
      <c r="AD31" s="22">
        <v>400</v>
      </c>
      <c r="AE31" s="22">
        <v>400</v>
      </c>
      <c r="AF31" s="22">
        <v>400</v>
      </c>
      <c r="AG31" s="22">
        <v>400</v>
      </c>
      <c r="AH31" s="22">
        <v>400</v>
      </c>
      <c r="AI31" s="22">
        <v>400</v>
      </c>
      <c r="AJ31" s="22">
        <v>400</v>
      </c>
      <c r="AK31" s="22">
        <v>400</v>
      </c>
      <c r="AL31" s="22">
        <v>400</v>
      </c>
      <c r="AM31" s="22">
        <v>400</v>
      </c>
    </row>
    <row r="32" spans="1:43" x14ac:dyDescent="0.35"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91"/>
      <c r="Y32" s="21"/>
      <c r="Z32" s="21"/>
      <c r="AA32" s="21"/>
      <c r="AB32" s="21"/>
    </row>
    <row r="33" spans="1:43" x14ac:dyDescent="0.35"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91"/>
      <c r="Y33" s="21"/>
      <c r="Z33" s="21"/>
      <c r="AA33" s="21"/>
      <c r="AB33" s="21"/>
    </row>
    <row r="34" spans="1:43" x14ac:dyDescent="0.35">
      <c r="A34" t="s">
        <v>188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91"/>
      <c r="Y34" s="21"/>
      <c r="Z34" s="21"/>
      <c r="AA34" s="21"/>
      <c r="AB34" s="21"/>
    </row>
    <row r="35" spans="1:43" x14ac:dyDescent="0.35">
      <c r="C35" s="21" t="s">
        <v>0</v>
      </c>
      <c r="D35" s="21" t="s">
        <v>4</v>
      </c>
      <c r="E35" s="22">
        <f>datatransposed!B6</f>
        <v>236.98236370000001</v>
      </c>
      <c r="F35" s="22">
        <f>datatransposed!C6</f>
        <v>238.88895529999999</v>
      </c>
      <c r="G35" s="22">
        <f>datatransposed!D6</f>
        <v>233.38843349999999</v>
      </c>
      <c r="H35" s="22">
        <f>datatransposed!E6</f>
        <v>225.73206970000001</v>
      </c>
      <c r="I35" s="22">
        <f>datatransposed!F6</f>
        <v>191.57795250000001</v>
      </c>
      <c r="J35" s="22">
        <f>datatransposed!G6</f>
        <v>217.6004595</v>
      </c>
      <c r="K35" s="22">
        <f>datatransposed!H6</f>
        <v>227.98328849999999</v>
      </c>
      <c r="L35" s="22">
        <f>datatransposed!I6</f>
        <v>220.7877135</v>
      </c>
      <c r="M35" s="22">
        <f>datatransposed!J6</f>
        <v>0</v>
      </c>
      <c r="N35" s="22">
        <f>datatransposed!K6</f>
        <v>0</v>
      </c>
      <c r="O35" s="22">
        <f>datatransposed!L6</f>
        <v>0</v>
      </c>
      <c r="P35" s="22">
        <f>datatransposed!M6</f>
        <v>0</v>
      </c>
      <c r="Q35" s="22">
        <f>datatransposed!N6</f>
        <v>242.83297949999999</v>
      </c>
      <c r="R35" s="22">
        <f>datatransposed!O6</f>
        <v>210.42011930000001</v>
      </c>
      <c r="S35" s="22">
        <f>datatransposed!P6</f>
        <v>241.8293175</v>
      </c>
      <c r="T35" s="22">
        <f>datatransposed!Q6</f>
        <v>241.74709429999999</v>
      </c>
      <c r="U35" s="22">
        <f>datatransposed!R6</f>
        <v>234.75464930000001</v>
      </c>
      <c r="V35" s="22">
        <f>datatransposed!S6</f>
        <v>233.68879949999999</v>
      </c>
      <c r="W35" s="22">
        <f>datatransposed!T6</f>
        <v>217.24897799999999</v>
      </c>
      <c r="X35" s="92">
        <f>datatransposed!U6</f>
        <v>245.71395670000001</v>
      </c>
      <c r="Y35" s="22">
        <f>datatransposed!V6</f>
        <v>0</v>
      </c>
      <c r="Z35" s="22">
        <f>datatransposed!W6</f>
        <v>0</v>
      </c>
      <c r="AA35" s="22">
        <f>datatransposed!X6</f>
        <v>0</v>
      </c>
      <c r="AB35" s="22">
        <f>datatransposed!Y6</f>
        <v>0</v>
      </c>
      <c r="AC35" s="22">
        <f>datatransposed!Z6</f>
        <v>0</v>
      </c>
      <c r="AD35" s="22">
        <f>datatransposed!AA6</f>
        <v>0</v>
      </c>
      <c r="AE35" s="22">
        <f>datatransposed!AB6</f>
        <v>0</v>
      </c>
      <c r="AF35" s="22">
        <f>datatransposed!AC6</f>
        <v>0</v>
      </c>
      <c r="AG35" s="22">
        <f>datatransposed!AD6</f>
        <v>0</v>
      </c>
      <c r="AH35" s="22">
        <f>datatransposed!AE6</f>
        <v>0</v>
      </c>
      <c r="AI35" s="22">
        <f>datatransposed!AF6</f>
        <v>0</v>
      </c>
      <c r="AJ35" s="22">
        <f>datatransposed!AG6</f>
        <v>0</v>
      </c>
      <c r="AK35" s="22">
        <f>datatransposed!AH6</f>
        <v>0</v>
      </c>
      <c r="AL35" s="22">
        <f>datatransposed!AI6</f>
        <v>0</v>
      </c>
      <c r="AM35" s="22">
        <f>datatransposed!AJ6</f>
        <v>0</v>
      </c>
      <c r="AO35" s="23">
        <f>MAX(E35:AM35)</f>
        <v>245.71395670000001</v>
      </c>
      <c r="AQ35" s="23">
        <f>MAX(AO35,1000)</f>
        <v>1000</v>
      </c>
    </row>
    <row r="36" spans="1:43" x14ac:dyDescent="0.35">
      <c r="C36" s="21" t="s">
        <v>1</v>
      </c>
      <c r="D36" s="21" t="s">
        <v>4</v>
      </c>
      <c r="E36" s="23">
        <v>1113</v>
      </c>
      <c r="F36" s="23">
        <v>1113</v>
      </c>
      <c r="G36" s="23">
        <v>1113</v>
      </c>
      <c r="H36" s="23">
        <v>1113</v>
      </c>
      <c r="I36" s="23">
        <v>1113</v>
      </c>
      <c r="J36" s="23">
        <v>1113</v>
      </c>
      <c r="K36" s="23">
        <v>1113</v>
      </c>
      <c r="L36" s="23">
        <v>1113</v>
      </c>
      <c r="M36" s="23">
        <v>1113</v>
      </c>
      <c r="N36" s="23">
        <v>1113</v>
      </c>
      <c r="O36" s="23">
        <v>1113</v>
      </c>
      <c r="P36" s="23">
        <v>1113</v>
      </c>
      <c r="Q36" s="23">
        <v>1113</v>
      </c>
      <c r="R36" s="23">
        <v>1113</v>
      </c>
      <c r="S36" s="23">
        <v>1113</v>
      </c>
      <c r="T36" s="23">
        <v>1113</v>
      </c>
      <c r="U36" s="23">
        <v>1113</v>
      </c>
      <c r="V36" s="23">
        <v>1113</v>
      </c>
      <c r="W36" s="23">
        <v>1113</v>
      </c>
      <c r="X36" s="23">
        <v>1113</v>
      </c>
      <c r="Y36" s="23">
        <v>1113</v>
      </c>
      <c r="Z36" s="23">
        <v>1113</v>
      </c>
      <c r="AA36" s="23">
        <v>1113</v>
      </c>
      <c r="AB36" s="23">
        <v>1113</v>
      </c>
      <c r="AC36" s="23">
        <v>1113</v>
      </c>
      <c r="AD36" s="23">
        <v>1113</v>
      </c>
      <c r="AE36" s="23">
        <v>1113</v>
      </c>
      <c r="AF36" s="23">
        <v>1113</v>
      </c>
      <c r="AG36" s="23">
        <v>1113</v>
      </c>
      <c r="AH36" s="23">
        <v>1113</v>
      </c>
      <c r="AI36" s="23">
        <v>1113</v>
      </c>
      <c r="AJ36" s="23">
        <v>1113</v>
      </c>
      <c r="AK36" s="23">
        <v>1113</v>
      </c>
      <c r="AL36" s="23">
        <v>1113</v>
      </c>
      <c r="AM36" s="23">
        <v>1113</v>
      </c>
    </row>
    <row r="37" spans="1:43" x14ac:dyDescent="0.35"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91"/>
      <c r="Y37" s="21"/>
      <c r="Z37" s="21"/>
      <c r="AA37" s="21"/>
      <c r="AB37" s="21"/>
    </row>
    <row r="38" spans="1:43" x14ac:dyDescent="0.35"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91"/>
      <c r="Y38" s="21"/>
      <c r="Z38" s="21"/>
      <c r="AA38" s="21"/>
      <c r="AB38" s="21"/>
    </row>
    <row r="39" spans="1:43" x14ac:dyDescent="0.35">
      <c r="A39" t="s">
        <v>85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91"/>
      <c r="Y39" s="21"/>
      <c r="Z39" s="21"/>
      <c r="AA39" s="21"/>
      <c r="AB39" s="21"/>
    </row>
    <row r="40" spans="1:43" x14ac:dyDescent="0.35">
      <c r="C40" s="21" t="s">
        <v>0</v>
      </c>
      <c r="D40" s="21" t="s">
        <v>4</v>
      </c>
      <c r="E40" s="22">
        <f>datatransposed!B12</f>
        <v>142.7491358</v>
      </c>
      <c r="F40" s="22">
        <f>datatransposed!C12</f>
        <v>142.80122249999999</v>
      </c>
      <c r="G40" s="22">
        <f>datatransposed!D12</f>
        <v>142.78188080000001</v>
      </c>
      <c r="H40" s="22">
        <f>datatransposed!E12</f>
        <v>104.3580098</v>
      </c>
      <c r="I40" s="22">
        <f>datatransposed!F12</f>
        <v>98.782840500000006</v>
      </c>
      <c r="J40" s="22">
        <f>datatransposed!G12</f>
        <v>175.93749750000001</v>
      </c>
      <c r="K40" s="22">
        <f>datatransposed!H12</f>
        <v>181.39908600000001</v>
      </c>
      <c r="L40" s="22">
        <f>datatransposed!I12</f>
        <v>186.84785400000001</v>
      </c>
      <c r="M40" s="22">
        <f>datatransposed!J12</f>
        <v>0</v>
      </c>
      <c r="N40" s="22">
        <f>datatransposed!K12</f>
        <v>0</v>
      </c>
      <c r="O40" s="22">
        <f>datatransposed!L12</f>
        <v>0</v>
      </c>
      <c r="P40" s="22">
        <f>datatransposed!M12</f>
        <v>0</v>
      </c>
      <c r="Q40" s="22">
        <f>datatransposed!N12</f>
        <v>189.5310848</v>
      </c>
      <c r="R40" s="22">
        <f>datatransposed!O12</f>
        <v>178.6589955</v>
      </c>
      <c r="S40" s="22">
        <f>datatransposed!P12</f>
        <v>203.43549970000001</v>
      </c>
      <c r="T40" s="22">
        <f>datatransposed!Q12</f>
        <v>186.8914493</v>
      </c>
      <c r="U40" s="22">
        <f>datatransposed!R12</f>
        <v>186.86389349999999</v>
      </c>
      <c r="V40" s="22">
        <f>datatransposed!S12</f>
        <v>175.85619</v>
      </c>
      <c r="W40" s="22">
        <f>datatransposed!T12</f>
        <v>175.958088</v>
      </c>
      <c r="X40" s="92">
        <f>datatransposed!U12</f>
        <v>175.97756849999999</v>
      </c>
      <c r="Y40" s="22">
        <f>datatransposed!V12</f>
        <v>0</v>
      </c>
      <c r="Z40" s="22">
        <f>datatransposed!W12</f>
        <v>0</v>
      </c>
      <c r="AA40" s="22">
        <f>datatransposed!X12</f>
        <v>0</v>
      </c>
      <c r="AB40" s="22">
        <f>datatransposed!Y12</f>
        <v>0</v>
      </c>
      <c r="AC40" s="22">
        <f>datatransposed!Z12</f>
        <v>0</v>
      </c>
      <c r="AD40" s="22">
        <f>datatransposed!AA12</f>
        <v>0</v>
      </c>
      <c r="AE40" s="22">
        <f>datatransposed!AB12</f>
        <v>0</v>
      </c>
      <c r="AF40" s="22">
        <f>datatransposed!AC12</f>
        <v>0</v>
      </c>
      <c r="AG40" s="22">
        <f>datatransposed!AD12</f>
        <v>0</v>
      </c>
      <c r="AH40" s="22">
        <f>datatransposed!AE12</f>
        <v>0</v>
      </c>
      <c r="AI40" s="22">
        <f>datatransposed!AF12</f>
        <v>0</v>
      </c>
      <c r="AJ40" s="22">
        <f>datatransposed!AG12</f>
        <v>0</v>
      </c>
      <c r="AK40" s="22">
        <f>datatransposed!AH12</f>
        <v>0</v>
      </c>
      <c r="AL40" s="22">
        <f>datatransposed!AI12</f>
        <v>0</v>
      </c>
      <c r="AM40" s="22">
        <f>datatransposed!AJ12</f>
        <v>0</v>
      </c>
      <c r="AO40" s="23">
        <f>MAX(E40:AM40)</f>
        <v>203.43549970000001</v>
      </c>
      <c r="AQ40" s="23">
        <f>MAX(AO40,1000)</f>
        <v>1000</v>
      </c>
    </row>
    <row r="41" spans="1:43" x14ac:dyDescent="0.35">
      <c r="C41" s="21" t="s">
        <v>1</v>
      </c>
      <c r="D41" s="21" t="s">
        <v>4</v>
      </c>
      <c r="E41" s="22">
        <v>280</v>
      </c>
      <c r="F41" s="22">
        <v>280</v>
      </c>
      <c r="G41" s="22">
        <v>280</v>
      </c>
      <c r="H41" s="22">
        <v>280</v>
      </c>
      <c r="I41" s="22">
        <v>280</v>
      </c>
      <c r="J41" s="22">
        <v>280</v>
      </c>
      <c r="K41" s="22">
        <v>280</v>
      </c>
      <c r="L41" s="22">
        <v>280</v>
      </c>
      <c r="M41" s="22">
        <v>280</v>
      </c>
      <c r="N41" s="22">
        <v>280</v>
      </c>
      <c r="O41" s="22">
        <v>280</v>
      </c>
      <c r="P41" s="22">
        <v>280</v>
      </c>
      <c r="Q41" s="22">
        <v>280</v>
      </c>
      <c r="R41" s="22">
        <v>280</v>
      </c>
      <c r="S41" s="22">
        <v>280</v>
      </c>
      <c r="T41" s="22">
        <v>280</v>
      </c>
      <c r="U41" s="22">
        <v>280</v>
      </c>
      <c r="V41" s="22">
        <v>280</v>
      </c>
      <c r="W41" s="22">
        <v>280</v>
      </c>
      <c r="X41" s="22">
        <v>280</v>
      </c>
      <c r="Y41" s="22">
        <v>280</v>
      </c>
      <c r="Z41" s="22">
        <v>280</v>
      </c>
      <c r="AA41" s="22">
        <v>280</v>
      </c>
      <c r="AB41" s="22">
        <v>280</v>
      </c>
      <c r="AC41" s="22">
        <v>280</v>
      </c>
      <c r="AD41" s="22">
        <v>280</v>
      </c>
      <c r="AE41" s="22">
        <v>280</v>
      </c>
      <c r="AF41" s="22">
        <v>280</v>
      </c>
      <c r="AG41" s="22">
        <v>280</v>
      </c>
      <c r="AH41" s="22">
        <v>280</v>
      </c>
      <c r="AI41" s="22">
        <v>280</v>
      </c>
      <c r="AJ41" s="22">
        <v>280</v>
      </c>
      <c r="AK41" s="22">
        <v>280</v>
      </c>
      <c r="AL41" s="22">
        <v>280</v>
      </c>
      <c r="AM41" s="22">
        <v>280</v>
      </c>
    </row>
    <row r="42" spans="1:43" x14ac:dyDescent="0.35"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91"/>
      <c r="Y42" s="21"/>
      <c r="Z42" s="21"/>
      <c r="AA42" s="21"/>
      <c r="AB42" s="21"/>
    </row>
    <row r="43" spans="1:43" x14ac:dyDescent="0.35"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91"/>
      <c r="Y43" s="21"/>
      <c r="Z43" s="21"/>
      <c r="AA43" s="21"/>
      <c r="AB43" s="21"/>
    </row>
    <row r="44" spans="1:43" x14ac:dyDescent="0.35">
      <c r="A44" t="s">
        <v>86</v>
      </c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91"/>
      <c r="Y44" s="21"/>
      <c r="Z44" s="21"/>
      <c r="AA44" s="21"/>
      <c r="AB44" s="21"/>
    </row>
    <row r="45" spans="1:43" x14ac:dyDescent="0.35">
      <c r="C45" s="21" t="s">
        <v>0</v>
      </c>
      <c r="D45" s="21" t="s">
        <v>4</v>
      </c>
      <c r="E45" s="22">
        <f>datatransposed!B13</f>
        <v>0.48426530000000001</v>
      </c>
      <c r="F45" s="22">
        <f>datatransposed!C13</f>
        <v>0.45543299999999998</v>
      </c>
      <c r="G45" s="22">
        <f>datatransposed!D13</f>
        <v>0.37204429999999999</v>
      </c>
      <c r="H45" s="22">
        <f>datatransposed!E13</f>
        <v>0.37118400000000001</v>
      </c>
      <c r="I45" s="22">
        <f>datatransposed!F13</f>
        <v>0.37060130000000002</v>
      </c>
      <c r="J45" s="22">
        <f>datatransposed!G13</f>
        <v>0.37068449999999997</v>
      </c>
      <c r="K45" s="22">
        <f>datatransposed!H13</f>
        <v>0</v>
      </c>
      <c r="L45" s="22">
        <f>datatransposed!I13</f>
        <v>0.36929699999999999</v>
      </c>
      <c r="M45" s="22">
        <f>datatransposed!J13</f>
        <v>0</v>
      </c>
      <c r="N45" s="22">
        <f>datatransposed!K13</f>
        <v>0</v>
      </c>
      <c r="O45" s="22">
        <f>datatransposed!L13</f>
        <v>0</v>
      </c>
      <c r="P45" s="22">
        <f>datatransposed!M13</f>
        <v>0</v>
      </c>
      <c r="Q45" s="22">
        <f>datatransposed!N13</f>
        <v>0.36602249999999997</v>
      </c>
      <c r="R45" s="22">
        <f>datatransposed!O13</f>
        <v>0.36532870000000001</v>
      </c>
      <c r="S45" s="22">
        <f>datatransposed!P13</f>
        <v>0.36233179999999998</v>
      </c>
      <c r="T45" s="22">
        <f>datatransposed!Q13</f>
        <v>0.35644880000000001</v>
      </c>
      <c r="U45" s="22">
        <f>datatransposed!R13</f>
        <v>0.40992299999999998</v>
      </c>
      <c r="V45" s="22">
        <f>datatransposed!S13</f>
        <v>0.46839229999999998</v>
      </c>
      <c r="W45" s="22">
        <f>datatransposed!T13</f>
        <v>0.36224849999999997</v>
      </c>
      <c r="X45" s="22">
        <f>datatransposed!U13</f>
        <v>0.45806920000000001</v>
      </c>
      <c r="Y45" s="22">
        <f>datatransposed!V13</f>
        <v>0</v>
      </c>
      <c r="Z45" s="22">
        <f>datatransposed!W13</f>
        <v>0</v>
      </c>
      <c r="AA45" s="22">
        <f>datatransposed!X13</f>
        <v>0</v>
      </c>
      <c r="AB45" s="22">
        <f>datatransposed!Y13</f>
        <v>0</v>
      </c>
      <c r="AC45" s="22">
        <f>datatransposed!Z13</f>
        <v>0</v>
      </c>
      <c r="AD45" s="22">
        <f>datatransposed!AA13</f>
        <v>0</v>
      </c>
      <c r="AE45" s="22">
        <f>datatransposed!AB13</f>
        <v>0</v>
      </c>
      <c r="AF45" s="22">
        <f>datatransposed!AC13</f>
        <v>0</v>
      </c>
      <c r="AG45" s="22">
        <f>datatransposed!AD13</f>
        <v>0</v>
      </c>
      <c r="AH45" s="22">
        <f>datatransposed!AE13</f>
        <v>0</v>
      </c>
      <c r="AI45" s="22">
        <f>datatransposed!AF13</f>
        <v>0</v>
      </c>
      <c r="AJ45" s="22">
        <f>datatransposed!AG13</f>
        <v>0</v>
      </c>
      <c r="AK45" s="22">
        <f>datatransposed!AH13</f>
        <v>0</v>
      </c>
      <c r="AL45" s="22">
        <f>datatransposed!AI13</f>
        <v>0</v>
      </c>
      <c r="AM45" s="22">
        <f>datatransposed!AJ13</f>
        <v>0</v>
      </c>
      <c r="AO45" s="23">
        <f>MAX(E45:AM45)</f>
        <v>0.48426530000000001</v>
      </c>
      <c r="AQ45" s="23">
        <f>MAX(AO45,1000)</f>
        <v>1000</v>
      </c>
    </row>
    <row r="46" spans="1:43" x14ac:dyDescent="0.35">
      <c r="C46" s="21" t="s">
        <v>1</v>
      </c>
      <c r="D46" s="21" t="s">
        <v>4</v>
      </c>
      <c r="E46" s="22">
        <v>138</v>
      </c>
      <c r="F46" s="22">
        <v>138</v>
      </c>
      <c r="G46" s="22">
        <v>138</v>
      </c>
      <c r="H46" s="22">
        <v>138</v>
      </c>
      <c r="I46" s="22">
        <v>138</v>
      </c>
      <c r="J46" s="22">
        <v>138</v>
      </c>
      <c r="K46" s="22">
        <v>138</v>
      </c>
      <c r="L46" s="22">
        <v>138</v>
      </c>
      <c r="M46" s="22">
        <v>138</v>
      </c>
      <c r="N46" s="22">
        <v>138</v>
      </c>
      <c r="O46" s="22">
        <v>138</v>
      </c>
      <c r="P46" s="22">
        <v>138</v>
      </c>
      <c r="Q46" s="22">
        <v>138</v>
      </c>
      <c r="R46" s="22">
        <v>138</v>
      </c>
      <c r="S46" s="22">
        <v>138</v>
      </c>
      <c r="T46" s="22">
        <v>138</v>
      </c>
      <c r="U46" s="22">
        <v>138</v>
      </c>
      <c r="V46" s="22">
        <v>138</v>
      </c>
      <c r="W46" s="22">
        <v>138</v>
      </c>
      <c r="X46" s="22">
        <v>138</v>
      </c>
      <c r="Y46" s="22">
        <v>138</v>
      </c>
      <c r="Z46" s="22">
        <v>138</v>
      </c>
      <c r="AA46" s="22">
        <v>138</v>
      </c>
      <c r="AB46" s="22">
        <v>138</v>
      </c>
      <c r="AC46" s="22">
        <v>138</v>
      </c>
      <c r="AD46" s="22">
        <v>138</v>
      </c>
      <c r="AE46" s="22">
        <v>138</v>
      </c>
      <c r="AF46" s="22">
        <v>138</v>
      </c>
      <c r="AG46" s="22">
        <v>138</v>
      </c>
      <c r="AH46" s="22">
        <v>138</v>
      </c>
      <c r="AI46" s="22">
        <v>138</v>
      </c>
      <c r="AJ46" s="22">
        <v>138</v>
      </c>
      <c r="AK46" s="22">
        <v>138</v>
      </c>
      <c r="AL46" s="22">
        <v>138</v>
      </c>
      <c r="AM46" s="22">
        <v>138</v>
      </c>
    </row>
    <row r="47" spans="1:43" x14ac:dyDescent="0.35"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91"/>
      <c r="Y47" s="21"/>
      <c r="Z47" s="21"/>
      <c r="AA47" s="21"/>
      <c r="AB47" s="21"/>
    </row>
    <row r="48" spans="1:43" x14ac:dyDescent="0.35"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91"/>
      <c r="Y48" s="21"/>
      <c r="Z48" s="21"/>
      <c r="AA48" s="21"/>
      <c r="AB48" s="21"/>
    </row>
    <row r="49" spans="1:44" x14ac:dyDescent="0.35">
      <c r="A49" t="s">
        <v>99</v>
      </c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91"/>
      <c r="Y49" s="21"/>
      <c r="Z49" s="21"/>
      <c r="AA49" s="21"/>
      <c r="AB49" s="21"/>
    </row>
    <row r="50" spans="1:44" x14ac:dyDescent="0.35">
      <c r="C50" s="21" t="s">
        <v>0</v>
      </c>
      <c r="D50" s="21" t="s">
        <v>4</v>
      </c>
      <c r="E50" s="22">
        <f>datatransposed!B15</f>
        <v>0</v>
      </c>
      <c r="F50" s="22">
        <f>datatransposed!C15</f>
        <v>0</v>
      </c>
      <c r="G50" s="22">
        <f>datatransposed!D15</f>
        <v>0</v>
      </c>
      <c r="H50" s="22">
        <f>datatransposed!E15</f>
        <v>0</v>
      </c>
      <c r="I50" s="22">
        <f>datatransposed!F15</f>
        <v>0</v>
      </c>
      <c r="J50" s="22">
        <f>datatransposed!G15</f>
        <v>0</v>
      </c>
      <c r="K50" s="22">
        <f>datatransposed!H15</f>
        <v>0</v>
      </c>
      <c r="L50" s="22">
        <f>datatransposed!I15</f>
        <v>0</v>
      </c>
      <c r="M50" s="22">
        <f>datatransposed!J15</f>
        <v>0</v>
      </c>
      <c r="N50" s="22">
        <f>datatransposed!K15</f>
        <v>0</v>
      </c>
      <c r="O50" s="22">
        <f>datatransposed!L15</f>
        <v>0</v>
      </c>
      <c r="P50" s="22">
        <f>datatransposed!M15</f>
        <v>0</v>
      </c>
      <c r="Q50" s="22">
        <f>datatransposed!N15</f>
        <v>0</v>
      </c>
      <c r="R50" s="22">
        <f>datatransposed!O15</f>
        <v>0</v>
      </c>
      <c r="S50" s="22">
        <f>datatransposed!P15</f>
        <v>0</v>
      </c>
      <c r="T50" s="22">
        <f>datatransposed!Q15</f>
        <v>0</v>
      </c>
      <c r="U50" s="22">
        <f>datatransposed!R15</f>
        <v>0</v>
      </c>
      <c r="V50" s="22">
        <f>datatransposed!S15</f>
        <v>0</v>
      </c>
      <c r="W50" s="22">
        <f>datatransposed!T15</f>
        <v>0</v>
      </c>
      <c r="X50" s="92">
        <f>datatransposed!U15</f>
        <v>0</v>
      </c>
      <c r="Y50" s="22">
        <f>datatransposed!V15</f>
        <v>0</v>
      </c>
      <c r="Z50" s="22">
        <f>datatransposed!W15</f>
        <v>0</v>
      </c>
      <c r="AA50" s="22">
        <f>datatransposed!X15</f>
        <v>0</v>
      </c>
      <c r="AB50" s="22">
        <f>datatransposed!Y15</f>
        <v>0</v>
      </c>
      <c r="AC50" s="22">
        <f>datatransposed!Z15</f>
        <v>0</v>
      </c>
      <c r="AD50" s="22">
        <f>datatransposed!AA15</f>
        <v>0</v>
      </c>
      <c r="AE50" s="22">
        <f>datatransposed!AB15</f>
        <v>0</v>
      </c>
      <c r="AF50" s="22">
        <f>datatransposed!AC15</f>
        <v>0</v>
      </c>
      <c r="AG50" s="22">
        <f>datatransposed!AD15</f>
        <v>0</v>
      </c>
      <c r="AH50" s="22">
        <f>datatransposed!AE15</f>
        <v>0</v>
      </c>
      <c r="AI50" s="22">
        <f>datatransposed!AF15</f>
        <v>0</v>
      </c>
      <c r="AJ50" s="22">
        <f>datatransposed!AG15</f>
        <v>0</v>
      </c>
      <c r="AK50" s="22">
        <f>datatransposed!AH15</f>
        <v>0</v>
      </c>
      <c r="AL50" s="22">
        <f>datatransposed!AI15</f>
        <v>0</v>
      </c>
      <c r="AM50" s="22">
        <f>datatransposed!AJ15</f>
        <v>0</v>
      </c>
      <c r="AO50" s="23">
        <f>MAX(E50:AM50)</f>
        <v>0</v>
      </c>
      <c r="AQ50" s="23">
        <f>MAX(AO50,2000)</f>
        <v>2000</v>
      </c>
    </row>
    <row r="51" spans="1:44" x14ac:dyDescent="0.35">
      <c r="C51" s="21" t="s">
        <v>1</v>
      </c>
      <c r="D51" s="21" t="s">
        <v>4</v>
      </c>
      <c r="E51" s="22">
        <v>150</v>
      </c>
      <c r="F51" s="22">
        <v>150</v>
      </c>
      <c r="G51" s="22">
        <v>150</v>
      </c>
      <c r="H51" s="22">
        <v>150</v>
      </c>
      <c r="I51" s="22">
        <v>150</v>
      </c>
      <c r="J51" s="22">
        <v>150</v>
      </c>
      <c r="K51" s="22">
        <v>150</v>
      </c>
      <c r="L51" s="22">
        <v>150</v>
      </c>
      <c r="M51" s="22">
        <v>150</v>
      </c>
      <c r="N51" s="22">
        <v>150</v>
      </c>
      <c r="O51" s="22">
        <v>150</v>
      </c>
      <c r="P51" s="22">
        <v>150</v>
      </c>
      <c r="Q51" s="22">
        <v>150</v>
      </c>
      <c r="R51" s="22">
        <v>150</v>
      </c>
      <c r="S51" s="22">
        <v>150</v>
      </c>
      <c r="T51" s="22">
        <v>150</v>
      </c>
      <c r="U51" s="22">
        <v>150</v>
      </c>
      <c r="V51" s="22">
        <v>150</v>
      </c>
      <c r="W51" s="22">
        <v>150</v>
      </c>
      <c r="X51" s="22">
        <v>150</v>
      </c>
      <c r="Y51" s="22">
        <v>150</v>
      </c>
      <c r="Z51" s="22">
        <v>150</v>
      </c>
      <c r="AA51" s="22">
        <v>150</v>
      </c>
      <c r="AB51" s="22">
        <v>150</v>
      </c>
      <c r="AC51" s="22">
        <v>150</v>
      </c>
      <c r="AD51" s="22">
        <v>150</v>
      </c>
      <c r="AE51" s="22">
        <v>150</v>
      </c>
      <c r="AF51" s="22">
        <v>150</v>
      </c>
      <c r="AG51" s="22">
        <v>150</v>
      </c>
      <c r="AH51" s="22">
        <v>150</v>
      </c>
      <c r="AI51" s="22">
        <v>150</v>
      </c>
      <c r="AJ51" s="22">
        <v>150</v>
      </c>
      <c r="AK51" s="22">
        <v>150</v>
      </c>
      <c r="AL51" s="22">
        <v>150</v>
      </c>
      <c r="AM51" s="22">
        <v>150</v>
      </c>
    </row>
    <row r="52" spans="1:44" x14ac:dyDescent="0.35"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91"/>
      <c r="Y52" s="21"/>
      <c r="Z52" s="21"/>
      <c r="AA52" s="21"/>
      <c r="AB52" s="21"/>
    </row>
    <row r="53" spans="1:44" x14ac:dyDescent="0.35"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91"/>
      <c r="Y53" s="21"/>
      <c r="Z53" s="21"/>
      <c r="AA53" s="21"/>
      <c r="AB53" s="21"/>
    </row>
    <row r="54" spans="1:44" x14ac:dyDescent="0.35"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91"/>
      <c r="Y54" s="21"/>
      <c r="Z54" s="21"/>
      <c r="AA54" s="21"/>
      <c r="AB54" s="21"/>
    </row>
    <row r="55" spans="1:44" x14ac:dyDescent="0.35">
      <c r="A55" t="s">
        <v>100</v>
      </c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91"/>
      <c r="Y55" s="21"/>
      <c r="Z55" s="21" t="s">
        <v>159</v>
      </c>
      <c r="AA55" s="128">
        <f>Sheet1!K1-1</f>
        <v>42163</v>
      </c>
      <c r="AB55" s="21"/>
    </row>
    <row r="56" spans="1:44" x14ac:dyDescent="0.35">
      <c r="A56" t="s">
        <v>97</v>
      </c>
      <c r="C56" s="21" t="s">
        <v>102</v>
      </c>
      <c r="D56" s="21"/>
      <c r="E56" s="93">
        <f>INDEX(SRGSTOCKS!$Q$1:$Q$600,$AA$56-19,1)</f>
        <v>39291837.303808019</v>
      </c>
      <c r="F56" s="93">
        <f>INDEX(SRGSTOCKS!$Q$1:$Q$600,$AA$56-18,1)</f>
        <v>39919110.16380851</v>
      </c>
      <c r="G56" s="93">
        <f>INDEX(SRGSTOCKS!$Q$1:$Q$600,$AA$56-17,1)</f>
        <v>40573215.418253459</v>
      </c>
      <c r="H56" s="93">
        <f>INDEX(SRGSTOCKS!$Q$1:$Q$600,$AA$56-16,1)</f>
        <v>41387508.612698518</v>
      </c>
      <c r="I56" s="93">
        <f>INDEX(SRGSTOCKS!$Q$1:$Q$600,$AA$56-15,1)</f>
        <v>42209806.378782466</v>
      </c>
      <c r="J56" s="93">
        <f>INDEX(SRGSTOCKS!$Q$1:$Q$600,$AA$56-14,1)</f>
        <v>43014643.503783092</v>
      </c>
      <c r="K56" s="93">
        <f>INDEX(SRGSTOCKS!$Q$1:$Q$600,$AA$56-13,1)</f>
        <v>43755712.564311437</v>
      </c>
      <c r="L56" s="93">
        <f>INDEX(SRGSTOCKS!$Q$1:$Q$600,$AA$56-12,1)</f>
        <v>44487862.44214534</v>
      </c>
      <c r="M56" s="93">
        <f>INDEX(SRGSTOCKS!$Q$1:$Q$600,$AA$56-11,1)</f>
        <v>1709154.27</v>
      </c>
      <c r="N56" s="93">
        <f>INDEX(SRGSTOCKS!$Q$1:$Q$600,$AA$56-10,1)</f>
        <v>1709154.27</v>
      </c>
      <c r="O56" s="93">
        <f>INDEX(SRGSTOCKS!$Q$1:$Q$600,$AA$56-9,1)</f>
        <v>1709154.27</v>
      </c>
      <c r="P56" s="93">
        <f>INDEX(SRGSTOCKS!$Q$1:$Q$600,$AA$56-8,1)</f>
        <v>47584353.175481029</v>
      </c>
      <c r="Q56" s="93">
        <f>INDEX(SRGSTOCKS!$Q$1:$Q$600,$AA$56-7,1)</f>
        <v>48322580.457703806</v>
      </c>
      <c r="R56" s="93">
        <f>INDEX(SRGSTOCKS!$Q$1:$Q$600,$AA$56-6,1)</f>
        <v>49107374.946037725</v>
      </c>
      <c r="S56" s="93">
        <f>INDEX(SRGSTOCKS!$Q$1:$Q$600,$AA$56-5,1)</f>
        <v>49587840.882843636</v>
      </c>
      <c r="T56" s="93">
        <f>INDEX(SRGSTOCKS!$Q$1:$Q$600,$AA$56-4,1)</f>
        <v>50108965.746177353</v>
      </c>
      <c r="U56" s="93">
        <f>INDEX(SRGSTOCKS!$Q$1:$Q$600,$AA$56-3,1)</f>
        <v>50723396.520622261</v>
      </c>
      <c r="V56" s="93">
        <f>INDEX(SRGSTOCKS!$Q$1:$Q$600,$AA$56-2,1)</f>
        <v>51437586.162845023</v>
      </c>
      <c r="W56" s="93">
        <f>INDEX(SRGSTOCKS!$Q$1:$Q$600,$AA$56-1,1)</f>
        <v>52214155.135178939</v>
      </c>
      <c r="X56" s="93">
        <f>INDEX(SRGSTOCKS!$Q$1:$Q$600,$AA$56,1)</f>
        <v>52792741.898846038</v>
      </c>
      <c r="Y56" s="21"/>
      <c r="Z56" s="21" t="s">
        <v>160</v>
      </c>
      <c r="AA56" s="129">
        <f>MATCH(AA55,SRGSTOCKSDateColumn,0)</f>
        <v>283</v>
      </c>
      <c r="AB56" s="21"/>
    </row>
    <row r="57" spans="1:44" x14ac:dyDescent="0.35">
      <c r="A57" t="s">
        <v>101</v>
      </c>
      <c r="C57" s="21" t="s">
        <v>102</v>
      </c>
      <c r="D57" s="21"/>
      <c r="E57" s="93">
        <f>INDEX(SRGSTOCKS!$P$1:$P$600,$AA$56-19,1)</f>
        <v>644593.13280605385</v>
      </c>
      <c r="F57" s="93">
        <f>INDEX(SRGSTOCKS!$P$1:$P$600,$AA$56-18,1)</f>
        <v>627272.86000048509</v>
      </c>
      <c r="G57" s="93">
        <f>INDEX(SRGSTOCKS!$P$1:$P$600,$AA$56-17,1)</f>
        <v>654105.25444494619</v>
      </c>
      <c r="H57" s="93">
        <f>INDEX(SRGSTOCKS!$P$1:$P$600,$AA$56-16,1)</f>
        <v>814293.19444505952</v>
      </c>
      <c r="I57" s="93">
        <f>INDEX(SRGSTOCKS!$P$1:$P$600,$AA$56-15,1)</f>
        <v>822297.76608395402</v>
      </c>
      <c r="J57" s="93">
        <f>INDEX(SRGSTOCKS!$P$1:$P$600,$AA$56-14,1)</f>
        <v>804837.12500062399</v>
      </c>
      <c r="K57" s="93">
        <f>INDEX(SRGSTOCKS!$P$1:$P$600,$AA$56-13,1)</f>
        <v>741069.06052834832</v>
      </c>
      <c r="L57" s="93">
        <f>INDEX(SRGSTOCKS!$P$1:$P$600,$AA$56-12,1)</f>
        <v>732149.8778338962</v>
      </c>
      <c r="M57" s="93">
        <f>INDEX(SRGSTOCKS!$P$1:$P$600,$AA$56-11,1)</f>
        <v>0</v>
      </c>
      <c r="N57" s="93">
        <f>INDEX(SRGSTOCKS!$P$1:$P$600,$AA$56-10,1)</f>
        <v>0</v>
      </c>
      <c r="O57" s="93">
        <f>INDEX(SRGSTOCKS!$P$1:$P$600,$AA$56-9,1)</f>
        <v>0</v>
      </c>
      <c r="P57" s="93">
        <f>INDEX(SRGSTOCKS!$P$1:$P$600,$AA$56-8,1)</f>
        <v>806482.33000060893</v>
      </c>
      <c r="Q57" s="93">
        <f>INDEX(SRGSTOCKS!$P$1:$P$600,$AA$56-7,1)</f>
        <v>738227.2822227818</v>
      </c>
      <c r="R57" s="93">
        <f>INDEX(SRGSTOCKS!$P$1:$P$600,$AA$56-6,1)</f>
        <v>784794.48833392444</v>
      </c>
      <c r="S57" s="93">
        <f>INDEX(SRGSTOCKS!$P$1:$P$600,$AA$56-5,1)</f>
        <v>480465.93680590997</v>
      </c>
      <c r="T57" s="93">
        <f>INDEX(SRGSTOCKS!$P$1:$P$600,$AA$56-4,1)</f>
        <v>521124.86333372316</v>
      </c>
      <c r="U57" s="93">
        <f>INDEX(SRGSTOCKS!$P$1:$P$600,$AA$56-3,1)</f>
        <v>614430.77444490767</v>
      </c>
      <c r="V57" s="93">
        <f>INDEX(SRGSTOCKS!$P$1:$P$600,$AA$56-2,1)</f>
        <v>714189.64222275536</v>
      </c>
      <c r="W57" s="93">
        <f>INDEX(SRGSTOCKS!$P$1:$P$600,$AA$56-1,1)</f>
        <v>776568.97233391472</v>
      </c>
      <c r="X57" s="93">
        <f>INDEX(SRGSTOCKS!$P$1:$P$600,$AA$56,1)</f>
        <v>578586.76366709371</v>
      </c>
      <c r="Y57" s="21"/>
      <c r="Z57" s="21"/>
      <c r="AA57" s="21"/>
      <c r="AB57" s="21"/>
    </row>
    <row r="58" spans="1:44" x14ac:dyDescent="0.35"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91"/>
      <c r="Y58" s="21"/>
      <c r="Z58" s="21"/>
      <c r="AA58" s="21"/>
      <c r="AB58" s="21"/>
      <c r="AO58" t="s">
        <v>104</v>
      </c>
      <c r="AP58" t="s">
        <v>12</v>
      </c>
      <c r="AQ58" t="s">
        <v>13</v>
      </c>
      <c r="AR58" t="s">
        <v>105</v>
      </c>
    </row>
    <row r="59" spans="1:44" x14ac:dyDescent="0.35">
      <c r="C59" s="21" t="s">
        <v>103</v>
      </c>
      <c r="D59" s="21"/>
      <c r="E59" s="94">
        <f>E56/1000</f>
        <v>39291.837303808017</v>
      </c>
      <c r="F59" s="94">
        <f t="shared" ref="F59:V59" si="5">F56/1000</f>
        <v>39919.110163808509</v>
      </c>
      <c r="G59" s="94">
        <f t="shared" si="5"/>
        <v>40573.215418253458</v>
      </c>
      <c r="H59" s="94">
        <f t="shared" si="5"/>
        <v>41387.508612698519</v>
      </c>
      <c r="I59" s="94">
        <f t="shared" si="5"/>
        <v>42209.806378782465</v>
      </c>
      <c r="J59" s="94">
        <f t="shared" si="5"/>
        <v>43014.643503783089</v>
      </c>
      <c r="K59" s="94">
        <f t="shared" si="5"/>
        <v>43755.712564311434</v>
      </c>
      <c r="L59" s="94">
        <f t="shared" si="5"/>
        <v>44487.862442145342</v>
      </c>
      <c r="M59" s="94">
        <f t="shared" si="5"/>
        <v>1709.15427</v>
      </c>
      <c r="N59" s="94">
        <f t="shared" si="5"/>
        <v>1709.15427</v>
      </c>
      <c r="O59" s="94">
        <f t="shared" si="5"/>
        <v>1709.15427</v>
      </c>
      <c r="P59" s="94">
        <f t="shared" si="5"/>
        <v>47584.353175481032</v>
      </c>
      <c r="Q59" s="94">
        <f t="shared" si="5"/>
        <v>48322.580457703807</v>
      </c>
      <c r="R59" s="94">
        <f t="shared" si="5"/>
        <v>49107.374946037722</v>
      </c>
      <c r="S59" s="94">
        <f t="shared" si="5"/>
        <v>49587.840882843637</v>
      </c>
      <c r="T59" s="94">
        <f t="shared" si="5"/>
        <v>50108.965746177353</v>
      </c>
      <c r="U59" s="94">
        <f t="shared" si="5"/>
        <v>50723.396520622264</v>
      </c>
      <c r="V59" s="94">
        <f t="shared" si="5"/>
        <v>51437.586162845022</v>
      </c>
      <c r="W59" s="94">
        <f>W56/1000</f>
        <v>52214.155135178939</v>
      </c>
      <c r="X59" s="94">
        <f>X56/1000</f>
        <v>52792.741898846041</v>
      </c>
      <c r="Y59" s="21"/>
      <c r="Z59" s="21"/>
      <c r="AA59" s="21"/>
      <c r="AB59" s="21"/>
      <c r="AO59" s="43">
        <f>AVERAGE(E59:X59)</f>
        <v>39582.307706166335</v>
      </c>
      <c r="AP59" s="43">
        <f>MAX(E59:X59)</f>
        <v>52792.741898846041</v>
      </c>
      <c r="AQ59" s="43">
        <f>MIN(E59:X59)</f>
        <v>1709.15427</v>
      </c>
      <c r="AR59" s="43">
        <f>AP59-AQ59</f>
        <v>51083.587628846042</v>
      </c>
    </row>
    <row r="60" spans="1:44" x14ac:dyDescent="0.35">
      <c r="C60" s="21" t="s">
        <v>103</v>
      </c>
      <c r="D60" s="21"/>
      <c r="E60" s="94">
        <f>E57/1000</f>
        <v>644.59313280605386</v>
      </c>
      <c r="F60" s="94">
        <f t="shared" ref="F60:X60" si="6">F57/1000</f>
        <v>627.27286000048514</v>
      </c>
      <c r="G60" s="94">
        <f t="shared" si="6"/>
        <v>654.10525444494624</v>
      </c>
      <c r="H60" s="94">
        <f t="shared" si="6"/>
        <v>814.2931944450595</v>
      </c>
      <c r="I60" s="94">
        <f t="shared" si="6"/>
        <v>822.297766083954</v>
      </c>
      <c r="J60" s="94">
        <f t="shared" si="6"/>
        <v>804.83712500062404</v>
      </c>
      <c r="K60" s="94">
        <f t="shared" si="6"/>
        <v>741.06906052834836</v>
      </c>
      <c r="L60" s="94">
        <f t="shared" si="6"/>
        <v>732.1498778338962</v>
      </c>
      <c r="M60" s="94">
        <f t="shared" si="6"/>
        <v>0</v>
      </c>
      <c r="N60" s="94">
        <f t="shared" si="6"/>
        <v>0</v>
      </c>
      <c r="O60" s="94">
        <f t="shared" si="6"/>
        <v>0</v>
      </c>
      <c r="P60" s="94">
        <f t="shared" si="6"/>
        <v>806.48233000060895</v>
      </c>
      <c r="Q60" s="94">
        <f t="shared" si="6"/>
        <v>738.22728222278181</v>
      </c>
      <c r="R60" s="94">
        <f t="shared" si="6"/>
        <v>784.79448833392439</v>
      </c>
      <c r="S60" s="94">
        <f t="shared" si="6"/>
        <v>480.46593680590996</v>
      </c>
      <c r="T60" s="94">
        <f t="shared" si="6"/>
        <v>521.12486333372317</v>
      </c>
      <c r="U60" s="94">
        <f t="shared" si="6"/>
        <v>614.43077444490768</v>
      </c>
      <c r="V60" s="94">
        <f t="shared" si="6"/>
        <v>714.18964222275531</v>
      </c>
      <c r="W60" s="94">
        <f t="shared" si="6"/>
        <v>776.56897233391476</v>
      </c>
      <c r="X60" s="94">
        <f t="shared" si="6"/>
        <v>578.58676366709369</v>
      </c>
      <c r="Y60" s="21"/>
      <c r="Z60" s="21"/>
      <c r="AA60" s="21"/>
      <c r="AB60" s="21"/>
      <c r="AP60" s="43">
        <f>AP59+AR59</f>
        <v>103876.32952769208</v>
      </c>
      <c r="AQ60" s="43">
        <f>AQ59-AR59</f>
        <v>-49374.433358846043</v>
      </c>
      <c r="AR60" s="43">
        <f>AP60-AQ60</f>
        <v>153250.76288653811</v>
      </c>
    </row>
    <row r="61" spans="1:44" x14ac:dyDescent="0.35"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</row>
    <row r="62" spans="1:44" x14ac:dyDescent="0.35">
      <c r="A62" t="s">
        <v>106</v>
      </c>
      <c r="B62" t="s">
        <v>107</v>
      </c>
      <c r="C62" s="21" t="s">
        <v>103</v>
      </c>
      <c r="D62" s="21"/>
      <c r="E62" s="94">
        <f>E59-$AQ$60</f>
        <v>88666.27066265406</v>
      </c>
      <c r="F62" s="94">
        <f t="shared" ref="F62:W62" si="7">F59-$AQ$60</f>
        <v>89293.543522654552</v>
      </c>
      <c r="G62" s="94">
        <f t="shared" si="7"/>
        <v>89947.648777099501</v>
      </c>
      <c r="H62" s="94">
        <f t="shared" si="7"/>
        <v>90761.941971544555</v>
      </c>
      <c r="I62" s="94">
        <f t="shared" si="7"/>
        <v>91584.239737628508</v>
      </c>
      <c r="J62" s="94">
        <f t="shared" si="7"/>
        <v>92389.076862629125</v>
      </c>
      <c r="K62" s="94">
        <f t="shared" si="7"/>
        <v>93130.145923157485</v>
      </c>
      <c r="L62" s="94">
        <f t="shared" si="7"/>
        <v>93862.295800991385</v>
      </c>
      <c r="M62" s="94">
        <f t="shared" si="7"/>
        <v>51083.587628846042</v>
      </c>
      <c r="N62" s="94">
        <f t="shared" si="7"/>
        <v>51083.587628846042</v>
      </c>
      <c r="O62" s="94">
        <f t="shared" si="7"/>
        <v>51083.587628846042</v>
      </c>
      <c r="P62" s="94">
        <f t="shared" si="7"/>
        <v>96958.786534327082</v>
      </c>
      <c r="Q62" s="94">
        <f t="shared" si="7"/>
        <v>97697.01381654985</v>
      </c>
      <c r="R62" s="94">
        <f t="shared" si="7"/>
        <v>98481.808304883773</v>
      </c>
      <c r="S62" s="94">
        <f t="shared" si="7"/>
        <v>98962.27424168968</v>
      </c>
      <c r="T62" s="94">
        <f t="shared" si="7"/>
        <v>99483.399105023389</v>
      </c>
      <c r="U62" s="94">
        <f t="shared" si="7"/>
        <v>100097.82987946831</v>
      </c>
      <c r="V62" s="94">
        <f t="shared" si="7"/>
        <v>100812.01952169107</v>
      </c>
      <c r="W62" s="94">
        <f t="shared" si="7"/>
        <v>101588.58849402498</v>
      </c>
      <c r="X62" s="94">
        <f>X59-$AQ$60</f>
        <v>102167.17525769208</v>
      </c>
      <c r="Y62" s="21"/>
      <c r="Z62" s="21"/>
      <c r="AA62" s="21"/>
      <c r="AB62" s="21"/>
      <c r="AP62" s="43">
        <f>AP60</f>
        <v>103876.32952769208</v>
      </c>
      <c r="AQ62" s="43">
        <f>AQ60</f>
        <v>-49374.433358846043</v>
      </c>
      <c r="AR62" s="43">
        <f>AR60</f>
        <v>153250.76288653811</v>
      </c>
    </row>
    <row r="63" spans="1:44" x14ac:dyDescent="0.35">
      <c r="A63" t="s">
        <v>108</v>
      </c>
      <c r="B63" t="s">
        <v>109</v>
      </c>
      <c r="E63" s="43">
        <f>E60</f>
        <v>644.59313280605386</v>
      </c>
      <c r="F63" s="43">
        <f t="shared" ref="F63:X63" si="8">F60</f>
        <v>627.27286000048514</v>
      </c>
      <c r="G63" s="43">
        <f t="shared" si="8"/>
        <v>654.10525444494624</v>
      </c>
      <c r="H63" s="43">
        <f t="shared" si="8"/>
        <v>814.2931944450595</v>
      </c>
      <c r="I63" s="43">
        <f t="shared" si="8"/>
        <v>822.297766083954</v>
      </c>
      <c r="J63" s="43">
        <f t="shared" si="8"/>
        <v>804.83712500062404</v>
      </c>
      <c r="K63" s="43">
        <f t="shared" si="8"/>
        <v>741.06906052834836</v>
      </c>
      <c r="L63" s="43">
        <f t="shared" si="8"/>
        <v>732.1498778338962</v>
      </c>
      <c r="M63" s="43">
        <f t="shared" si="8"/>
        <v>0</v>
      </c>
      <c r="N63" s="43">
        <f t="shared" si="8"/>
        <v>0</v>
      </c>
      <c r="O63" s="43">
        <f t="shared" si="8"/>
        <v>0</v>
      </c>
      <c r="P63" s="43">
        <f t="shared" si="8"/>
        <v>806.48233000060895</v>
      </c>
      <c r="Q63" s="43">
        <f t="shared" si="8"/>
        <v>738.22728222278181</v>
      </c>
      <c r="R63" s="43">
        <f t="shared" si="8"/>
        <v>784.79448833392439</v>
      </c>
      <c r="S63" s="43">
        <f t="shared" si="8"/>
        <v>480.46593680590996</v>
      </c>
      <c r="T63" s="43">
        <f t="shared" si="8"/>
        <v>521.12486333372317</v>
      </c>
      <c r="U63" s="43">
        <f t="shared" si="8"/>
        <v>614.43077444490768</v>
      </c>
      <c r="V63" s="43">
        <f t="shared" si="8"/>
        <v>714.18964222275531</v>
      </c>
      <c r="W63" s="43">
        <f t="shared" si="8"/>
        <v>776.56897233391476</v>
      </c>
      <c r="X63" s="43">
        <f t="shared" si="8"/>
        <v>578.58676366709369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K39"/>
  <sheetViews>
    <sheetView workbookViewId="0">
      <selection activeCell="AC8" sqref="AC8"/>
    </sheetView>
  </sheetViews>
  <sheetFormatPr defaultColWidth="8.81640625" defaultRowHeight="14.5" x14ac:dyDescent="0.35"/>
  <cols>
    <col min="1" max="1" width="25.6328125" bestFit="1" customWidth="1"/>
    <col min="2" max="4" width="11.1796875" bestFit="1" customWidth="1"/>
    <col min="5" max="6" width="11.81640625" bestFit="1" customWidth="1"/>
    <col min="7" max="25" width="11.1796875" bestFit="1" customWidth="1"/>
    <col min="26" max="36" width="10.6328125" bestFit="1" customWidth="1"/>
  </cols>
  <sheetData>
    <row r="1" spans="1:37" x14ac:dyDescent="0.35">
      <c r="U1" s="23">
        <f>MATCH(V1-1,SRGBalancesDateColumn,0)</f>
        <v>252</v>
      </c>
      <c r="V1" s="19">
        <f>PCFCast!A3</f>
        <v>42164</v>
      </c>
      <c r="W1" s="19">
        <f>PCFCast!A4</f>
        <v>42165</v>
      </c>
      <c r="X1" s="19">
        <f>PCFCast!A5</f>
        <v>42166</v>
      </c>
      <c r="Y1" s="19">
        <f>PCFCast!$A6</f>
        <v>42167</v>
      </c>
      <c r="Z1" s="19">
        <f>PCFCast!$A7</f>
        <v>42168</v>
      </c>
      <c r="AA1" s="19">
        <f>PCFCast!$A8</f>
        <v>42169</v>
      </c>
      <c r="AB1" s="19">
        <f>PCFCast!$A9</f>
        <v>42170</v>
      </c>
      <c r="AC1" s="19">
        <f>PCFCast!$A10</f>
        <v>42171</v>
      </c>
      <c r="AD1" s="19">
        <f>PCFCast!$A11</f>
        <v>42172</v>
      </c>
      <c r="AE1" s="19">
        <f>PCFCast!$A12</f>
        <v>42173</v>
      </c>
      <c r="AF1" s="19">
        <f>PCFCast!$A13</f>
        <v>42174</v>
      </c>
      <c r="AG1" s="19">
        <f>PCFCast!$A14</f>
        <v>42175</v>
      </c>
      <c r="AH1" s="19">
        <f>PCFCast!$A15</f>
        <v>42176</v>
      </c>
      <c r="AI1" s="19">
        <f>PCFCast!$A16</f>
        <v>42177</v>
      </c>
      <c r="AJ1" s="19">
        <f>PCFCast!$A17</f>
        <v>42116</v>
      </c>
      <c r="AK1" s="19"/>
    </row>
    <row r="2" spans="1:37" x14ac:dyDescent="0.35">
      <c r="B2" s="23">
        <f t="shared" ref="B2:S2" si="0">C2-1</f>
        <v>232</v>
      </c>
      <c r="C2" s="23">
        <f t="shared" si="0"/>
        <v>233</v>
      </c>
      <c r="D2" s="23">
        <f t="shared" si="0"/>
        <v>234</v>
      </c>
      <c r="E2" s="23">
        <f t="shared" si="0"/>
        <v>235</v>
      </c>
      <c r="F2" s="23">
        <f t="shared" si="0"/>
        <v>236</v>
      </c>
      <c r="G2" s="23">
        <f t="shared" si="0"/>
        <v>237</v>
      </c>
      <c r="H2" s="23">
        <f t="shared" si="0"/>
        <v>238</v>
      </c>
      <c r="I2" s="23">
        <f t="shared" si="0"/>
        <v>239</v>
      </c>
      <c r="J2" s="23">
        <f t="shared" si="0"/>
        <v>240</v>
      </c>
      <c r="K2" s="23">
        <f t="shared" si="0"/>
        <v>241</v>
      </c>
      <c r="L2" s="23">
        <f t="shared" si="0"/>
        <v>242</v>
      </c>
      <c r="M2" s="23">
        <f t="shared" si="0"/>
        <v>243</v>
      </c>
      <c r="N2" s="23">
        <f t="shared" si="0"/>
        <v>244</v>
      </c>
      <c r="O2" s="23">
        <f t="shared" si="0"/>
        <v>245</v>
      </c>
      <c r="P2" s="23">
        <f t="shared" si="0"/>
        <v>246</v>
      </c>
      <c r="Q2" s="23">
        <f t="shared" si="0"/>
        <v>247</v>
      </c>
      <c r="R2" s="23">
        <f t="shared" si="0"/>
        <v>248</v>
      </c>
      <c r="S2" s="23">
        <f t="shared" si="0"/>
        <v>249</v>
      </c>
      <c r="T2" s="23">
        <f>U2-1</f>
        <v>250</v>
      </c>
      <c r="U2" s="23">
        <f>U1-1</f>
        <v>251</v>
      </c>
      <c r="V2">
        <v>21</v>
      </c>
      <c r="W2">
        <v>22</v>
      </c>
      <c r="X2">
        <v>23</v>
      </c>
      <c r="Y2">
        <v>24</v>
      </c>
    </row>
    <row r="3" spans="1:37" x14ac:dyDescent="0.35">
      <c r="A3" t="s">
        <v>15</v>
      </c>
      <c r="B3" s="43">
        <f>B10+B11+B14</f>
        <v>1362.8222580000001</v>
      </c>
      <c r="C3" s="43">
        <f t="shared" ref="C3:T3" si="1">C10+C11+C14</f>
        <v>1345.8098153999999</v>
      </c>
      <c r="D3" s="43">
        <f t="shared" si="1"/>
        <v>1295.8177740000001</v>
      </c>
      <c r="E3" s="43">
        <f t="shared" si="1"/>
        <v>1026.1767405000001</v>
      </c>
      <c r="F3" s="43">
        <f t="shared" si="1"/>
        <v>962.57138180000015</v>
      </c>
      <c r="G3" s="43">
        <f t="shared" si="1"/>
        <v>1257.9609465999999</v>
      </c>
      <c r="H3" s="43">
        <f t="shared" si="1"/>
        <v>1338.3541673</v>
      </c>
      <c r="I3" s="43">
        <f t="shared" si="1"/>
        <v>1284.7843740999999</v>
      </c>
      <c r="J3" s="43">
        <f t="shared" si="1"/>
        <v>0</v>
      </c>
      <c r="K3" s="43">
        <f t="shared" si="1"/>
        <v>0</v>
      </c>
      <c r="L3" s="43">
        <f t="shared" si="1"/>
        <v>0</v>
      </c>
      <c r="M3" s="43">
        <f t="shared" si="1"/>
        <v>0</v>
      </c>
      <c r="N3" s="43">
        <f t="shared" si="1"/>
        <v>1045.8684180999999</v>
      </c>
      <c r="O3" s="43">
        <f t="shared" si="1"/>
        <v>940.23671109999998</v>
      </c>
      <c r="P3" s="43">
        <f t="shared" si="1"/>
        <v>1261.0926727000001</v>
      </c>
      <c r="Q3" s="43">
        <f t="shared" si="1"/>
        <v>1346.1343792</v>
      </c>
      <c r="R3" s="43">
        <f t="shared" si="1"/>
        <v>1379.1141997</v>
      </c>
      <c r="S3" s="43">
        <f t="shared" si="1"/>
        <v>1051.22217</v>
      </c>
      <c r="T3" s="43">
        <f t="shared" si="1"/>
        <v>901.6904902</v>
      </c>
      <c r="U3" s="43">
        <f>U10+U11+U14</f>
        <v>1258.0374254999999</v>
      </c>
      <c r="V3" s="43">
        <f>PCFCast!$B$3</f>
        <v>1288.5490192745879</v>
      </c>
      <c r="W3" s="43">
        <f>PCFCast!$B$4</f>
        <v>1322.395097765431</v>
      </c>
      <c r="X3" s="43">
        <f>PCFCast!$B$5</f>
        <v>1344.1845707425396</v>
      </c>
      <c r="Y3" s="43">
        <f>PCFCast!$D$6</f>
        <v>1320.9048587417219</v>
      </c>
      <c r="Z3" s="43">
        <f>PCFCast!$D$7</f>
        <v>1081.1413344517894</v>
      </c>
      <c r="AA3" s="43">
        <f>PCFCast!$D$8</f>
        <v>1012.602412589956</v>
      </c>
      <c r="AB3" s="43">
        <f>PCFCast!$D$9</f>
        <v>1339.4989588873959</v>
      </c>
      <c r="AC3" s="43">
        <f>PCFCast!$D$10</f>
        <v>1360.6095275460937</v>
      </c>
      <c r="AD3" s="43">
        <f>PCFCast!$D$11</f>
        <v>1375.1236143425861</v>
      </c>
      <c r="AE3" s="43">
        <f>PCFCast!$D$12</f>
        <v>1385.2867969730019</v>
      </c>
      <c r="AF3" s="43">
        <f>PCFCast!$D$13</f>
        <v>1362.8627414629614</v>
      </c>
      <c r="AG3" s="43">
        <f>PCFCast!$D$14</f>
        <v>1111.9516428792926</v>
      </c>
      <c r="AH3" s="43">
        <f>PCFCast!$D$15</f>
        <v>1038.5535970377921</v>
      </c>
      <c r="AI3" s="43">
        <f>PCFCast!$D$16</f>
        <v>1381.3952164552934</v>
      </c>
      <c r="AJ3" s="43">
        <f>PCFCast!$D$17</f>
        <v>1630.4471093622637</v>
      </c>
    </row>
    <row r="4" spans="1:37" x14ac:dyDescent="0.35">
      <c r="A4" t="s">
        <v>70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27"/>
      <c r="W4" s="27"/>
      <c r="X4" s="27"/>
      <c r="Y4" s="27"/>
    </row>
    <row r="5" spans="1:37" x14ac:dyDescent="0.35">
      <c r="A5" t="s">
        <v>71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27"/>
      <c r="W5" s="27"/>
      <c r="X5" s="27"/>
      <c r="Y5" s="27"/>
    </row>
    <row r="6" spans="1:37" x14ac:dyDescent="0.35">
      <c r="A6" t="s">
        <v>84</v>
      </c>
      <c r="B6" s="43">
        <f t="shared" ref="B6:U6" si="2">IF(B2&lt;=123,(INDEX(SRGBalancesData,B$2,3)),(INDEX(SRGBalancesData,B$2,6)))</f>
        <v>236.98236370000001</v>
      </c>
      <c r="C6" s="43">
        <f t="shared" si="2"/>
        <v>238.88895529999999</v>
      </c>
      <c r="D6" s="43">
        <f t="shared" si="2"/>
        <v>233.38843349999999</v>
      </c>
      <c r="E6" s="43">
        <f t="shared" si="2"/>
        <v>225.73206970000001</v>
      </c>
      <c r="F6" s="43">
        <f t="shared" si="2"/>
        <v>191.57795250000001</v>
      </c>
      <c r="G6" s="43">
        <f t="shared" si="2"/>
        <v>217.6004595</v>
      </c>
      <c r="H6" s="43">
        <f t="shared" si="2"/>
        <v>227.98328849999999</v>
      </c>
      <c r="I6" s="43">
        <f t="shared" si="2"/>
        <v>220.7877135</v>
      </c>
      <c r="J6" s="43">
        <f t="shared" si="2"/>
        <v>0</v>
      </c>
      <c r="K6" s="43">
        <f t="shared" si="2"/>
        <v>0</v>
      </c>
      <c r="L6" s="43">
        <f t="shared" si="2"/>
        <v>0</v>
      </c>
      <c r="M6" s="43">
        <f t="shared" si="2"/>
        <v>0</v>
      </c>
      <c r="N6" s="43">
        <f t="shared" si="2"/>
        <v>242.83297949999999</v>
      </c>
      <c r="O6" s="43">
        <f t="shared" si="2"/>
        <v>210.42011930000001</v>
      </c>
      <c r="P6" s="43">
        <f t="shared" si="2"/>
        <v>241.8293175</v>
      </c>
      <c r="Q6" s="43">
        <f t="shared" si="2"/>
        <v>241.74709429999999</v>
      </c>
      <c r="R6" s="43">
        <f t="shared" si="2"/>
        <v>234.75464930000001</v>
      </c>
      <c r="S6" s="43">
        <f t="shared" si="2"/>
        <v>233.68879949999999</v>
      </c>
      <c r="T6" s="43">
        <f t="shared" si="2"/>
        <v>217.24897799999999</v>
      </c>
      <c r="U6" s="43">
        <f t="shared" si="2"/>
        <v>245.71395670000001</v>
      </c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</row>
    <row r="7" spans="1:37" x14ac:dyDescent="0.35">
      <c r="A7" t="s">
        <v>73</v>
      </c>
      <c r="B7" s="43">
        <f t="shared" ref="B7:U7" si="3">IF(B2&lt;=123,(INDEX(SRGBalancesData,B$2,5)),(INDEX(SRGBalancesData,B$2,7)))</f>
        <v>266.34738599999997</v>
      </c>
      <c r="C7" s="43">
        <f t="shared" si="3"/>
        <v>289.41529500000001</v>
      </c>
      <c r="D7" s="43">
        <f t="shared" si="3"/>
        <v>253.80524629999999</v>
      </c>
      <c r="E7" s="43">
        <f t="shared" si="3"/>
        <v>243.36927600000001</v>
      </c>
      <c r="F7" s="43">
        <f t="shared" si="3"/>
        <v>217.61458429999999</v>
      </c>
      <c r="G7" s="43">
        <f t="shared" si="3"/>
        <v>336.58088780000003</v>
      </c>
      <c r="H7" s="43">
        <f t="shared" si="3"/>
        <v>282.64263</v>
      </c>
      <c r="I7" s="43">
        <f t="shared" si="3"/>
        <v>276.9007388</v>
      </c>
      <c r="J7" s="43">
        <f t="shared" si="3"/>
        <v>0</v>
      </c>
      <c r="K7" s="43">
        <f t="shared" si="3"/>
        <v>0</v>
      </c>
      <c r="L7" s="43">
        <f t="shared" si="3"/>
        <v>0</v>
      </c>
      <c r="M7" s="43">
        <f t="shared" si="3"/>
        <v>0</v>
      </c>
      <c r="N7" s="43">
        <f t="shared" si="3"/>
        <v>134.69516999999999</v>
      </c>
      <c r="O7" s="43">
        <f t="shared" si="3"/>
        <v>98.581153499999999</v>
      </c>
      <c r="P7" s="43">
        <f t="shared" si="3"/>
        <v>68.618285299999997</v>
      </c>
      <c r="Q7" s="43">
        <f t="shared" si="3"/>
        <v>214.67444399999999</v>
      </c>
      <c r="R7" s="43">
        <f t="shared" si="3"/>
        <v>236.50664549999999</v>
      </c>
      <c r="S7" s="43">
        <f t="shared" si="3"/>
        <v>130.16986650000001</v>
      </c>
      <c r="T7" s="43">
        <f t="shared" si="3"/>
        <v>105.978915</v>
      </c>
      <c r="U7" s="43">
        <f t="shared" si="3"/>
        <v>204.889239</v>
      </c>
      <c r="V7" s="27"/>
      <c r="W7" s="27"/>
      <c r="X7" s="27"/>
      <c r="Y7" s="27"/>
    </row>
    <row r="8" spans="1:37" x14ac:dyDescent="0.35">
      <c r="A8" t="s">
        <v>74</v>
      </c>
      <c r="B8" s="43">
        <f t="shared" ref="B8:U8" si="4">IF(B2&lt;=123,(INDEX(SRGBalancesData,B$2,6)),(INDEX(SRGBalancesData,B$2,4)))</f>
        <v>252.62795249999999</v>
      </c>
      <c r="C8" s="43">
        <f t="shared" si="4"/>
        <v>240.50547599999999</v>
      </c>
      <c r="D8" s="43">
        <f t="shared" si="4"/>
        <v>244.55750330000001</v>
      </c>
      <c r="E8" s="43">
        <f t="shared" si="4"/>
        <v>250.2221663</v>
      </c>
      <c r="F8" s="43">
        <f t="shared" si="4"/>
        <v>256.60069800000002</v>
      </c>
      <c r="G8" s="43">
        <f t="shared" si="4"/>
        <v>251.56163100000001</v>
      </c>
      <c r="H8" s="43">
        <f t="shared" si="4"/>
        <v>257.54414250000002</v>
      </c>
      <c r="I8" s="43">
        <f t="shared" si="4"/>
        <v>252.6655537</v>
      </c>
      <c r="J8" s="43">
        <f t="shared" si="4"/>
        <v>0</v>
      </c>
      <c r="K8" s="43">
        <f t="shared" si="4"/>
        <v>0</v>
      </c>
      <c r="L8" s="43">
        <f t="shared" si="4"/>
        <v>0</v>
      </c>
      <c r="M8" s="43">
        <f t="shared" si="4"/>
        <v>0</v>
      </c>
      <c r="N8" s="43">
        <f t="shared" si="4"/>
        <v>249.05785950000001</v>
      </c>
      <c r="O8" s="43">
        <f t="shared" si="4"/>
        <v>247.07015469999999</v>
      </c>
      <c r="P8" s="43">
        <f t="shared" si="4"/>
        <v>246.89355380000001</v>
      </c>
      <c r="Q8" s="43">
        <f t="shared" si="4"/>
        <v>246.79046249999999</v>
      </c>
      <c r="R8" s="43">
        <f t="shared" si="4"/>
        <v>246.906069</v>
      </c>
      <c r="S8" s="43">
        <f t="shared" si="4"/>
        <v>257.2002367</v>
      </c>
      <c r="T8" s="43">
        <f t="shared" si="4"/>
        <v>258.68549999999999</v>
      </c>
      <c r="U8" s="43">
        <f t="shared" si="4"/>
        <v>247.56685200000001</v>
      </c>
      <c r="V8" s="27"/>
      <c r="W8" s="27"/>
      <c r="X8" s="27"/>
      <c r="Y8" s="27"/>
    </row>
    <row r="9" spans="1:37" x14ac:dyDescent="0.35">
      <c r="A9" t="s">
        <v>72</v>
      </c>
      <c r="B9" s="43">
        <f t="shared" ref="B9:U9" si="5">IF(B2&lt;=123,(INDEX(SRGBalancesData,B$2,4)),(INDEX(SRGBalancesData,B$2,3)))</f>
        <v>926.313759</v>
      </c>
      <c r="C9" s="43">
        <f t="shared" si="5"/>
        <v>930.27348979999999</v>
      </c>
      <c r="D9" s="43">
        <f t="shared" si="5"/>
        <v>931.29893549999997</v>
      </c>
      <c r="E9" s="43">
        <f t="shared" si="5"/>
        <v>912.50818949999996</v>
      </c>
      <c r="F9" s="43">
        <f t="shared" si="5"/>
        <v>913.49403600000005</v>
      </c>
      <c r="G9" s="43">
        <f t="shared" si="5"/>
        <v>920.01345449999997</v>
      </c>
      <c r="H9" s="43">
        <f t="shared" si="5"/>
        <v>928.16876319999994</v>
      </c>
      <c r="I9" s="43">
        <f t="shared" si="5"/>
        <v>926.57455349999998</v>
      </c>
      <c r="J9" s="43">
        <f t="shared" si="5"/>
        <v>0</v>
      </c>
      <c r="K9" s="43">
        <f t="shared" si="5"/>
        <v>0</v>
      </c>
      <c r="L9" s="43">
        <f t="shared" si="5"/>
        <v>0</v>
      </c>
      <c r="M9" s="43">
        <f t="shared" si="5"/>
        <v>0</v>
      </c>
      <c r="N9" s="43">
        <f t="shared" si="5"/>
        <v>817.85132999999996</v>
      </c>
      <c r="O9" s="43">
        <f t="shared" si="5"/>
        <v>829.48870880000004</v>
      </c>
      <c r="P9" s="43">
        <f t="shared" si="5"/>
        <v>843.15394649999996</v>
      </c>
      <c r="Q9" s="43">
        <f t="shared" si="5"/>
        <v>858.41475379999997</v>
      </c>
      <c r="R9" s="43">
        <f t="shared" si="5"/>
        <v>903.03703129999997</v>
      </c>
      <c r="S9" s="43">
        <f t="shared" si="5"/>
        <v>819.4905225</v>
      </c>
      <c r="T9" s="43">
        <f t="shared" si="5"/>
        <v>788.94604200000003</v>
      </c>
      <c r="U9" s="43">
        <f t="shared" si="5"/>
        <v>854.66697750000003</v>
      </c>
      <c r="V9" s="27"/>
      <c r="W9" s="27"/>
      <c r="X9" s="27"/>
      <c r="Y9" s="27"/>
    </row>
    <row r="10" spans="1:37" x14ac:dyDescent="0.35">
      <c r="A10" s="20" t="s">
        <v>71</v>
      </c>
      <c r="B10" s="43">
        <f t="shared" ref="B10:U10" si="6">(INDEX(SRGBalancesData,B$2,18))</f>
        <v>543.43601999999998</v>
      </c>
      <c r="C10" s="43">
        <f t="shared" si="6"/>
        <v>492.31577479999999</v>
      </c>
      <c r="D10" s="43">
        <f t="shared" si="6"/>
        <v>456.78592350000002</v>
      </c>
      <c r="E10" s="43">
        <f t="shared" si="6"/>
        <v>323.9616585</v>
      </c>
      <c r="F10" s="43">
        <f t="shared" si="6"/>
        <v>318.96588150000002</v>
      </c>
      <c r="G10" s="43">
        <f t="shared" si="6"/>
        <v>425.32014299999997</v>
      </c>
      <c r="H10" s="43">
        <f t="shared" si="6"/>
        <v>488.8863743</v>
      </c>
      <c r="I10" s="43">
        <f t="shared" si="6"/>
        <v>445.70360030000001</v>
      </c>
      <c r="J10" s="43">
        <f t="shared" si="6"/>
        <v>0</v>
      </c>
      <c r="K10" s="43">
        <f t="shared" si="6"/>
        <v>0</v>
      </c>
      <c r="L10" s="43">
        <f t="shared" si="6"/>
        <v>0</v>
      </c>
      <c r="M10" s="43">
        <f t="shared" si="6"/>
        <v>0</v>
      </c>
      <c r="N10" s="43">
        <f t="shared" si="6"/>
        <v>392.52216829999998</v>
      </c>
      <c r="O10" s="43">
        <f t="shared" si="6"/>
        <v>337.24416830000001</v>
      </c>
      <c r="P10" s="43">
        <f t="shared" si="6"/>
        <v>488.78031370000002</v>
      </c>
      <c r="Q10" s="43">
        <f t="shared" si="6"/>
        <v>561.44199600000002</v>
      </c>
      <c r="R10" s="43">
        <f t="shared" si="6"/>
        <v>445.42160469999999</v>
      </c>
      <c r="S10" s="43">
        <f t="shared" si="6"/>
        <v>432.042081</v>
      </c>
      <c r="T10" s="43">
        <f t="shared" si="6"/>
        <v>348.08878499999997</v>
      </c>
      <c r="U10" s="43">
        <f t="shared" si="6"/>
        <v>481.58440569999999</v>
      </c>
      <c r="V10" s="43">
        <f>PCFCast!$Q$3</f>
        <v>568.17971473409011</v>
      </c>
      <c r="W10" s="43">
        <f>PCFCast!$Q$4</f>
        <v>602.00304096200705</v>
      </c>
      <c r="X10" s="43">
        <f>PCFCast!$Q$5</f>
        <v>625.39423834144054</v>
      </c>
      <c r="Y10" s="43">
        <f>PCFCast!$S$6</f>
        <v>594.94384539907037</v>
      </c>
      <c r="Z10" s="43">
        <f>PCFCast!$S$7</f>
        <v>448.73270910683044</v>
      </c>
      <c r="AA10" s="43">
        <f>PCFCast!$S$8</f>
        <v>404.03570607186725</v>
      </c>
      <c r="AB10" s="43">
        <f>PCFCast!$S$9</f>
        <v>595.19588553170399</v>
      </c>
      <c r="AC10" s="43">
        <f>PCFCast!$S$10</f>
        <v>619.92662563039846</v>
      </c>
      <c r="AD10" s="43">
        <f>PCFCast!$S$11</f>
        <v>637.3068353339039</v>
      </c>
      <c r="AE10" s="43">
        <f>PCFCast!$S$12</f>
        <v>649.47538355940321</v>
      </c>
      <c r="AF10" s="43">
        <f>PCFCast!$S$13</f>
        <v>630.75915261968987</v>
      </c>
      <c r="AG10" s="43">
        <f>PCFCast!$S$14</f>
        <v>477.13858643089804</v>
      </c>
      <c r="AH10" s="43">
        <f>PCFCast!$S$15</f>
        <v>428.34673693450924</v>
      </c>
      <c r="AI10" s="43">
        <f>PCFCast!$S$16</f>
        <v>633.74884584477149</v>
      </c>
      <c r="AJ10" s="43">
        <f>PCFCast!$S$17</f>
        <v>640.83822138682979</v>
      </c>
    </row>
    <row r="11" spans="1:37" x14ac:dyDescent="0.35">
      <c r="A11" s="20" t="s">
        <v>75</v>
      </c>
      <c r="B11" s="43">
        <f t="shared" ref="B11:U11" si="7">(INDEX(SRGBalancesData,B$2,17))</f>
        <v>392.49716549999999</v>
      </c>
      <c r="C11" s="43">
        <f t="shared" si="7"/>
        <v>406.81630430000001</v>
      </c>
      <c r="D11" s="43">
        <f t="shared" si="7"/>
        <v>395.05887899999999</v>
      </c>
      <c r="E11" s="43">
        <f t="shared" si="7"/>
        <v>327.88495349999999</v>
      </c>
      <c r="F11" s="43">
        <f t="shared" si="7"/>
        <v>302.69192179999999</v>
      </c>
      <c r="G11" s="43">
        <f t="shared" si="7"/>
        <v>397.19221579999999</v>
      </c>
      <c r="H11" s="43">
        <f t="shared" si="7"/>
        <v>399.00823120000001</v>
      </c>
      <c r="I11" s="43">
        <f t="shared" si="7"/>
        <v>395.6164043</v>
      </c>
      <c r="J11" s="43">
        <f t="shared" si="7"/>
        <v>0</v>
      </c>
      <c r="K11" s="43">
        <f t="shared" si="7"/>
        <v>0</v>
      </c>
      <c r="L11" s="43">
        <f t="shared" si="7"/>
        <v>0</v>
      </c>
      <c r="M11" s="43">
        <f t="shared" si="7"/>
        <v>0</v>
      </c>
      <c r="N11" s="43">
        <f t="shared" si="7"/>
        <v>319.66296149999999</v>
      </c>
      <c r="O11" s="43">
        <f t="shared" si="7"/>
        <v>296.06194729999999</v>
      </c>
      <c r="P11" s="43">
        <f t="shared" si="7"/>
        <v>373.83825969999998</v>
      </c>
      <c r="Q11" s="43">
        <f t="shared" si="7"/>
        <v>374.451618</v>
      </c>
      <c r="R11" s="43">
        <f t="shared" si="7"/>
        <v>369.13138800000002</v>
      </c>
      <c r="S11" s="43">
        <f t="shared" si="7"/>
        <v>315.12084149999998</v>
      </c>
      <c r="T11" s="43">
        <f t="shared" si="7"/>
        <v>270.77972699999998</v>
      </c>
      <c r="U11" s="43">
        <f t="shared" si="7"/>
        <v>381.03197549999999</v>
      </c>
      <c r="V11" s="43">
        <f>PCFCast!$J$3</f>
        <v>364.06333415414701</v>
      </c>
      <c r="W11" s="43">
        <f>PCFCast!$J$4</f>
        <v>366.10129150531498</v>
      </c>
      <c r="X11" s="43">
        <f>PCFCast!$J$5</f>
        <v>367.59796757693454</v>
      </c>
      <c r="Y11" s="43">
        <f>PCFCast!$L$6</f>
        <v>369.83824520179007</v>
      </c>
      <c r="Z11" s="43">
        <f>PCFCast!$L$7</f>
        <v>308.81320934536978</v>
      </c>
      <c r="AA11" s="43">
        <f>PCFCast!$L$8</f>
        <v>292.46936043671462</v>
      </c>
      <c r="AB11" s="43">
        <f>PCFCast!$L$9</f>
        <v>379.52944618314223</v>
      </c>
      <c r="AC11" s="43">
        <f>PCFCast!$L$10</f>
        <v>379.23546118682657</v>
      </c>
      <c r="AD11" s="43">
        <f>PCFCast!$L$11</f>
        <v>379.32973354023926</v>
      </c>
      <c r="AE11" s="43">
        <f>PCFCast!$L$12</f>
        <v>379.52113860436975</v>
      </c>
      <c r="AF11" s="43">
        <f>PCFCast!$L$13</f>
        <v>380.00870297239697</v>
      </c>
      <c r="AG11" s="43">
        <f>PCFCast!$L$14</f>
        <v>316.5509908095832</v>
      </c>
      <c r="AH11" s="43">
        <f>PCFCast!$L$15</f>
        <v>298.90475124539887</v>
      </c>
      <c r="AI11" s="43">
        <f>PCFCast!$L$16</f>
        <v>387.36693312269568</v>
      </c>
      <c r="AJ11" s="43">
        <f>PCFCast!$L$17</f>
        <v>353.95739724575276</v>
      </c>
    </row>
    <row r="12" spans="1:37" x14ac:dyDescent="0.35">
      <c r="A12" s="40" t="s">
        <v>68</v>
      </c>
      <c r="B12" s="43">
        <f t="shared" ref="B12:U12" si="8">IF(B2&lt;=123,(INDEX(SRGBalancesData,B$2,9)),(INDEX(SRGBalancesData,B$2,8)))</f>
        <v>142.7491358</v>
      </c>
      <c r="C12" s="43">
        <f t="shared" si="8"/>
        <v>142.80122249999999</v>
      </c>
      <c r="D12" s="43">
        <f t="shared" si="8"/>
        <v>142.78188080000001</v>
      </c>
      <c r="E12" s="43">
        <f t="shared" si="8"/>
        <v>104.3580098</v>
      </c>
      <c r="F12" s="43">
        <f t="shared" si="8"/>
        <v>98.782840500000006</v>
      </c>
      <c r="G12" s="43">
        <f t="shared" si="8"/>
        <v>175.93749750000001</v>
      </c>
      <c r="H12" s="43">
        <f t="shared" si="8"/>
        <v>181.39908600000001</v>
      </c>
      <c r="I12" s="43">
        <f t="shared" si="8"/>
        <v>186.84785400000001</v>
      </c>
      <c r="J12" s="43">
        <f t="shared" si="8"/>
        <v>0</v>
      </c>
      <c r="K12" s="43">
        <f t="shared" si="8"/>
        <v>0</v>
      </c>
      <c r="L12" s="43">
        <f t="shared" si="8"/>
        <v>0</v>
      </c>
      <c r="M12" s="43">
        <f t="shared" si="8"/>
        <v>0</v>
      </c>
      <c r="N12" s="43">
        <f t="shared" si="8"/>
        <v>189.5310848</v>
      </c>
      <c r="O12" s="43">
        <f t="shared" si="8"/>
        <v>178.6589955</v>
      </c>
      <c r="P12" s="43">
        <f t="shared" si="8"/>
        <v>203.43549970000001</v>
      </c>
      <c r="Q12" s="43">
        <f t="shared" si="8"/>
        <v>186.8914493</v>
      </c>
      <c r="R12" s="43">
        <f t="shared" si="8"/>
        <v>186.86389349999999</v>
      </c>
      <c r="S12" s="43">
        <f t="shared" si="8"/>
        <v>175.85619</v>
      </c>
      <c r="T12" s="43">
        <f t="shared" si="8"/>
        <v>175.958088</v>
      </c>
      <c r="U12" s="43">
        <f t="shared" si="8"/>
        <v>175.97756849999999</v>
      </c>
      <c r="V12" s="27"/>
      <c r="W12" s="27"/>
      <c r="X12" s="27"/>
      <c r="Y12" s="27"/>
    </row>
    <row r="13" spans="1:37" x14ac:dyDescent="0.35">
      <c r="A13" t="s">
        <v>69</v>
      </c>
      <c r="B13" s="43">
        <f t="shared" ref="B13:U13" si="9">IF(B2&lt;=123,(INDEX(SRGBalancesData,B$2,8)),(INDEX(SRGBalancesData,B$2,10)))</f>
        <v>0.48426530000000001</v>
      </c>
      <c r="C13" s="43">
        <f t="shared" si="9"/>
        <v>0.45543299999999998</v>
      </c>
      <c r="D13" s="43">
        <f t="shared" si="9"/>
        <v>0.37204429999999999</v>
      </c>
      <c r="E13" s="43">
        <f t="shared" si="9"/>
        <v>0.37118400000000001</v>
      </c>
      <c r="F13" s="43">
        <f t="shared" si="9"/>
        <v>0.37060130000000002</v>
      </c>
      <c r="G13" s="43">
        <f t="shared" si="9"/>
        <v>0.37068449999999997</v>
      </c>
      <c r="H13" s="43">
        <f t="shared" si="9"/>
        <v>0</v>
      </c>
      <c r="I13" s="43">
        <f t="shared" si="9"/>
        <v>0.36929699999999999</v>
      </c>
      <c r="J13" s="43">
        <f t="shared" si="9"/>
        <v>0</v>
      </c>
      <c r="K13" s="43">
        <f t="shared" si="9"/>
        <v>0</v>
      </c>
      <c r="L13" s="43">
        <f t="shared" si="9"/>
        <v>0</v>
      </c>
      <c r="M13" s="43">
        <f t="shared" si="9"/>
        <v>0</v>
      </c>
      <c r="N13" s="43">
        <f t="shared" si="9"/>
        <v>0.36602249999999997</v>
      </c>
      <c r="O13" s="43">
        <f t="shared" si="9"/>
        <v>0.36532870000000001</v>
      </c>
      <c r="P13" s="43">
        <f t="shared" si="9"/>
        <v>0.36233179999999998</v>
      </c>
      <c r="Q13" s="43">
        <f t="shared" si="9"/>
        <v>0.35644880000000001</v>
      </c>
      <c r="R13" s="43">
        <f t="shared" si="9"/>
        <v>0.40992299999999998</v>
      </c>
      <c r="S13" s="43">
        <f t="shared" si="9"/>
        <v>0.46839229999999998</v>
      </c>
      <c r="T13" s="43">
        <f t="shared" si="9"/>
        <v>0.36224849999999997</v>
      </c>
      <c r="U13" s="43">
        <f t="shared" si="9"/>
        <v>0.45806920000000001</v>
      </c>
      <c r="V13" s="27"/>
      <c r="W13" s="27"/>
      <c r="X13" s="27"/>
      <c r="Y13" s="27"/>
    </row>
    <row r="14" spans="1:37" x14ac:dyDescent="0.35">
      <c r="A14" s="20" t="s">
        <v>76</v>
      </c>
      <c r="B14" s="43">
        <f t="shared" ref="B14:U14" si="10">(INDEX(SRGBalancesData,B$2,19))</f>
        <v>426.8890725</v>
      </c>
      <c r="C14" s="43">
        <f t="shared" si="10"/>
        <v>446.67773629999999</v>
      </c>
      <c r="D14" s="43">
        <f t="shared" si="10"/>
        <v>443.97297150000003</v>
      </c>
      <c r="E14" s="43">
        <f t="shared" si="10"/>
        <v>374.3301285</v>
      </c>
      <c r="F14" s="43">
        <f t="shared" si="10"/>
        <v>340.91357850000003</v>
      </c>
      <c r="G14" s="43">
        <f t="shared" si="10"/>
        <v>435.44858779999998</v>
      </c>
      <c r="H14" s="43">
        <f t="shared" si="10"/>
        <v>450.45956180000002</v>
      </c>
      <c r="I14" s="43">
        <f t="shared" si="10"/>
        <v>443.46436949999998</v>
      </c>
      <c r="J14" s="43">
        <f t="shared" si="10"/>
        <v>0</v>
      </c>
      <c r="K14" s="43">
        <f t="shared" si="10"/>
        <v>0</v>
      </c>
      <c r="L14" s="43">
        <f t="shared" si="10"/>
        <v>0</v>
      </c>
      <c r="M14" s="43">
        <f t="shared" si="10"/>
        <v>0</v>
      </c>
      <c r="N14" s="43">
        <f t="shared" si="10"/>
        <v>333.68328830000002</v>
      </c>
      <c r="O14" s="43">
        <f t="shared" si="10"/>
        <v>306.93059549999998</v>
      </c>
      <c r="P14" s="43">
        <f t="shared" si="10"/>
        <v>398.47409929999998</v>
      </c>
      <c r="Q14" s="43">
        <f t="shared" si="10"/>
        <v>410.2407652</v>
      </c>
      <c r="R14" s="43">
        <f t="shared" si="10"/>
        <v>564.56120699999997</v>
      </c>
      <c r="S14" s="43">
        <f t="shared" si="10"/>
        <v>304.05924750000003</v>
      </c>
      <c r="T14" s="43">
        <f t="shared" si="10"/>
        <v>282.82197819999999</v>
      </c>
      <c r="U14" s="43">
        <f t="shared" si="10"/>
        <v>395.42104430000001</v>
      </c>
      <c r="V14" s="43">
        <f>PCFCast!$X$3</f>
        <v>356.30597038635079</v>
      </c>
      <c r="W14" s="43">
        <f>PCFCast!$X$4</f>
        <v>354.29076529810897</v>
      </c>
      <c r="X14" s="43">
        <f>PCFCast!$X$5</f>
        <v>351.19236482416454</v>
      </c>
      <c r="Y14" s="43">
        <f>PCFCast!$Z$6</f>
        <v>356.12276814086158</v>
      </c>
      <c r="Z14" s="43">
        <f>PCFCast!$Z$7</f>
        <v>323.59541599958908</v>
      </c>
      <c r="AA14" s="43">
        <f>PCFCast!$Z$8</f>
        <v>316.09734608137404</v>
      </c>
      <c r="AB14" s="43">
        <f>PCFCast!$Z$9</f>
        <v>364.7736271725496</v>
      </c>
      <c r="AC14" s="43">
        <f>PCFCast!$Z$10</f>
        <v>361.44744072886863</v>
      </c>
      <c r="AD14" s="43">
        <f>PCFCast!$Z$11</f>
        <v>358.48704546844289</v>
      </c>
      <c r="AE14" s="43">
        <f>PCFCast!$Z$12</f>
        <v>356.29027480922878</v>
      </c>
      <c r="AF14" s="43">
        <f>PCFCast!$Z$13</f>
        <v>352.09488587087458</v>
      </c>
      <c r="AG14" s="43">
        <f>PCFCast!$Z$14</f>
        <v>318.26206563881141</v>
      </c>
      <c r="AH14" s="43">
        <f>PCFCast!$Z$15</f>
        <v>311.30210885788392</v>
      </c>
      <c r="AI14" s="43">
        <f>PCFCast!$Z$16</f>
        <v>360.27943748782639</v>
      </c>
      <c r="AJ14" s="43">
        <f>PCFCast!$Z$17</f>
        <v>635.65149072968131</v>
      </c>
    </row>
    <row r="15" spans="1:37" x14ac:dyDescent="0.35">
      <c r="A15" s="20" t="s">
        <v>187</v>
      </c>
      <c r="B15" s="43">
        <f t="shared" ref="B15:U15" si="11">IF(B2&lt;=123,(INDEX(SRGBalancesData,B$2,10)),(INDEX(SRGBalancesData,B$2,9)))</f>
        <v>0</v>
      </c>
      <c r="C15" s="43">
        <f t="shared" si="11"/>
        <v>0</v>
      </c>
      <c r="D15" s="43">
        <f t="shared" si="11"/>
        <v>0</v>
      </c>
      <c r="E15" s="43">
        <f t="shared" si="11"/>
        <v>0</v>
      </c>
      <c r="F15" s="43">
        <f t="shared" si="11"/>
        <v>0</v>
      </c>
      <c r="G15" s="43">
        <f t="shared" si="11"/>
        <v>0</v>
      </c>
      <c r="H15" s="43">
        <f t="shared" si="11"/>
        <v>0</v>
      </c>
      <c r="I15" s="43">
        <f t="shared" si="11"/>
        <v>0</v>
      </c>
      <c r="J15" s="43">
        <f t="shared" si="11"/>
        <v>0</v>
      </c>
      <c r="K15" s="43">
        <f t="shared" si="11"/>
        <v>0</v>
      </c>
      <c r="L15" s="43">
        <f t="shared" si="11"/>
        <v>0</v>
      </c>
      <c r="M15" s="43">
        <f t="shared" si="11"/>
        <v>0</v>
      </c>
      <c r="N15" s="43">
        <f t="shared" si="11"/>
        <v>0</v>
      </c>
      <c r="O15" s="43">
        <f t="shared" si="11"/>
        <v>0</v>
      </c>
      <c r="P15" s="43">
        <f t="shared" si="11"/>
        <v>0</v>
      </c>
      <c r="Q15" s="43">
        <f t="shared" si="11"/>
        <v>0</v>
      </c>
      <c r="R15" s="43">
        <f t="shared" si="11"/>
        <v>0</v>
      </c>
      <c r="S15" s="43">
        <f t="shared" si="11"/>
        <v>0</v>
      </c>
      <c r="T15" s="43">
        <f t="shared" si="11"/>
        <v>0</v>
      </c>
      <c r="U15" s="43">
        <f t="shared" si="11"/>
        <v>0</v>
      </c>
    </row>
    <row r="21" spans="6:6" x14ac:dyDescent="0.35">
      <c r="F21" s="165"/>
    </row>
    <row r="39" spans="2:25" x14ac:dyDescent="0.35"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G601"/>
  <sheetViews>
    <sheetView topLeftCell="A237" workbookViewId="0">
      <selection activeCell="H232" sqref="H232"/>
    </sheetView>
  </sheetViews>
  <sheetFormatPr defaultColWidth="8.81640625" defaultRowHeight="14.5" x14ac:dyDescent="0.35"/>
  <cols>
    <col min="1" max="1" width="15.81640625" customWidth="1"/>
    <col min="2" max="2" width="7.81640625" style="132" bestFit="1" customWidth="1"/>
    <col min="3" max="3" width="12" style="132" bestFit="1" customWidth="1"/>
    <col min="4" max="4" width="12.36328125" style="132" bestFit="1" customWidth="1"/>
    <col min="5" max="5" width="11.81640625" style="132" bestFit="1" customWidth="1"/>
    <col min="6" max="6" width="10" style="132" bestFit="1" customWidth="1"/>
    <col min="7" max="7" width="11.6328125" style="132" bestFit="1" customWidth="1"/>
    <col min="8" max="8" width="13.36328125" style="132" bestFit="1" customWidth="1"/>
    <col min="9" max="9" width="14.1796875" style="132" bestFit="1" customWidth="1"/>
    <col min="10" max="10" width="11.81640625" style="132" bestFit="1" customWidth="1"/>
    <col min="11" max="11" width="16.1796875" style="132" bestFit="1" customWidth="1"/>
    <col min="12" max="12" width="15.36328125" style="132" bestFit="1" customWidth="1"/>
    <col min="13" max="13" width="7.1796875" style="132" bestFit="1" customWidth="1"/>
    <col min="14" max="14" width="16.1796875" style="132" bestFit="1" customWidth="1"/>
    <col min="15" max="15" width="10.36328125" style="132" bestFit="1" customWidth="1"/>
    <col min="16" max="16" width="20.36328125" style="132" bestFit="1" customWidth="1"/>
    <col min="17" max="17" width="8.36328125" style="132" bestFit="1" customWidth="1"/>
    <col min="18" max="18" width="15.453125" style="132" bestFit="1" customWidth="1"/>
    <col min="19" max="19" width="22.1796875" style="132" bestFit="1" customWidth="1"/>
    <col min="20" max="20" width="7" style="132" bestFit="1" customWidth="1"/>
    <col min="21" max="21" width="9.81640625" style="132" bestFit="1" customWidth="1"/>
    <col min="22" max="22" width="10" style="132" bestFit="1" customWidth="1"/>
    <col min="23" max="23" width="10.453125" style="132" bestFit="1" customWidth="1"/>
    <col min="24" max="24" width="11.453125" style="132" bestFit="1" customWidth="1"/>
    <col min="25" max="25" width="11.1796875" style="132" bestFit="1" customWidth="1"/>
    <col min="26" max="26" width="30.81640625" style="132" bestFit="1" customWidth="1"/>
    <col min="27" max="27" width="11" style="132" bestFit="1" customWidth="1"/>
    <col min="31" max="31" width="7.81640625" bestFit="1" customWidth="1"/>
    <col min="32" max="32" width="12" bestFit="1" customWidth="1"/>
    <col min="33" max="33" width="12.36328125" bestFit="1" customWidth="1"/>
    <col min="34" max="34" width="11.81640625" bestFit="1" customWidth="1"/>
    <col min="37" max="37" width="13.36328125" bestFit="1" customWidth="1"/>
    <col min="38" max="38" width="14.1796875" bestFit="1" customWidth="1"/>
    <col min="39" max="39" width="11.81640625" bestFit="1" customWidth="1"/>
    <col min="40" max="40" width="16.1796875" bestFit="1" customWidth="1"/>
    <col min="43" max="43" width="16.1796875" bestFit="1" customWidth="1"/>
    <col min="47" max="47" width="15.453125" bestFit="1" customWidth="1"/>
    <col min="48" max="48" width="22.1796875" bestFit="1" customWidth="1"/>
    <col min="53" max="53" width="11.453125" bestFit="1" customWidth="1"/>
    <col min="54" max="54" width="11.1796875" bestFit="1" customWidth="1"/>
    <col min="55" max="55" width="30.81640625" bestFit="1" customWidth="1"/>
  </cols>
  <sheetData>
    <row r="1" spans="1:59" x14ac:dyDescent="0.35">
      <c r="A1" s="40" t="s">
        <v>67</v>
      </c>
      <c r="B1" s="130" t="s">
        <v>161</v>
      </c>
      <c r="C1" s="130" t="s">
        <v>165</v>
      </c>
      <c r="D1" s="130" t="s">
        <v>167</v>
      </c>
      <c r="E1" s="130" t="s">
        <v>168</v>
      </c>
      <c r="F1" s="130" t="s">
        <v>164</v>
      </c>
      <c r="G1" s="130" t="s">
        <v>166</v>
      </c>
      <c r="H1" s="130" t="s">
        <v>170</v>
      </c>
      <c r="I1" s="130" t="s">
        <v>171</v>
      </c>
      <c r="J1" s="130" t="s">
        <v>169</v>
      </c>
      <c r="K1" s="130" t="s">
        <v>172</v>
      </c>
      <c r="L1" s="130" t="s">
        <v>173</v>
      </c>
      <c r="M1" s="130" t="s">
        <v>162</v>
      </c>
      <c r="N1" s="130" t="s">
        <v>163</v>
      </c>
      <c r="O1" s="130" t="s">
        <v>174</v>
      </c>
      <c r="P1" s="130" t="s">
        <v>175</v>
      </c>
      <c r="Q1" s="132" t="s">
        <v>176</v>
      </c>
      <c r="R1" s="132" t="s">
        <v>177</v>
      </c>
      <c r="S1" s="132" t="s">
        <v>178</v>
      </c>
      <c r="T1" s="132" t="s">
        <v>179</v>
      </c>
      <c r="U1" s="132" t="s">
        <v>183</v>
      </c>
      <c r="V1" s="132" t="s">
        <v>180</v>
      </c>
      <c r="W1" s="132" t="s">
        <v>181</v>
      </c>
      <c r="X1" s="132" t="s">
        <v>184</v>
      </c>
      <c r="Y1" s="132" t="s">
        <v>182</v>
      </c>
      <c r="Z1" s="132" t="s">
        <v>185</v>
      </c>
      <c r="AA1" s="132" t="s">
        <v>186</v>
      </c>
      <c r="AG1" s="132">
        <v>1</v>
      </c>
      <c r="AH1" s="132">
        <v>2</v>
      </c>
      <c r="AI1" s="132">
        <v>3</v>
      </c>
      <c r="AJ1" s="132">
        <v>4</v>
      </c>
      <c r="AK1" s="132">
        <v>5</v>
      </c>
      <c r="AL1" s="132">
        <v>6</v>
      </c>
      <c r="AM1" s="132">
        <v>7</v>
      </c>
      <c r="AN1" s="132">
        <v>8</v>
      </c>
      <c r="AO1" s="132">
        <v>9</v>
      </c>
      <c r="AP1" s="132">
        <v>10</v>
      </c>
      <c r="AQ1" s="132">
        <v>11</v>
      </c>
      <c r="AR1" s="132">
        <v>12</v>
      </c>
      <c r="AS1" s="132">
        <v>13</v>
      </c>
      <c r="AT1" s="132">
        <v>14</v>
      </c>
      <c r="AU1" s="132">
        <v>15</v>
      </c>
      <c r="AV1" s="132">
        <v>16</v>
      </c>
      <c r="AW1" s="132">
        <v>17</v>
      </c>
      <c r="AX1" s="132">
        <v>18</v>
      </c>
      <c r="AY1" s="132">
        <v>19</v>
      </c>
      <c r="AZ1" s="132">
        <v>20</v>
      </c>
      <c r="BA1" s="132">
        <v>21</v>
      </c>
      <c r="BB1" s="132">
        <v>22</v>
      </c>
      <c r="BC1" s="132">
        <v>23</v>
      </c>
      <c r="BD1" s="132">
        <v>24</v>
      </c>
      <c r="BE1" s="132">
        <v>25</v>
      </c>
      <c r="BF1" s="132">
        <v>26</v>
      </c>
      <c r="BG1" s="132">
        <v>27</v>
      </c>
    </row>
    <row r="2" spans="1:59" x14ac:dyDescent="0.35">
      <c r="A2" s="41">
        <v>41913</v>
      </c>
      <c r="B2" s="42">
        <v>1393.222</v>
      </c>
      <c r="C2" s="42">
        <v>104.1384795</v>
      </c>
      <c r="D2" s="42">
        <v>510.07918799999999</v>
      </c>
      <c r="E2" s="42">
        <v>363.21420000000001</v>
      </c>
      <c r="F2" s="42">
        <v>228.299916</v>
      </c>
      <c r="G2" s="42">
        <v>0</v>
      </c>
      <c r="H2" s="42">
        <v>0.38439299999999998</v>
      </c>
      <c r="I2" s="42">
        <v>187.10554049999999</v>
      </c>
      <c r="J2" s="42">
        <v>0</v>
      </c>
      <c r="K2" s="42">
        <v>198.73120879999999</v>
      </c>
      <c r="L2" s="42">
        <v>-7.1337203000000002</v>
      </c>
      <c r="M2" s="42">
        <v>-1.8589724999999999</v>
      </c>
      <c r="N2" s="42">
        <v>-5.2747478000000001</v>
      </c>
      <c r="O2" s="42">
        <v>1584.8192055</v>
      </c>
      <c r="P2" s="42">
        <v>1583.6269545</v>
      </c>
      <c r="Q2" s="132">
        <v>387.28385630000002</v>
      </c>
      <c r="R2" s="132">
        <v>677.61162679999995</v>
      </c>
      <c r="S2" s="132">
        <v>518.7314715</v>
      </c>
      <c r="T2" s="132">
        <v>1.1922509999999999</v>
      </c>
      <c r="U2" s="132">
        <v>1.38639</v>
      </c>
      <c r="V2" s="132">
        <v>0</v>
      </c>
      <c r="W2" s="132">
        <v>0</v>
      </c>
      <c r="X2" s="132">
        <v>1.5821662999999999</v>
      </c>
      <c r="Y2" s="132">
        <v>0.73831650000000004</v>
      </c>
      <c r="Z2" s="132">
        <v>29.825700000000001</v>
      </c>
      <c r="AA2" s="132">
        <v>1584.8192055</v>
      </c>
      <c r="AF2">
        <v>42035</v>
      </c>
      <c r="AG2" s="40" t="s">
        <v>67</v>
      </c>
      <c r="AH2" s="130" t="s">
        <v>161</v>
      </c>
      <c r="AI2" s="130" t="s">
        <v>164</v>
      </c>
      <c r="AJ2" s="130" t="s">
        <v>165</v>
      </c>
      <c r="AK2" s="130" t="s">
        <v>166</v>
      </c>
      <c r="AL2" s="130" t="s">
        <v>167</v>
      </c>
      <c r="AM2" s="130" t="s">
        <v>168</v>
      </c>
      <c r="AN2" s="130" t="s">
        <v>169</v>
      </c>
      <c r="AO2" s="130" t="s">
        <v>170</v>
      </c>
      <c r="AP2" s="130" t="s">
        <v>171</v>
      </c>
      <c r="AQ2" s="130" t="s">
        <v>172</v>
      </c>
      <c r="AR2" s="130" t="s">
        <v>173</v>
      </c>
      <c r="AS2" s="130" t="s">
        <v>162</v>
      </c>
      <c r="AT2" s="130" t="s">
        <v>163</v>
      </c>
      <c r="AU2" s="130" t="s">
        <v>174</v>
      </c>
      <c r="AV2" s="130" t="s">
        <v>175</v>
      </c>
      <c r="AW2" s="132" t="s">
        <v>176</v>
      </c>
      <c r="AX2" s="132" t="s">
        <v>177</v>
      </c>
      <c r="AY2" s="132" t="s">
        <v>178</v>
      </c>
      <c r="AZ2" s="132" t="s">
        <v>179</v>
      </c>
      <c r="BA2" s="132" t="s">
        <v>180</v>
      </c>
      <c r="BB2" s="132" t="s">
        <v>181</v>
      </c>
      <c r="BC2" s="132" t="s">
        <v>182</v>
      </c>
      <c r="BD2" s="132" t="s">
        <v>183</v>
      </c>
      <c r="BE2" s="132" t="s">
        <v>184</v>
      </c>
      <c r="BF2" s="132" t="s">
        <v>185</v>
      </c>
      <c r="BG2" s="132" t="s">
        <v>186</v>
      </c>
    </row>
    <row r="3" spans="1:59" x14ac:dyDescent="0.35">
      <c r="A3" s="41">
        <v>41914</v>
      </c>
      <c r="B3" s="42">
        <v>1503.3610000000001</v>
      </c>
      <c r="C3" s="42">
        <v>128.68368749999999</v>
      </c>
      <c r="D3" s="42">
        <v>472.072788</v>
      </c>
      <c r="E3" s="42">
        <v>460.24596000000003</v>
      </c>
      <c r="F3" s="42">
        <v>254.76503550000001</v>
      </c>
      <c r="G3" s="42">
        <v>0</v>
      </c>
      <c r="H3" s="42">
        <v>0.38628000000000001</v>
      </c>
      <c r="I3" s="42">
        <v>187.2075495</v>
      </c>
      <c r="J3" s="42">
        <v>0</v>
      </c>
      <c r="K3" s="42">
        <v>196.51095900000001</v>
      </c>
      <c r="L3" s="42">
        <v>-51.435207800000001</v>
      </c>
      <c r="M3" s="42">
        <v>-26.851177499999999</v>
      </c>
      <c r="N3" s="42">
        <v>-24.584030299999998</v>
      </c>
      <c r="O3" s="42">
        <v>1648.4370517</v>
      </c>
      <c r="P3" s="42">
        <v>1533.7971396999999</v>
      </c>
      <c r="Q3" s="132">
        <v>390.55175170000001</v>
      </c>
      <c r="R3" s="132">
        <v>666.36444080000001</v>
      </c>
      <c r="S3" s="132">
        <v>476.8809473</v>
      </c>
      <c r="T3" s="132">
        <v>114.639912</v>
      </c>
      <c r="U3" s="132">
        <v>1.3497600000000001</v>
      </c>
      <c r="V3" s="132">
        <v>0</v>
      </c>
      <c r="W3" s="132">
        <v>0</v>
      </c>
      <c r="X3" s="132">
        <v>1.6462965000000001</v>
      </c>
      <c r="Y3" s="132">
        <v>0.81884699999999999</v>
      </c>
      <c r="Z3" s="132">
        <v>29.776971</v>
      </c>
      <c r="AA3" s="132">
        <v>1648.4370517</v>
      </c>
      <c r="AF3">
        <v>42036</v>
      </c>
      <c r="AG3" s="40" t="s">
        <v>67</v>
      </c>
      <c r="AH3" s="130" t="s">
        <v>161</v>
      </c>
      <c r="AI3" s="157" t="s">
        <v>165</v>
      </c>
      <c r="AJ3" s="157" t="s">
        <v>167</v>
      </c>
      <c r="AK3" s="157" t="s">
        <v>168</v>
      </c>
      <c r="AL3" s="157" t="s">
        <v>164</v>
      </c>
      <c r="AM3" s="157" t="s">
        <v>166</v>
      </c>
      <c r="AN3" s="157" t="s">
        <v>170</v>
      </c>
      <c r="AO3" s="157" t="s">
        <v>171</v>
      </c>
      <c r="AP3" s="157" t="s">
        <v>169</v>
      </c>
      <c r="AQ3" s="130" t="s">
        <v>172</v>
      </c>
      <c r="AR3" s="130" t="s">
        <v>173</v>
      </c>
      <c r="AS3" s="130" t="s">
        <v>162</v>
      </c>
      <c r="AT3" s="130" t="s">
        <v>163</v>
      </c>
      <c r="AU3" s="130" t="s">
        <v>174</v>
      </c>
      <c r="AV3" s="130" t="s">
        <v>175</v>
      </c>
      <c r="AW3" s="132" t="s">
        <v>176</v>
      </c>
      <c r="AX3" s="132" t="s">
        <v>177</v>
      </c>
      <c r="AY3" s="132" t="s">
        <v>178</v>
      </c>
      <c r="AZ3" s="132" t="s">
        <v>179</v>
      </c>
      <c r="BA3" s="158" t="s">
        <v>183</v>
      </c>
      <c r="BB3" s="158" t="s">
        <v>180</v>
      </c>
      <c r="BC3" s="158" t="s">
        <v>181</v>
      </c>
      <c r="BD3" s="158" t="s">
        <v>184</v>
      </c>
      <c r="BE3" s="158" t="s">
        <v>182</v>
      </c>
      <c r="BF3" s="132" t="s">
        <v>185</v>
      </c>
      <c r="BG3" s="132" t="s">
        <v>186</v>
      </c>
    </row>
    <row r="4" spans="1:59" x14ac:dyDescent="0.35">
      <c r="A4" s="41">
        <v>41915</v>
      </c>
      <c r="B4" s="42">
        <v>1347.1569999999999</v>
      </c>
      <c r="C4" s="42">
        <v>71.444178800000003</v>
      </c>
      <c r="D4" s="42">
        <v>521.13947780000001</v>
      </c>
      <c r="E4" s="42">
        <v>538.273188</v>
      </c>
      <c r="F4" s="42">
        <v>28.719363000000001</v>
      </c>
      <c r="G4" s="42">
        <v>0</v>
      </c>
      <c r="H4" s="42">
        <v>0.38780629999999999</v>
      </c>
      <c r="I4" s="42">
        <v>187.19314729999999</v>
      </c>
      <c r="J4" s="42">
        <v>0</v>
      </c>
      <c r="K4" s="42">
        <v>202.42539970000001</v>
      </c>
      <c r="L4" s="42">
        <v>-28.977632199999999</v>
      </c>
      <c r="M4" s="42">
        <v>-0.1318125</v>
      </c>
      <c r="N4" s="42">
        <v>-28.845819800000001</v>
      </c>
      <c r="O4" s="42">
        <v>1520.6049284999999</v>
      </c>
      <c r="P4" s="42">
        <v>1507.8235004999999</v>
      </c>
      <c r="Q4" s="132">
        <v>381.63095929999997</v>
      </c>
      <c r="R4" s="132">
        <v>647.59786499999996</v>
      </c>
      <c r="S4" s="132">
        <v>478.59467619999998</v>
      </c>
      <c r="T4" s="132">
        <v>12.781428</v>
      </c>
      <c r="U4" s="132">
        <v>1.3423508</v>
      </c>
      <c r="V4" s="132">
        <v>0</v>
      </c>
      <c r="W4" s="132">
        <v>0</v>
      </c>
      <c r="X4" s="132">
        <v>1.5775043</v>
      </c>
      <c r="Y4" s="132">
        <v>0.83000249999999998</v>
      </c>
      <c r="Z4" s="132">
        <v>30.493143</v>
      </c>
      <c r="AA4" s="132">
        <v>1520.6049284999999</v>
      </c>
    </row>
    <row r="5" spans="1:59" x14ac:dyDescent="0.35">
      <c r="A5" s="41">
        <v>41916</v>
      </c>
      <c r="B5" s="42">
        <v>1036.53</v>
      </c>
      <c r="C5" s="42">
        <v>31.430288300000001</v>
      </c>
      <c r="D5" s="42">
        <v>387.60176030000002</v>
      </c>
      <c r="E5" s="42">
        <v>518.00963850000005</v>
      </c>
      <c r="F5" s="42">
        <v>0</v>
      </c>
      <c r="G5" s="42">
        <v>0</v>
      </c>
      <c r="H5" s="42">
        <v>0.40667629999999999</v>
      </c>
      <c r="I5" s="42">
        <v>99.081902299999996</v>
      </c>
      <c r="J5" s="42">
        <v>0</v>
      </c>
      <c r="K5" s="42">
        <v>198.43239679999999</v>
      </c>
      <c r="L5" s="42">
        <v>-21.2730113</v>
      </c>
      <c r="M5" s="42">
        <v>-0.1315905</v>
      </c>
      <c r="N5" s="42">
        <v>-21.141420799999999</v>
      </c>
      <c r="O5" s="42">
        <v>1213.6896509999999</v>
      </c>
      <c r="P5" s="42">
        <v>1162.6190228</v>
      </c>
      <c r="Q5" s="132">
        <v>326.30220450000002</v>
      </c>
      <c r="R5" s="132">
        <v>426.4956608</v>
      </c>
      <c r="S5" s="132">
        <v>409.82115750000003</v>
      </c>
      <c r="T5" s="132">
        <v>51.070628200000002</v>
      </c>
      <c r="U5" s="132">
        <v>1.2200009999999999</v>
      </c>
      <c r="V5" s="132">
        <v>0</v>
      </c>
      <c r="W5" s="132">
        <v>2.8771200000000001</v>
      </c>
      <c r="X5" s="132">
        <v>1.192029</v>
      </c>
      <c r="Y5" s="132">
        <v>0.77702780000000005</v>
      </c>
      <c r="Z5" s="132">
        <v>24.183930799999999</v>
      </c>
      <c r="AA5" s="132">
        <v>1213.6896509999999</v>
      </c>
    </row>
    <row r="6" spans="1:59" x14ac:dyDescent="0.35">
      <c r="A6" s="41">
        <v>41917</v>
      </c>
      <c r="B6" s="42">
        <v>1001.814</v>
      </c>
      <c r="C6" s="42">
        <v>32.805939000000002</v>
      </c>
      <c r="D6" s="42">
        <v>381.0849503</v>
      </c>
      <c r="E6" s="42">
        <v>445.77730430000003</v>
      </c>
      <c r="F6" s="42">
        <v>42.601328199999998</v>
      </c>
      <c r="G6" s="42">
        <v>0</v>
      </c>
      <c r="H6" s="42">
        <v>0.46880850000000002</v>
      </c>
      <c r="I6" s="42">
        <v>99.076074800000001</v>
      </c>
      <c r="J6" s="42">
        <v>0</v>
      </c>
      <c r="K6" s="42">
        <v>186.98801929999999</v>
      </c>
      <c r="L6" s="42">
        <v>-26.094379499999999</v>
      </c>
      <c r="M6" s="42">
        <v>-4.9533750000000003</v>
      </c>
      <c r="N6" s="42">
        <v>-21.141004500000001</v>
      </c>
      <c r="O6" s="42">
        <v>1162.7080447999999</v>
      </c>
      <c r="P6" s="42">
        <v>1079.4231075</v>
      </c>
      <c r="Q6" s="132">
        <v>308.32578230000001</v>
      </c>
      <c r="R6" s="132">
        <v>389.4927563</v>
      </c>
      <c r="S6" s="132">
        <v>381.60456900000003</v>
      </c>
      <c r="T6" s="132">
        <v>83.284937200000002</v>
      </c>
      <c r="U6" s="132">
        <v>1.2343478000000001</v>
      </c>
      <c r="V6" s="132">
        <v>0</v>
      </c>
      <c r="W6" s="132">
        <v>0</v>
      </c>
      <c r="X6" s="132">
        <v>1.1945265</v>
      </c>
      <c r="Y6" s="132">
        <v>0.75371779999999999</v>
      </c>
      <c r="Z6" s="132">
        <v>23.387588999999998</v>
      </c>
      <c r="AA6" s="132">
        <v>1162.7080447999999</v>
      </c>
    </row>
    <row r="7" spans="1:59" x14ac:dyDescent="0.35">
      <c r="A7" s="41">
        <v>41918</v>
      </c>
      <c r="B7" s="42">
        <v>1547.018</v>
      </c>
      <c r="C7" s="42">
        <v>51.394609500000001</v>
      </c>
      <c r="D7" s="42">
        <v>541.45783349999999</v>
      </c>
      <c r="E7" s="42">
        <v>570.90546749999999</v>
      </c>
      <c r="F7" s="42">
        <v>184.89974849999999</v>
      </c>
      <c r="G7" s="42">
        <v>0</v>
      </c>
      <c r="H7" s="42">
        <v>0.50216400000000005</v>
      </c>
      <c r="I7" s="42">
        <v>197.85847129999999</v>
      </c>
      <c r="J7" s="42">
        <v>0</v>
      </c>
      <c r="K7" s="42">
        <v>188.00033920000001</v>
      </c>
      <c r="L7" s="42">
        <v>-94.286757699999995</v>
      </c>
      <c r="M7" s="42">
        <v>-83.512237499999998</v>
      </c>
      <c r="N7" s="42">
        <v>-10.774520300000001</v>
      </c>
      <c r="O7" s="42">
        <v>1640.7318757999999</v>
      </c>
      <c r="P7" s="42">
        <v>1474.1612243</v>
      </c>
      <c r="Q7" s="132">
        <v>384.70163550000001</v>
      </c>
      <c r="R7" s="132">
        <v>590.51073150000002</v>
      </c>
      <c r="S7" s="132">
        <v>498.94885720000002</v>
      </c>
      <c r="T7" s="132">
        <v>166.5706515</v>
      </c>
      <c r="U7" s="132">
        <v>1.4368395</v>
      </c>
      <c r="V7" s="132">
        <v>0</v>
      </c>
      <c r="W7" s="132">
        <v>0</v>
      </c>
      <c r="X7" s="132">
        <v>1.8031672999999999</v>
      </c>
      <c r="Y7" s="132">
        <v>0.91047750000000005</v>
      </c>
      <c r="Z7" s="132">
        <v>30.8810325</v>
      </c>
      <c r="AA7" s="132">
        <v>1640.7318757999999</v>
      </c>
    </row>
    <row r="8" spans="1:59" x14ac:dyDescent="0.35">
      <c r="A8" s="41">
        <v>41919</v>
      </c>
      <c r="B8" s="42">
        <v>1458.145</v>
      </c>
      <c r="C8" s="42">
        <v>78.330369000000005</v>
      </c>
      <c r="D8" s="42">
        <v>532.90039950000005</v>
      </c>
      <c r="E8" s="42">
        <v>610.86166579999997</v>
      </c>
      <c r="F8" s="42">
        <v>37.586237300000001</v>
      </c>
      <c r="G8" s="42">
        <v>0</v>
      </c>
      <c r="H8" s="42">
        <v>0.38938800000000001</v>
      </c>
      <c r="I8" s="42">
        <v>198.07705799999999</v>
      </c>
      <c r="J8" s="42">
        <v>0</v>
      </c>
      <c r="K8" s="42">
        <v>193.6714403</v>
      </c>
      <c r="L8" s="42">
        <v>-28.5179258</v>
      </c>
      <c r="M8" s="42">
        <v>-28.5179258</v>
      </c>
      <c r="N8" s="42">
        <v>0</v>
      </c>
      <c r="O8" s="42">
        <v>1623.298632</v>
      </c>
      <c r="P8" s="42">
        <v>1618.1076892999999</v>
      </c>
      <c r="Q8" s="132">
        <v>402.72120899999999</v>
      </c>
      <c r="R8" s="132">
        <v>684.92008880000003</v>
      </c>
      <c r="S8" s="132">
        <v>530.46639149999999</v>
      </c>
      <c r="T8" s="132">
        <v>5.1909428000000002</v>
      </c>
      <c r="U8" s="132">
        <v>1.291485</v>
      </c>
      <c r="V8" s="132">
        <v>0</v>
      </c>
      <c r="W8" s="132">
        <v>0</v>
      </c>
      <c r="X8" s="132">
        <v>2.1365557000000002</v>
      </c>
      <c r="Y8" s="132">
        <v>0.89926649999999997</v>
      </c>
      <c r="Z8" s="132">
        <v>31.9777402</v>
      </c>
      <c r="AA8" s="132">
        <v>1623.298632</v>
      </c>
    </row>
    <row r="9" spans="1:59" x14ac:dyDescent="0.35">
      <c r="A9" s="41">
        <v>41920</v>
      </c>
      <c r="B9" s="42">
        <v>1549.673</v>
      </c>
      <c r="C9" s="42">
        <v>141.23531779999999</v>
      </c>
      <c r="D9" s="42">
        <v>592.45597880000003</v>
      </c>
      <c r="E9" s="42">
        <v>568.30451549999998</v>
      </c>
      <c r="F9" s="42">
        <v>49.066273500000001</v>
      </c>
      <c r="G9" s="42">
        <v>0</v>
      </c>
      <c r="H9" s="42">
        <v>0.41280899999999998</v>
      </c>
      <c r="I9" s="42">
        <v>198.19763169999999</v>
      </c>
      <c r="J9" s="42">
        <v>0</v>
      </c>
      <c r="K9" s="42">
        <v>202.30210650000001</v>
      </c>
      <c r="L9" s="42">
        <v>-31.423461799999998</v>
      </c>
      <c r="M9" s="42">
        <v>-31.423461799999998</v>
      </c>
      <c r="N9" s="42">
        <v>0</v>
      </c>
      <c r="O9" s="42">
        <v>1720.5511710000001</v>
      </c>
      <c r="P9" s="42">
        <v>1620.9908310000001</v>
      </c>
      <c r="Q9" s="132">
        <v>396.0917063</v>
      </c>
      <c r="R9" s="132">
        <v>710.40998999999999</v>
      </c>
      <c r="S9" s="132">
        <v>514.48913479999999</v>
      </c>
      <c r="T9" s="132">
        <v>99.560339999999997</v>
      </c>
      <c r="U9" s="132">
        <v>1.3368563</v>
      </c>
      <c r="V9" s="132">
        <v>0</v>
      </c>
      <c r="W9" s="132">
        <v>0</v>
      </c>
      <c r="X9" s="132">
        <v>2.0992875</v>
      </c>
      <c r="Y9" s="132">
        <v>0.87085049999999997</v>
      </c>
      <c r="Z9" s="132">
        <v>32.7593745</v>
      </c>
      <c r="AA9" s="132">
        <v>1720.5511710000001</v>
      </c>
    </row>
    <row r="10" spans="1:59" x14ac:dyDescent="0.35">
      <c r="A10" s="41">
        <v>41921</v>
      </c>
      <c r="B10" s="42">
        <v>1608.4349999999999</v>
      </c>
      <c r="C10" s="42">
        <v>91.629140300000003</v>
      </c>
      <c r="D10" s="42">
        <v>593.88449330000003</v>
      </c>
      <c r="E10" s="42">
        <v>534.93644470000004</v>
      </c>
      <c r="F10" s="42">
        <v>189.5635523</v>
      </c>
      <c r="G10" s="42">
        <v>0</v>
      </c>
      <c r="H10" s="42">
        <v>0.3918855</v>
      </c>
      <c r="I10" s="42">
        <v>198.02993849999999</v>
      </c>
      <c r="J10" s="42">
        <v>0</v>
      </c>
      <c r="K10" s="42">
        <v>202.98836399999999</v>
      </c>
      <c r="L10" s="42">
        <v>-164.0089935</v>
      </c>
      <c r="M10" s="42">
        <v>-164.0089935</v>
      </c>
      <c r="N10" s="42">
        <v>0</v>
      </c>
      <c r="O10" s="42">
        <v>1647.4148250000001</v>
      </c>
      <c r="P10" s="42">
        <v>1568.9406555</v>
      </c>
      <c r="Q10" s="132">
        <v>402.03611699999999</v>
      </c>
      <c r="R10" s="132">
        <v>658.60806600000001</v>
      </c>
      <c r="S10" s="132">
        <v>508.29647249999999</v>
      </c>
      <c r="T10" s="132">
        <v>78.474169500000002</v>
      </c>
      <c r="U10" s="132">
        <v>1.297812</v>
      </c>
      <c r="V10" s="132">
        <v>0</v>
      </c>
      <c r="W10" s="132">
        <v>0</v>
      </c>
      <c r="X10" s="132">
        <v>2.0127353000000001</v>
      </c>
      <c r="Y10" s="132">
        <v>0.80377880000000002</v>
      </c>
      <c r="Z10" s="132">
        <v>32.330858999999997</v>
      </c>
      <c r="AA10" s="132">
        <v>1647.4148250000001</v>
      </c>
      <c r="AC10" s="132"/>
    </row>
    <row r="11" spans="1:59" x14ac:dyDescent="0.35">
      <c r="A11" s="41">
        <v>41922</v>
      </c>
      <c r="B11" s="42">
        <v>1562.4970000000001</v>
      </c>
      <c r="C11" s="42">
        <v>59.759375200000001</v>
      </c>
      <c r="D11" s="42">
        <v>615.24544419999995</v>
      </c>
      <c r="E11" s="42">
        <v>459.11087400000002</v>
      </c>
      <c r="F11" s="42">
        <v>229.80255080000001</v>
      </c>
      <c r="G11" s="42">
        <v>0</v>
      </c>
      <c r="H11" s="42">
        <v>0.38505899999999998</v>
      </c>
      <c r="I11" s="42">
        <v>198.1933583</v>
      </c>
      <c r="J11" s="42">
        <v>0</v>
      </c>
      <c r="K11" s="42">
        <v>193.60928029999999</v>
      </c>
      <c r="L11" s="42">
        <v>-137.57731279999999</v>
      </c>
      <c r="M11" s="42">
        <v>-137.57731279999999</v>
      </c>
      <c r="N11" s="42">
        <v>0</v>
      </c>
      <c r="O11" s="42">
        <v>1618.5286289999999</v>
      </c>
      <c r="P11" s="42">
        <v>1537.2277335000001</v>
      </c>
      <c r="Q11" s="132">
        <v>384.68404199999998</v>
      </c>
      <c r="R11" s="132">
        <v>657.04882120000002</v>
      </c>
      <c r="S11" s="132">
        <v>495.49487019999998</v>
      </c>
      <c r="T11" s="132">
        <v>81.300895499999996</v>
      </c>
      <c r="U11" s="132">
        <v>1.4004593000000001</v>
      </c>
      <c r="V11" s="132">
        <v>0</v>
      </c>
      <c r="W11" s="132">
        <v>0</v>
      </c>
      <c r="X11" s="132">
        <v>1.7828820000000001</v>
      </c>
      <c r="Y11" s="132">
        <v>0.66608319999999999</v>
      </c>
      <c r="Z11" s="132">
        <v>32.466251300000003</v>
      </c>
      <c r="AA11" s="132">
        <v>1618.5286289999999</v>
      </c>
    </row>
    <row r="12" spans="1:59" x14ac:dyDescent="0.35">
      <c r="A12" s="41">
        <v>41923</v>
      </c>
      <c r="B12" s="42">
        <v>1269.3589999999999</v>
      </c>
      <c r="C12" s="42">
        <v>31.958287500000001</v>
      </c>
      <c r="D12" s="42">
        <v>476.22879449999999</v>
      </c>
      <c r="E12" s="42">
        <v>416.10375749999997</v>
      </c>
      <c r="F12" s="42">
        <v>245.71956230000001</v>
      </c>
      <c r="G12" s="42">
        <v>0</v>
      </c>
      <c r="H12" s="42">
        <v>0.36882520000000002</v>
      </c>
      <c r="I12" s="42">
        <v>98.979754499999999</v>
      </c>
      <c r="J12" s="42">
        <v>0</v>
      </c>
      <c r="K12" s="42">
        <v>194.26226550000001</v>
      </c>
      <c r="L12" s="42">
        <v>-281.99350199999998</v>
      </c>
      <c r="M12" s="42">
        <v>-281.99350199999998</v>
      </c>
      <c r="N12" s="42">
        <v>0</v>
      </c>
      <c r="O12" s="42">
        <v>1181.627745</v>
      </c>
      <c r="P12" s="42">
        <v>1134.5985435</v>
      </c>
      <c r="Q12" s="132">
        <v>328.7039393</v>
      </c>
      <c r="R12" s="132">
        <v>399.10835320000001</v>
      </c>
      <c r="S12" s="132">
        <v>406.78625099999999</v>
      </c>
      <c r="T12" s="132">
        <v>47.029201499999999</v>
      </c>
      <c r="U12" s="132">
        <v>1.3032786999999999</v>
      </c>
      <c r="V12" s="132">
        <v>0</v>
      </c>
      <c r="W12" s="132">
        <v>0</v>
      </c>
      <c r="X12" s="132">
        <v>1.6140232999999999</v>
      </c>
      <c r="Y12" s="132">
        <v>0.72957530000000004</v>
      </c>
      <c r="Z12" s="132">
        <v>25.448526000000001</v>
      </c>
      <c r="AA12" s="132">
        <v>1181.627745</v>
      </c>
    </row>
    <row r="13" spans="1:59" x14ac:dyDescent="0.35">
      <c r="A13" s="41">
        <v>41924</v>
      </c>
      <c r="B13" s="42">
        <v>1242.3889999999999</v>
      </c>
      <c r="C13" s="42">
        <v>27.9930068</v>
      </c>
      <c r="D13" s="42">
        <v>473.2546605</v>
      </c>
      <c r="E13" s="42">
        <v>403.58132030000002</v>
      </c>
      <c r="F13" s="42">
        <v>245.97114379999999</v>
      </c>
      <c r="G13" s="42">
        <v>0</v>
      </c>
      <c r="H13" s="42">
        <v>0.3707955</v>
      </c>
      <c r="I13" s="42">
        <v>91.217663299999998</v>
      </c>
      <c r="J13" s="42">
        <v>0</v>
      </c>
      <c r="K13" s="42">
        <v>193.4320965</v>
      </c>
      <c r="L13" s="42">
        <v>-334.71988950000002</v>
      </c>
      <c r="M13" s="42">
        <v>-334.71988950000002</v>
      </c>
      <c r="N13" s="42">
        <v>0</v>
      </c>
      <c r="O13" s="42">
        <v>1101.1007970000001</v>
      </c>
      <c r="P13" s="42">
        <v>1042.4931022999999</v>
      </c>
      <c r="Q13" s="132">
        <v>300.65576549999997</v>
      </c>
      <c r="R13" s="132">
        <v>356.27941950000002</v>
      </c>
      <c r="S13" s="132">
        <v>385.55791729999999</v>
      </c>
      <c r="T13" s="132">
        <v>58.607694799999997</v>
      </c>
      <c r="U13" s="132">
        <v>1.2522188000000001</v>
      </c>
      <c r="V13" s="132">
        <v>0</v>
      </c>
      <c r="W13" s="132">
        <v>0</v>
      </c>
      <c r="X13" s="132">
        <v>1.5000262</v>
      </c>
      <c r="Y13" s="132">
        <v>0.66488999999999998</v>
      </c>
      <c r="Z13" s="132">
        <v>24.745174500000001</v>
      </c>
      <c r="AA13" s="132">
        <v>1101.1007970000001</v>
      </c>
      <c r="AC13" s="132"/>
    </row>
    <row r="14" spans="1:59" x14ac:dyDescent="0.35">
      <c r="A14" s="41">
        <v>41925</v>
      </c>
      <c r="B14" s="42">
        <v>1492.721</v>
      </c>
      <c r="C14" s="42">
        <v>39.538366500000002</v>
      </c>
      <c r="D14" s="42">
        <v>603.71812199999999</v>
      </c>
      <c r="E14" s="42">
        <v>488.1058223</v>
      </c>
      <c r="F14" s="42">
        <v>228.95867329999999</v>
      </c>
      <c r="G14" s="42">
        <v>0</v>
      </c>
      <c r="H14" s="42">
        <v>0.42413099999999998</v>
      </c>
      <c r="I14" s="42">
        <v>131.9754203</v>
      </c>
      <c r="J14" s="42">
        <v>0</v>
      </c>
      <c r="K14" s="42">
        <v>195.38808299999999</v>
      </c>
      <c r="L14" s="42">
        <v>-77.728859999999997</v>
      </c>
      <c r="M14" s="42">
        <v>-77.728859999999997</v>
      </c>
      <c r="N14" s="42">
        <v>0</v>
      </c>
      <c r="O14" s="42">
        <v>1610.3797583</v>
      </c>
      <c r="P14" s="42">
        <v>1526.3876123</v>
      </c>
      <c r="Q14" s="132">
        <v>386.17155300000002</v>
      </c>
      <c r="R14" s="132">
        <v>637.64294099999995</v>
      </c>
      <c r="S14" s="132">
        <v>502.57311820000001</v>
      </c>
      <c r="T14" s="132">
        <v>83.992146000000005</v>
      </c>
      <c r="U14" s="132">
        <v>1.3514250000000001</v>
      </c>
      <c r="V14" s="132">
        <v>0</v>
      </c>
      <c r="W14" s="132">
        <v>0</v>
      </c>
      <c r="X14" s="132">
        <v>2.0537774999999998</v>
      </c>
      <c r="Y14" s="132">
        <v>0.85370100000000004</v>
      </c>
      <c r="Z14" s="132">
        <v>31.839378799999999</v>
      </c>
      <c r="AA14" s="132">
        <v>1610.3797583</v>
      </c>
    </row>
    <row r="15" spans="1:59" x14ac:dyDescent="0.35">
      <c r="A15" s="41">
        <v>41926</v>
      </c>
      <c r="B15" s="42">
        <v>1506.903</v>
      </c>
      <c r="C15" s="42">
        <v>41.954031800000003</v>
      </c>
      <c r="D15" s="42">
        <v>572.08237280000003</v>
      </c>
      <c r="E15" s="42">
        <v>496.20671329999999</v>
      </c>
      <c r="F15" s="42">
        <v>264.20811079999999</v>
      </c>
      <c r="G15" s="42">
        <v>0</v>
      </c>
      <c r="H15" s="42">
        <v>0.4543508</v>
      </c>
      <c r="I15" s="42">
        <v>131.99787000000001</v>
      </c>
      <c r="J15" s="42">
        <v>0</v>
      </c>
      <c r="K15" s="42">
        <v>201.7877325</v>
      </c>
      <c r="L15" s="42">
        <v>-128.9782538</v>
      </c>
      <c r="M15" s="42">
        <v>-128.9782538</v>
      </c>
      <c r="N15" s="42">
        <v>0</v>
      </c>
      <c r="O15" s="42">
        <v>1579.7129279999999</v>
      </c>
      <c r="P15" s="42">
        <v>1513.8703364999999</v>
      </c>
      <c r="Q15" s="132">
        <v>398.58831830000003</v>
      </c>
      <c r="R15" s="132">
        <v>590.56129199999998</v>
      </c>
      <c r="S15" s="132">
        <v>524.72072630000002</v>
      </c>
      <c r="T15" s="132">
        <v>65.842591499999997</v>
      </c>
      <c r="U15" s="132">
        <v>1.3130189999999999</v>
      </c>
      <c r="V15" s="132">
        <v>0</v>
      </c>
      <c r="W15" s="132">
        <v>0</v>
      </c>
      <c r="X15" s="132">
        <v>2.302584</v>
      </c>
      <c r="Y15" s="132">
        <v>0.76343030000000001</v>
      </c>
      <c r="Z15" s="132">
        <v>32.790537700000002</v>
      </c>
      <c r="AA15" s="132">
        <v>1579.7129279999999</v>
      </c>
    </row>
    <row r="16" spans="1:59" x14ac:dyDescent="0.35">
      <c r="A16" s="41">
        <v>41927</v>
      </c>
      <c r="B16" s="42">
        <v>1493.4259999999999</v>
      </c>
      <c r="C16" s="42">
        <v>39.114096799999999</v>
      </c>
      <c r="D16" s="42">
        <v>571.46332580000001</v>
      </c>
      <c r="E16" s="42">
        <v>519.9906555</v>
      </c>
      <c r="F16" s="42">
        <v>230.45783929999999</v>
      </c>
      <c r="G16" s="42">
        <v>0</v>
      </c>
      <c r="H16" s="42">
        <v>0.47025149999999999</v>
      </c>
      <c r="I16" s="42">
        <v>131.930271</v>
      </c>
      <c r="J16" s="42">
        <v>0</v>
      </c>
      <c r="K16" s="42">
        <v>202.0436153</v>
      </c>
      <c r="L16" s="42">
        <v>-106.9933995</v>
      </c>
      <c r="M16" s="42">
        <v>-106.9933995</v>
      </c>
      <c r="N16" s="42">
        <v>0</v>
      </c>
      <c r="O16" s="42">
        <v>1588.4766555000001</v>
      </c>
      <c r="P16" s="42">
        <v>1509.9816458</v>
      </c>
      <c r="Q16" s="132">
        <v>393.30907500000001</v>
      </c>
      <c r="R16" s="132">
        <v>583.14724130000002</v>
      </c>
      <c r="S16" s="132">
        <v>533.5253295</v>
      </c>
      <c r="T16" s="132">
        <v>78.495009800000005</v>
      </c>
      <c r="U16" s="132">
        <v>1.2017137</v>
      </c>
      <c r="V16" s="132">
        <v>0</v>
      </c>
      <c r="W16" s="132">
        <v>0</v>
      </c>
      <c r="X16" s="132">
        <v>2.1597270000000002</v>
      </c>
      <c r="Y16" s="132">
        <v>0.78266100000000005</v>
      </c>
      <c r="Z16" s="132">
        <v>34.062930799999997</v>
      </c>
      <c r="AA16" s="132">
        <v>1588.4766555000001</v>
      </c>
    </row>
    <row r="17" spans="1:27" x14ac:dyDescent="0.35">
      <c r="A17" s="41">
        <v>41928</v>
      </c>
      <c r="B17" s="42">
        <v>1444.8489999999999</v>
      </c>
      <c r="C17" s="42">
        <v>38.638184299999999</v>
      </c>
      <c r="D17" s="42">
        <v>540.01683149999997</v>
      </c>
      <c r="E17" s="42">
        <v>517.84305529999995</v>
      </c>
      <c r="F17" s="42">
        <v>215.71068450000001</v>
      </c>
      <c r="G17" s="42">
        <v>0</v>
      </c>
      <c r="H17" s="42">
        <v>0.39413330000000002</v>
      </c>
      <c r="I17" s="42">
        <v>132.24609380000001</v>
      </c>
      <c r="J17" s="42">
        <v>0</v>
      </c>
      <c r="K17" s="42">
        <v>200.3385443</v>
      </c>
      <c r="L17" s="42">
        <v>-156.31846949999999</v>
      </c>
      <c r="M17" s="42">
        <v>-156.31846949999999</v>
      </c>
      <c r="N17" s="42">
        <v>0</v>
      </c>
      <c r="O17" s="42">
        <v>1488.8690572</v>
      </c>
      <c r="P17" s="42">
        <v>1478.4961905</v>
      </c>
      <c r="Q17" s="132">
        <v>379.45613630000003</v>
      </c>
      <c r="R17" s="132">
        <v>567.04241779999995</v>
      </c>
      <c r="S17" s="132">
        <v>531.9976365</v>
      </c>
      <c r="T17" s="132">
        <v>10.372866699999999</v>
      </c>
      <c r="U17" s="132">
        <v>1.2802184999999999</v>
      </c>
      <c r="V17" s="132">
        <v>0</v>
      </c>
      <c r="W17" s="132">
        <v>0</v>
      </c>
      <c r="X17" s="132">
        <v>2.2346797999999999</v>
      </c>
      <c r="Y17" s="132">
        <v>0.83571899999999999</v>
      </c>
      <c r="Z17" s="132">
        <v>34.075945500000003</v>
      </c>
      <c r="AA17" s="132">
        <v>1488.8690572</v>
      </c>
    </row>
    <row r="18" spans="1:27" x14ac:dyDescent="0.35">
      <c r="A18" s="41">
        <v>41929</v>
      </c>
      <c r="B18" s="42">
        <v>1407.7429999999999</v>
      </c>
      <c r="C18" s="42">
        <v>38.3309918</v>
      </c>
      <c r="D18" s="42">
        <v>523.17316430000005</v>
      </c>
      <c r="E18" s="42">
        <v>494.92149979999999</v>
      </c>
      <c r="F18" s="42">
        <v>219.238764</v>
      </c>
      <c r="G18" s="42">
        <v>0</v>
      </c>
      <c r="H18" s="42">
        <v>0.26920280000000002</v>
      </c>
      <c r="I18" s="42">
        <v>131.809392</v>
      </c>
      <c r="J18" s="42">
        <v>0</v>
      </c>
      <c r="K18" s="42">
        <v>202.93636050000001</v>
      </c>
      <c r="L18" s="42">
        <v>-218.76074249999999</v>
      </c>
      <c r="M18" s="42">
        <v>-218.76074249999999</v>
      </c>
      <c r="N18" s="42">
        <v>0</v>
      </c>
      <c r="O18" s="42">
        <v>1391.9186325000001</v>
      </c>
      <c r="P18" s="42">
        <v>1426.6223107999999</v>
      </c>
      <c r="Q18" s="132">
        <v>379.70527579999998</v>
      </c>
      <c r="R18" s="132">
        <v>552.05722349999996</v>
      </c>
      <c r="S18" s="132">
        <v>494.85981149999998</v>
      </c>
      <c r="T18" s="132">
        <v>-34.703678199999999</v>
      </c>
      <c r="U18" s="132">
        <v>1.2621255</v>
      </c>
      <c r="V18" s="132">
        <v>0</v>
      </c>
      <c r="W18" s="132">
        <v>0</v>
      </c>
      <c r="X18" s="132">
        <v>1.9325931999999999</v>
      </c>
      <c r="Y18" s="132">
        <v>0.76293069999999996</v>
      </c>
      <c r="Z18" s="132">
        <v>32.411223</v>
      </c>
      <c r="AA18" s="132">
        <v>1391.9186325000001</v>
      </c>
    </row>
    <row r="19" spans="1:27" x14ac:dyDescent="0.35">
      <c r="A19" s="41">
        <v>41930</v>
      </c>
      <c r="B19" s="42">
        <v>1098.4749999999999</v>
      </c>
      <c r="C19" s="42">
        <v>34.107108799999999</v>
      </c>
      <c r="D19" s="42">
        <v>389.16452930000003</v>
      </c>
      <c r="E19" s="42">
        <v>342.29647199999999</v>
      </c>
      <c r="F19" s="42">
        <v>232.5628988</v>
      </c>
      <c r="G19" s="42">
        <v>0</v>
      </c>
      <c r="H19" s="42">
        <v>0.38392130000000002</v>
      </c>
      <c r="I19" s="42">
        <v>99.960356300000001</v>
      </c>
      <c r="J19" s="42">
        <v>0</v>
      </c>
      <c r="K19" s="42">
        <v>202.34259370000001</v>
      </c>
      <c r="L19" s="42">
        <v>-178.52499080000001</v>
      </c>
      <c r="M19" s="42">
        <v>-157.3933103</v>
      </c>
      <c r="N19" s="42">
        <v>-21.131680500000002</v>
      </c>
      <c r="O19" s="42">
        <v>1122.2928893000001</v>
      </c>
      <c r="P19" s="42">
        <v>1130.2806158000001</v>
      </c>
      <c r="Q19" s="132">
        <v>321.5507662</v>
      </c>
      <c r="R19" s="132">
        <v>395.19013649999999</v>
      </c>
      <c r="S19" s="132">
        <v>413.53971300000001</v>
      </c>
      <c r="T19" s="132">
        <v>-7.9877265</v>
      </c>
      <c r="U19" s="132">
        <v>1.2246908000000001</v>
      </c>
      <c r="V19" s="132">
        <v>0</v>
      </c>
      <c r="W19" s="132">
        <v>2.8771200000000001</v>
      </c>
      <c r="X19" s="132">
        <v>1.5382103</v>
      </c>
      <c r="Y19" s="132">
        <v>0.73459799999999997</v>
      </c>
      <c r="Z19" s="132">
        <v>27.914585299999999</v>
      </c>
      <c r="AA19" s="132">
        <v>1122.2928893000001</v>
      </c>
    </row>
    <row r="20" spans="1:27" x14ac:dyDescent="0.35">
      <c r="A20" s="41">
        <v>41931</v>
      </c>
      <c r="B20" s="42">
        <v>1165.4559999999999</v>
      </c>
      <c r="C20" s="42">
        <v>34.757762999999997</v>
      </c>
      <c r="D20" s="42">
        <v>399.10976849999997</v>
      </c>
      <c r="E20" s="42">
        <v>367.1852528</v>
      </c>
      <c r="F20" s="42">
        <v>232.02907200000001</v>
      </c>
      <c r="G20" s="42">
        <v>0</v>
      </c>
      <c r="H20" s="42">
        <v>0.36632779999999998</v>
      </c>
      <c r="I20" s="42">
        <v>132.00824850000001</v>
      </c>
      <c r="J20" s="42">
        <v>0</v>
      </c>
      <c r="K20" s="42">
        <v>203.58365699999999</v>
      </c>
      <c r="L20" s="42">
        <v>-274.9050143</v>
      </c>
      <c r="M20" s="42">
        <v>-254.07661350000001</v>
      </c>
      <c r="N20" s="42">
        <v>-20.828400800000001</v>
      </c>
      <c r="O20" s="42">
        <v>1094.1350752999999</v>
      </c>
      <c r="P20" s="42">
        <v>1052.7965939999999</v>
      </c>
      <c r="Q20" s="132">
        <v>308.4883418</v>
      </c>
      <c r="R20" s="132">
        <v>349.9614383</v>
      </c>
      <c r="S20" s="132">
        <v>394.34681399999999</v>
      </c>
      <c r="T20" s="132">
        <v>41.338481299999998</v>
      </c>
      <c r="U20" s="132">
        <v>1.2262447999999999</v>
      </c>
      <c r="V20" s="132">
        <v>0</v>
      </c>
      <c r="W20" s="132">
        <v>7.1928000000000001</v>
      </c>
      <c r="X20" s="132">
        <v>1.4501873000000001</v>
      </c>
      <c r="Y20" s="132">
        <v>0.70071530000000004</v>
      </c>
      <c r="Z20" s="132">
        <v>25.581115499999999</v>
      </c>
      <c r="AA20" s="132">
        <v>1094.1350752999999</v>
      </c>
    </row>
    <row r="21" spans="1:27" x14ac:dyDescent="0.35">
      <c r="A21" s="41">
        <v>41932</v>
      </c>
      <c r="B21" s="42">
        <v>1440.221</v>
      </c>
      <c r="C21" s="42">
        <v>42.103687499999999</v>
      </c>
      <c r="D21" s="42">
        <v>524.20424330000003</v>
      </c>
      <c r="E21" s="42">
        <v>505.42218300000002</v>
      </c>
      <c r="F21" s="42">
        <v>225.22341230000001</v>
      </c>
      <c r="G21" s="42">
        <v>0</v>
      </c>
      <c r="H21" s="42">
        <v>0.33602480000000001</v>
      </c>
      <c r="I21" s="42">
        <v>142.93123130000001</v>
      </c>
      <c r="J21" s="42">
        <v>0</v>
      </c>
      <c r="K21" s="42">
        <v>201.1333875</v>
      </c>
      <c r="L21" s="42">
        <v>-66.014114300000003</v>
      </c>
      <c r="M21" s="42">
        <v>-66.014114300000003</v>
      </c>
      <c r="N21" s="42">
        <v>0</v>
      </c>
      <c r="O21" s="42">
        <v>1575.3400552000001</v>
      </c>
      <c r="P21" s="42">
        <v>1521.4885717</v>
      </c>
      <c r="Q21" s="132">
        <v>386.49120529999999</v>
      </c>
      <c r="R21" s="132">
        <v>628.59588599999995</v>
      </c>
      <c r="S21" s="132">
        <v>506.40148049999999</v>
      </c>
      <c r="T21" s="132">
        <v>53.851483500000001</v>
      </c>
      <c r="U21" s="132">
        <v>1.4908687</v>
      </c>
      <c r="V21" s="132">
        <v>0</v>
      </c>
      <c r="W21" s="132">
        <v>0</v>
      </c>
      <c r="X21" s="132">
        <v>1.9351739999999999</v>
      </c>
      <c r="Y21" s="132">
        <v>0.80266879999999996</v>
      </c>
      <c r="Z21" s="132">
        <v>33.276468000000001</v>
      </c>
      <c r="AA21" s="132">
        <v>1575.3400552000001</v>
      </c>
    </row>
    <row r="22" spans="1:27" x14ac:dyDescent="0.35">
      <c r="A22" s="41">
        <v>41933</v>
      </c>
      <c r="B22" s="42">
        <v>1530.2370000000001</v>
      </c>
      <c r="C22" s="42">
        <v>42.1491142</v>
      </c>
      <c r="D22" s="42">
        <v>549.58236750000003</v>
      </c>
      <c r="E22" s="42">
        <v>525.15062920000003</v>
      </c>
      <c r="F22" s="42">
        <v>230.55130120000001</v>
      </c>
      <c r="G22" s="42">
        <v>0</v>
      </c>
      <c r="H22" s="42">
        <v>0.27908179999999999</v>
      </c>
      <c r="I22" s="42">
        <v>182.52482029999999</v>
      </c>
      <c r="J22" s="42">
        <v>0</v>
      </c>
      <c r="K22" s="42">
        <v>203.2104472</v>
      </c>
      <c r="L22" s="42">
        <v>-98.359847299999998</v>
      </c>
      <c r="M22" s="42">
        <v>-98.359847299999998</v>
      </c>
      <c r="N22" s="42">
        <v>0</v>
      </c>
      <c r="O22" s="42">
        <v>1635.0879141999999</v>
      </c>
      <c r="P22" s="42">
        <v>1475.6811195</v>
      </c>
      <c r="Q22" s="132">
        <v>397.4762925</v>
      </c>
      <c r="R22" s="132">
        <v>626.06208900000001</v>
      </c>
      <c r="S22" s="132">
        <v>452.14273800000001</v>
      </c>
      <c r="T22" s="132">
        <v>159.4067948</v>
      </c>
      <c r="U22" s="132">
        <v>1.4163878000000001</v>
      </c>
      <c r="V22" s="132">
        <v>0</v>
      </c>
      <c r="W22" s="132">
        <v>0</v>
      </c>
      <c r="X22" s="132">
        <v>2.0587724999999999</v>
      </c>
      <c r="Y22" s="132">
        <v>0.78116249999999998</v>
      </c>
      <c r="Z22" s="132">
        <v>33.505460999999997</v>
      </c>
      <c r="AA22" s="132">
        <v>1635.0879141999999</v>
      </c>
    </row>
    <row r="23" spans="1:27" x14ac:dyDescent="0.35">
      <c r="A23" s="41">
        <v>41934</v>
      </c>
      <c r="B23" s="42">
        <v>1500.412</v>
      </c>
      <c r="C23" s="42">
        <v>42.468655499999997</v>
      </c>
      <c r="D23" s="42">
        <v>536.90810999999997</v>
      </c>
      <c r="E23" s="42">
        <v>547.00761150000005</v>
      </c>
      <c r="F23" s="42">
        <v>230.5359</v>
      </c>
      <c r="G23" s="42">
        <v>0</v>
      </c>
      <c r="H23" s="42">
        <v>0.40384579999999998</v>
      </c>
      <c r="I23" s="42">
        <v>143.088324</v>
      </c>
      <c r="J23" s="42">
        <v>0</v>
      </c>
      <c r="K23" s="42">
        <v>201.7860398</v>
      </c>
      <c r="L23" s="42">
        <v>-121.24482829999999</v>
      </c>
      <c r="M23" s="42">
        <v>-127.2065273</v>
      </c>
      <c r="N23" s="42">
        <v>5.9616990000000003</v>
      </c>
      <c r="O23" s="42">
        <v>1580.9536582999999</v>
      </c>
      <c r="P23" s="42">
        <v>1525.5517545</v>
      </c>
      <c r="Q23" s="132">
        <v>406.600548</v>
      </c>
      <c r="R23" s="132">
        <v>542.72326129999999</v>
      </c>
      <c r="S23" s="132">
        <v>576.22794520000002</v>
      </c>
      <c r="T23" s="132">
        <v>55.401903799999999</v>
      </c>
      <c r="U23" s="132">
        <v>1.7182522</v>
      </c>
      <c r="V23" s="132">
        <v>0</v>
      </c>
      <c r="W23" s="132">
        <v>0</v>
      </c>
      <c r="X23" s="132">
        <v>2.9731904999999998</v>
      </c>
      <c r="Y23" s="132">
        <v>0.87024000000000001</v>
      </c>
      <c r="Z23" s="132">
        <v>33.833798999999999</v>
      </c>
      <c r="AA23" s="132">
        <v>1580.9536582999999</v>
      </c>
    </row>
    <row r="24" spans="1:27" x14ac:dyDescent="0.35">
      <c r="A24" s="41">
        <v>41935</v>
      </c>
      <c r="B24" s="42">
        <v>1481.0989999999999</v>
      </c>
      <c r="C24" s="42">
        <v>39.970572799999999</v>
      </c>
      <c r="D24" s="42">
        <v>528.87548400000003</v>
      </c>
      <c r="E24" s="42">
        <v>531.55988019999995</v>
      </c>
      <c r="F24" s="42">
        <v>237.21965399999999</v>
      </c>
      <c r="G24" s="42">
        <v>0</v>
      </c>
      <c r="H24" s="42">
        <v>0.36765979999999998</v>
      </c>
      <c r="I24" s="42">
        <v>143.10613950000001</v>
      </c>
      <c r="J24" s="42">
        <v>0</v>
      </c>
      <c r="K24" s="42">
        <v>207.52695979999999</v>
      </c>
      <c r="L24" s="42">
        <v>-5.888217</v>
      </c>
      <c r="M24" s="42">
        <v>-11.991274499999999</v>
      </c>
      <c r="N24" s="42">
        <v>6.1030575000000002</v>
      </c>
      <c r="O24" s="42">
        <v>1682.7381330000001</v>
      </c>
      <c r="P24" s="42">
        <v>1621.9886655</v>
      </c>
      <c r="Q24" s="132">
        <v>384.86696999999998</v>
      </c>
      <c r="R24" s="132">
        <v>589.86199199999999</v>
      </c>
      <c r="S24" s="132">
        <v>647.2597035</v>
      </c>
      <c r="T24" s="132">
        <v>60.749467500000002</v>
      </c>
      <c r="U24" s="132">
        <v>2.2051815000000001</v>
      </c>
      <c r="V24" s="132">
        <v>0</v>
      </c>
      <c r="W24" s="132">
        <v>0</v>
      </c>
      <c r="X24" s="132">
        <v>2.4776033000000002</v>
      </c>
      <c r="Y24" s="132">
        <v>1.0114875000000001</v>
      </c>
      <c r="Z24" s="132">
        <v>35.0710883</v>
      </c>
      <c r="AA24" s="132">
        <v>1682.7381330000001</v>
      </c>
    </row>
    <row r="25" spans="1:27" x14ac:dyDescent="0.35">
      <c r="A25" s="41">
        <v>41936</v>
      </c>
      <c r="B25" s="42">
        <v>1451.048</v>
      </c>
      <c r="C25" s="42">
        <v>39.630274499999999</v>
      </c>
      <c r="D25" s="42">
        <v>533.74286180000001</v>
      </c>
      <c r="E25" s="42">
        <v>499.49431129999999</v>
      </c>
      <c r="F25" s="42">
        <v>234.80076980000001</v>
      </c>
      <c r="G25" s="42">
        <v>0</v>
      </c>
      <c r="H25" s="42">
        <v>0.38780629999999999</v>
      </c>
      <c r="I25" s="42">
        <v>142.9922535</v>
      </c>
      <c r="J25" s="42">
        <v>0</v>
      </c>
      <c r="K25" s="42">
        <v>207.63235420000001</v>
      </c>
      <c r="L25" s="42">
        <v>-74.1156158</v>
      </c>
      <c r="M25" s="42">
        <v>-80.222558300000003</v>
      </c>
      <c r="N25" s="42">
        <v>6.1069424999999997</v>
      </c>
      <c r="O25" s="42">
        <v>1584.5650155000001</v>
      </c>
      <c r="P25" s="42">
        <v>1500.2045992999999</v>
      </c>
      <c r="Q25" s="132">
        <v>383.16414680000003</v>
      </c>
      <c r="R25" s="132">
        <v>491.60934300000002</v>
      </c>
      <c r="S25" s="132">
        <v>625.43110950000005</v>
      </c>
      <c r="T25" s="132">
        <v>84.360416299999997</v>
      </c>
      <c r="U25" s="132">
        <v>2.2481385</v>
      </c>
      <c r="V25" s="132">
        <v>0</v>
      </c>
      <c r="W25" s="132">
        <v>0</v>
      </c>
      <c r="X25" s="132">
        <v>2.7098708</v>
      </c>
      <c r="Y25" s="132">
        <v>1.10667</v>
      </c>
      <c r="Z25" s="132">
        <v>35.233037299999999</v>
      </c>
      <c r="AA25" s="132">
        <v>1584.5650155000001</v>
      </c>
    </row>
    <row r="26" spans="1:27" x14ac:dyDescent="0.35">
      <c r="A26" s="41">
        <v>41937</v>
      </c>
      <c r="B26" s="42">
        <v>1256.1869999999999</v>
      </c>
      <c r="C26" s="42">
        <v>34.324169300000001</v>
      </c>
      <c r="D26" s="42">
        <v>464.76765599999999</v>
      </c>
      <c r="E26" s="42">
        <v>376.4793937</v>
      </c>
      <c r="F26" s="42">
        <v>248.094213</v>
      </c>
      <c r="G26" s="42">
        <v>0</v>
      </c>
      <c r="H26" s="42">
        <v>0.39110850000000003</v>
      </c>
      <c r="I26" s="42">
        <v>132.1303485</v>
      </c>
      <c r="J26" s="42">
        <v>0</v>
      </c>
      <c r="K26" s="42">
        <v>162.29154600000001</v>
      </c>
      <c r="L26" s="42">
        <v>-210.806094</v>
      </c>
      <c r="M26" s="42">
        <v>-216.238101</v>
      </c>
      <c r="N26" s="42">
        <v>5.4320069999999996</v>
      </c>
      <c r="O26" s="42">
        <v>1207.672341</v>
      </c>
      <c r="P26" s="42">
        <v>1208.6275515</v>
      </c>
      <c r="Q26" s="132">
        <v>329.7768375</v>
      </c>
      <c r="R26" s="132">
        <v>301.76507179999999</v>
      </c>
      <c r="S26" s="132">
        <v>577.08564230000002</v>
      </c>
      <c r="T26" s="132">
        <v>-0.95521049999999996</v>
      </c>
      <c r="U26" s="132">
        <v>2.2593773000000001</v>
      </c>
      <c r="V26" s="132">
        <v>0</v>
      </c>
      <c r="W26" s="132">
        <v>0</v>
      </c>
      <c r="X26" s="132">
        <v>2.3552534999999999</v>
      </c>
      <c r="Y26" s="132">
        <v>1.0924343000000001</v>
      </c>
      <c r="Z26" s="132">
        <v>29.052418500000002</v>
      </c>
      <c r="AA26" s="132">
        <v>1207.672341</v>
      </c>
    </row>
    <row r="27" spans="1:27" x14ac:dyDescent="0.35">
      <c r="A27" s="41">
        <v>41938</v>
      </c>
      <c r="B27" s="42">
        <v>1238.268</v>
      </c>
      <c r="C27" s="42">
        <v>33.330275299999997</v>
      </c>
      <c r="D27" s="42">
        <v>439.89591380000002</v>
      </c>
      <c r="E27" s="42">
        <v>390.72</v>
      </c>
      <c r="F27" s="42">
        <v>241.97497720000001</v>
      </c>
      <c r="G27" s="42">
        <v>0</v>
      </c>
      <c r="H27" s="42">
        <v>0.39119169999999998</v>
      </c>
      <c r="I27" s="42">
        <v>131.95605080000001</v>
      </c>
      <c r="J27" s="42">
        <v>0</v>
      </c>
      <c r="K27" s="42">
        <v>161.17635680000001</v>
      </c>
      <c r="L27" s="42">
        <v>-184.4718158</v>
      </c>
      <c r="M27" s="42">
        <v>-189.9021023</v>
      </c>
      <c r="N27" s="42">
        <v>5.4302865000000002</v>
      </c>
      <c r="O27" s="42">
        <v>1214.9729497000001</v>
      </c>
      <c r="P27" s="42">
        <v>1189.2285254999999</v>
      </c>
      <c r="Q27" s="132">
        <v>302.26340629999999</v>
      </c>
      <c r="R27" s="132">
        <v>301.38453600000003</v>
      </c>
      <c r="S27" s="132">
        <v>585.58058329999994</v>
      </c>
      <c r="T27" s="132">
        <v>25.744424200000001</v>
      </c>
      <c r="U27" s="132">
        <v>2.1971617000000001</v>
      </c>
      <c r="V27" s="132">
        <v>0</v>
      </c>
      <c r="W27" s="132">
        <v>0</v>
      </c>
      <c r="X27" s="132">
        <v>2.5672079999999999</v>
      </c>
      <c r="Y27" s="132">
        <v>1.1882828000000001</v>
      </c>
      <c r="Z27" s="132">
        <v>27.354423799999999</v>
      </c>
      <c r="AA27" s="132">
        <v>1214.9729497000001</v>
      </c>
    </row>
    <row r="28" spans="1:27" x14ac:dyDescent="0.35">
      <c r="A28" s="41">
        <v>41939</v>
      </c>
      <c r="B28" s="42">
        <v>1475.7270000000001</v>
      </c>
      <c r="C28" s="42">
        <v>37.571835</v>
      </c>
      <c r="D28" s="42">
        <v>519.23363549999999</v>
      </c>
      <c r="E28" s="42">
        <v>533.3329665</v>
      </c>
      <c r="F28" s="42">
        <v>242.28760879999999</v>
      </c>
      <c r="G28" s="42">
        <v>0</v>
      </c>
      <c r="H28" s="42">
        <v>0.39355050000000003</v>
      </c>
      <c r="I28" s="42">
        <v>142.90750499999999</v>
      </c>
      <c r="J28" s="42">
        <v>0</v>
      </c>
      <c r="K28" s="42">
        <v>206.90164129999999</v>
      </c>
      <c r="L28" s="42">
        <v>150.7427175</v>
      </c>
      <c r="M28" s="42">
        <v>144.6320565</v>
      </c>
      <c r="N28" s="42">
        <v>6.1106610000000003</v>
      </c>
      <c r="O28" s="42">
        <v>1833.3714600000001</v>
      </c>
      <c r="P28" s="42">
        <v>1807.1043645</v>
      </c>
      <c r="Q28" s="132">
        <v>410.56804879999999</v>
      </c>
      <c r="R28" s="132">
        <v>606.19214550000004</v>
      </c>
      <c r="S28" s="132">
        <v>790.34417020000001</v>
      </c>
      <c r="T28" s="132">
        <v>26.2670955</v>
      </c>
      <c r="U28" s="132">
        <v>2.399931</v>
      </c>
      <c r="V28" s="132">
        <v>0</v>
      </c>
      <c r="W28" s="132">
        <v>0</v>
      </c>
      <c r="X28" s="132">
        <v>13.511669299999999</v>
      </c>
      <c r="Y28" s="132">
        <v>1.5428999999999999</v>
      </c>
      <c r="Z28" s="132">
        <v>36.939551199999997</v>
      </c>
      <c r="AA28" s="132">
        <v>1833.3714600000001</v>
      </c>
    </row>
    <row r="29" spans="1:27" x14ac:dyDescent="0.35">
      <c r="A29" s="41">
        <v>41940</v>
      </c>
      <c r="B29" s="42">
        <v>1563.1510000000001</v>
      </c>
      <c r="C29" s="42">
        <v>39.706698000000003</v>
      </c>
      <c r="D29" s="42">
        <v>552.76912200000004</v>
      </c>
      <c r="E29" s="42">
        <v>584.29051349999997</v>
      </c>
      <c r="F29" s="42">
        <v>243.1789665</v>
      </c>
      <c r="G29" s="42">
        <v>0</v>
      </c>
      <c r="H29" s="42">
        <v>0.39429979999999998</v>
      </c>
      <c r="I29" s="42">
        <v>142.81137899999999</v>
      </c>
      <c r="J29" s="42">
        <v>0</v>
      </c>
      <c r="K29" s="42">
        <v>206.97445719999999</v>
      </c>
      <c r="L29" s="42">
        <v>247.01390549999999</v>
      </c>
      <c r="M29" s="42">
        <v>240.9033</v>
      </c>
      <c r="N29" s="42">
        <v>6.1106055000000001</v>
      </c>
      <c r="O29" s="42">
        <v>2017.1393415</v>
      </c>
      <c r="P29" s="42">
        <v>1898.082795</v>
      </c>
      <c r="Q29" s="132">
        <v>396.99502430000001</v>
      </c>
      <c r="R29" s="132">
        <v>635.85259429999996</v>
      </c>
      <c r="S29" s="132">
        <v>865.23517649999997</v>
      </c>
      <c r="T29" s="132">
        <v>119.0565465</v>
      </c>
      <c r="U29" s="132">
        <v>2.5158149999999999</v>
      </c>
      <c r="V29" s="132">
        <v>0</v>
      </c>
      <c r="W29" s="132">
        <v>0</v>
      </c>
      <c r="X29" s="132">
        <v>3.5286067999999999</v>
      </c>
      <c r="Y29" s="132">
        <v>1.6719097999999999</v>
      </c>
      <c r="Z29" s="132">
        <v>38.407082299999999</v>
      </c>
      <c r="AA29" s="132">
        <v>2017.1393415</v>
      </c>
    </row>
    <row r="30" spans="1:27" x14ac:dyDescent="0.35">
      <c r="A30" s="41">
        <v>41941</v>
      </c>
      <c r="B30" s="42">
        <v>1625.1369999999999</v>
      </c>
      <c r="C30" s="42">
        <v>41.192155499999998</v>
      </c>
      <c r="D30" s="42">
        <v>643.45162649999997</v>
      </c>
      <c r="E30" s="42">
        <v>548.73618680000004</v>
      </c>
      <c r="F30" s="42">
        <v>248.42138550000001</v>
      </c>
      <c r="G30" s="42">
        <v>0</v>
      </c>
      <c r="H30" s="42">
        <v>0.37132280000000001</v>
      </c>
      <c r="I30" s="42">
        <v>142.964448</v>
      </c>
      <c r="J30" s="42">
        <v>0</v>
      </c>
      <c r="K30" s="42">
        <v>202.83265879999999</v>
      </c>
      <c r="L30" s="42">
        <v>313.22468400000002</v>
      </c>
      <c r="M30" s="42">
        <v>303.78615980000001</v>
      </c>
      <c r="N30" s="42">
        <v>9.4385242999999992</v>
      </c>
      <c r="O30" s="42">
        <v>2141.1944677000001</v>
      </c>
      <c r="P30" s="42">
        <v>2028.265482</v>
      </c>
      <c r="Q30" s="132">
        <v>401.47820330000002</v>
      </c>
      <c r="R30" s="132">
        <v>689.93540180000002</v>
      </c>
      <c r="S30" s="132">
        <v>936.85187699999994</v>
      </c>
      <c r="T30" s="132">
        <v>112.92898580000001</v>
      </c>
      <c r="U30" s="132">
        <v>2.3492039999999998</v>
      </c>
      <c r="V30" s="132">
        <v>0</v>
      </c>
      <c r="W30" s="132">
        <v>0</v>
      </c>
      <c r="X30" s="132">
        <v>3.6726570000000001</v>
      </c>
      <c r="Y30" s="132">
        <v>1.6910573</v>
      </c>
      <c r="Z30" s="132">
        <v>39.742495499999997</v>
      </c>
      <c r="AA30" s="132">
        <v>2141.1944677000001</v>
      </c>
    </row>
    <row r="31" spans="1:27" s="23" customFormat="1" x14ac:dyDescent="0.35">
      <c r="A31" s="41">
        <v>41942</v>
      </c>
      <c r="B31" s="132">
        <v>1610.1959999999999</v>
      </c>
      <c r="C31" s="132">
        <v>42.441738000000001</v>
      </c>
      <c r="D31" s="132">
        <v>535.89376430000004</v>
      </c>
      <c r="E31" s="132">
        <v>652.387293</v>
      </c>
      <c r="F31" s="132">
        <v>236.12880150000001</v>
      </c>
      <c r="G31" s="132">
        <v>0</v>
      </c>
      <c r="H31" s="132">
        <v>0.33580280000000001</v>
      </c>
      <c r="I31" s="132">
        <v>143.00865379999999</v>
      </c>
      <c r="J31" s="132">
        <v>0</v>
      </c>
      <c r="K31" s="132">
        <v>201.87786449999999</v>
      </c>
      <c r="L31" s="132">
        <v>308.2746113</v>
      </c>
      <c r="M31" s="132">
        <v>298.83125849999999</v>
      </c>
      <c r="N31" s="132">
        <v>9.4433527999999995</v>
      </c>
      <c r="O31" s="132">
        <v>2120.3485289999999</v>
      </c>
      <c r="P31" s="132">
        <v>1897.8452273</v>
      </c>
      <c r="Q31" s="132">
        <v>390.17984630000001</v>
      </c>
      <c r="R31" s="132">
        <v>672.64762350000001</v>
      </c>
      <c r="S31" s="132">
        <v>835.01775750000002</v>
      </c>
      <c r="T31" s="132">
        <v>222.50330170000001</v>
      </c>
      <c r="U31" s="132">
        <v>2.4957240000000001</v>
      </c>
      <c r="V31" s="132">
        <v>0</v>
      </c>
      <c r="W31" s="132">
        <v>0</v>
      </c>
      <c r="X31" s="132">
        <v>3.7131443000000002</v>
      </c>
      <c r="Y31" s="132">
        <v>1.7045714999999999</v>
      </c>
      <c r="Z31" s="132">
        <v>38.438439799999998</v>
      </c>
      <c r="AA31" s="132">
        <v>2120.3485289999999</v>
      </c>
    </row>
    <row r="32" spans="1:27" s="23" customFormat="1" x14ac:dyDescent="0.35">
      <c r="A32" s="41">
        <v>41943</v>
      </c>
      <c r="B32" s="132">
        <v>1682.501</v>
      </c>
      <c r="C32" s="131">
        <v>42.7828965</v>
      </c>
      <c r="D32" s="131">
        <v>616.43811149999999</v>
      </c>
      <c r="E32" s="131">
        <v>637.50932479999994</v>
      </c>
      <c r="F32" s="131">
        <v>242.45380349999999</v>
      </c>
      <c r="G32" s="131">
        <v>0</v>
      </c>
      <c r="H32" s="131">
        <v>0.38270029999999999</v>
      </c>
      <c r="I32" s="131">
        <v>142.9340895</v>
      </c>
      <c r="J32" s="131">
        <v>0</v>
      </c>
      <c r="K32" s="131">
        <v>201.10907850000001</v>
      </c>
      <c r="L32" s="131">
        <v>148.54255879999999</v>
      </c>
      <c r="M32" s="131">
        <v>139.09870649999999</v>
      </c>
      <c r="N32" s="131">
        <v>9.4438522000000003</v>
      </c>
      <c r="O32" s="131">
        <v>2032.1525633000001</v>
      </c>
      <c r="P32" s="131">
        <v>1901.3757487</v>
      </c>
      <c r="Q32" s="132">
        <v>389.80563749999999</v>
      </c>
      <c r="R32" s="132">
        <v>581.37762380000004</v>
      </c>
      <c r="S32" s="132">
        <v>930.19248749999997</v>
      </c>
      <c r="T32" s="132">
        <v>130.7768145</v>
      </c>
      <c r="U32" s="132">
        <v>2.1972173000000002</v>
      </c>
      <c r="V32" s="132">
        <v>0</v>
      </c>
      <c r="W32" s="132">
        <v>0</v>
      </c>
      <c r="X32" s="132">
        <v>3.5521943</v>
      </c>
      <c r="Y32" s="132">
        <v>1.730712</v>
      </c>
      <c r="Z32" s="132">
        <v>39.7472408</v>
      </c>
      <c r="AA32" s="132">
        <v>2032.1525633000001</v>
      </c>
    </row>
    <row r="33" spans="1:27" x14ac:dyDescent="0.35">
      <c r="A33" s="41">
        <v>41944</v>
      </c>
      <c r="B33" s="132">
        <v>1449.0550000000001</v>
      </c>
      <c r="C33" s="132">
        <v>144.525441</v>
      </c>
      <c r="D33" s="132">
        <v>555.56410200000005</v>
      </c>
      <c r="E33" s="132">
        <v>398.0208308</v>
      </c>
      <c r="F33" s="132">
        <v>251.70548700000001</v>
      </c>
      <c r="G33" s="132">
        <v>0</v>
      </c>
      <c r="H33" s="132">
        <v>0.3830055</v>
      </c>
      <c r="I33" s="132">
        <v>98.855795299999997</v>
      </c>
      <c r="J33" s="132">
        <v>0</v>
      </c>
      <c r="K33" s="132">
        <v>199.29836330000001</v>
      </c>
      <c r="L33" s="132">
        <v>-38.613903000000001</v>
      </c>
      <c r="M33" s="132">
        <v>-45.558506999999999</v>
      </c>
      <c r="N33" s="132">
        <v>6.944604</v>
      </c>
      <c r="O33" s="132">
        <v>1609.7391216999999</v>
      </c>
      <c r="P33" s="132">
        <v>1368.0127567</v>
      </c>
      <c r="Q33" s="132">
        <v>277.7989508</v>
      </c>
      <c r="R33" s="132">
        <v>423.522831</v>
      </c>
      <c r="S33" s="132">
        <v>666.69097499999998</v>
      </c>
      <c r="T33" s="132">
        <v>241.72636499999999</v>
      </c>
      <c r="U33" s="132">
        <v>1.94916</v>
      </c>
      <c r="V33" s="132">
        <v>0</v>
      </c>
      <c r="W33" s="132">
        <v>0</v>
      </c>
      <c r="X33" s="132">
        <v>2.9556247999999998</v>
      </c>
      <c r="Y33" s="132">
        <v>1.4219655</v>
      </c>
      <c r="Z33" s="132">
        <v>27.551864999999999</v>
      </c>
      <c r="AA33" s="132">
        <v>1609.7391216999999</v>
      </c>
    </row>
    <row r="34" spans="1:27" x14ac:dyDescent="0.35">
      <c r="A34" s="41">
        <v>41945</v>
      </c>
      <c r="B34" s="132">
        <v>1458.06</v>
      </c>
      <c r="C34" s="132">
        <v>153.50126180000001</v>
      </c>
      <c r="D34" s="132">
        <v>587.8116</v>
      </c>
      <c r="E34" s="132">
        <v>365.6724893</v>
      </c>
      <c r="F34" s="132">
        <v>251.8207883</v>
      </c>
      <c r="G34" s="132">
        <v>0</v>
      </c>
      <c r="H34" s="132">
        <v>0.38267250000000003</v>
      </c>
      <c r="I34" s="132">
        <v>98.871474000000006</v>
      </c>
      <c r="J34" s="132">
        <v>0</v>
      </c>
      <c r="K34" s="132">
        <v>198.65731049999999</v>
      </c>
      <c r="L34" s="132">
        <v>-49.7166225</v>
      </c>
      <c r="M34" s="132">
        <v>-55.789377000000002</v>
      </c>
      <c r="N34" s="132">
        <v>6.0727545000000003</v>
      </c>
      <c r="O34" s="132">
        <v>1607.0009738000001</v>
      </c>
      <c r="P34" s="132">
        <v>1530.8983192999999</v>
      </c>
      <c r="Q34" s="132">
        <v>321.7624988</v>
      </c>
      <c r="R34" s="132">
        <v>430.68188700000002</v>
      </c>
      <c r="S34" s="132">
        <v>778.45393349999995</v>
      </c>
      <c r="T34" s="132">
        <v>76.1026545</v>
      </c>
      <c r="U34" s="132">
        <v>1.9168035000000001</v>
      </c>
      <c r="V34" s="132">
        <v>0</v>
      </c>
      <c r="W34" s="132">
        <v>0</v>
      </c>
      <c r="X34" s="132">
        <v>2.8886362000000001</v>
      </c>
      <c r="Y34" s="132">
        <v>1.1490165000000001</v>
      </c>
      <c r="Z34" s="132">
        <v>27.045316499999998</v>
      </c>
      <c r="AA34" s="132">
        <v>1607.0009738000001</v>
      </c>
    </row>
    <row r="35" spans="1:27" x14ac:dyDescent="0.35">
      <c r="A35" s="41">
        <v>41946</v>
      </c>
      <c r="B35" s="132">
        <v>1609.742</v>
      </c>
      <c r="C35" s="132">
        <v>154.31788879999999</v>
      </c>
      <c r="D35" s="132">
        <v>661.05300750000004</v>
      </c>
      <c r="E35" s="132">
        <v>437.54951249999999</v>
      </c>
      <c r="F35" s="132">
        <v>257.54172829999999</v>
      </c>
      <c r="G35" s="132">
        <v>0</v>
      </c>
      <c r="H35" s="132">
        <v>0.38558629999999999</v>
      </c>
      <c r="I35" s="132">
        <v>98.894367799999998</v>
      </c>
      <c r="J35" s="132">
        <v>0</v>
      </c>
      <c r="K35" s="132">
        <v>198.1367205</v>
      </c>
      <c r="L35" s="132">
        <v>273.70496550000001</v>
      </c>
      <c r="M35" s="132">
        <v>252.48412429999999</v>
      </c>
      <c r="N35" s="132">
        <v>21.2208413</v>
      </c>
      <c r="O35" s="132">
        <v>2081.5837769999998</v>
      </c>
      <c r="P35" s="132">
        <v>1964.3235990000001</v>
      </c>
      <c r="Q35" s="132">
        <v>415.5466485</v>
      </c>
      <c r="R35" s="132">
        <v>583.23687380000001</v>
      </c>
      <c r="S35" s="132">
        <v>965.54007679999995</v>
      </c>
      <c r="T35" s="132">
        <v>117.260178</v>
      </c>
      <c r="U35" s="132">
        <v>2.0432047999999998</v>
      </c>
      <c r="V35" s="132">
        <v>0</v>
      </c>
      <c r="W35" s="132">
        <v>0</v>
      </c>
      <c r="X35" s="132">
        <v>3.4187723000000001</v>
      </c>
      <c r="Y35" s="132">
        <v>1.8030839999999999</v>
      </c>
      <c r="Z35" s="132">
        <v>36.803631799999998</v>
      </c>
      <c r="AA35" s="132">
        <v>2081.5837769999998</v>
      </c>
    </row>
    <row r="36" spans="1:27" x14ac:dyDescent="0.35">
      <c r="A36" s="41">
        <v>41947</v>
      </c>
      <c r="B36" s="132">
        <v>1450.6310000000001</v>
      </c>
      <c r="C36" s="132">
        <v>154.3546853</v>
      </c>
      <c r="D36" s="132">
        <v>590.33002350000004</v>
      </c>
      <c r="E36" s="132">
        <v>342.47396099999997</v>
      </c>
      <c r="F36" s="132">
        <v>264.13424029999999</v>
      </c>
      <c r="G36" s="132">
        <v>0</v>
      </c>
      <c r="H36" s="132">
        <v>0.50926800000000005</v>
      </c>
      <c r="I36" s="132">
        <v>98.829210799999998</v>
      </c>
      <c r="J36" s="132">
        <v>0</v>
      </c>
      <c r="K36" s="132">
        <v>198.99272479999999</v>
      </c>
      <c r="L36" s="132">
        <v>341.26386680000002</v>
      </c>
      <c r="M36" s="132">
        <v>321.4276395</v>
      </c>
      <c r="N36" s="132">
        <v>19.836227300000001</v>
      </c>
      <c r="O36" s="132">
        <v>1990.8879803</v>
      </c>
      <c r="P36" s="132">
        <v>1919.5319910000001</v>
      </c>
      <c r="Q36" s="132">
        <v>421.17673500000001</v>
      </c>
      <c r="R36" s="132">
        <v>531.79581080000003</v>
      </c>
      <c r="S36" s="132">
        <v>966.55944529999999</v>
      </c>
      <c r="T36" s="132">
        <v>71.355989300000005</v>
      </c>
      <c r="U36" s="132">
        <v>2.1515963</v>
      </c>
      <c r="V36" s="132">
        <v>0</v>
      </c>
      <c r="W36" s="132">
        <v>0</v>
      </c>
      <c r="X36" s="132">
        <v>3.3193163000000001</v>
      </c>
      <c r="Y36" s="132">
        <v>1.3684080000000001</v>
      </c>
      <c r="Z36" s="132">
        <v>38.6109893</v>
      </c>
      <c r="AA36" s="132">
        <v>1990.8879803</v>
      </c>
    </row>
    <row r="37" spans="1:27" x14ac:dyDescent="0.35">
      <c r="A37" s="41">
        <v>41948</v>
      </c>
      <c r="B37" s="132">
        <v>1452.549</v>
      </c>
      <c r="C37" s="132">
        <v>154.36431450000001</v>
      </c>
      <c r="D37" s="132">
        <v>584.92271400000004</v>
      </c>
      <c r="E37" s="132">
        <v>354.04215900000003</v>
      </c>
      <c r="F37" s="132">
        <v>259.78684199999998</v>
      </c>
      <c r="G37" s="132">
        <v>0</v>
      </c>
      <c r="H37" s="132">
        <v>0.51007270000000005</v>
      </c>
      <c r="I37" s="132">
        <v>98.922728300000003</v>
      </c>
      <c r="J37" s="132">
        <v>0</v>
      </c>
      <c r="K37" s="132">
        <v>197.13269779999999</v>
      </c>
      <c r="L37" s="132">
        <v>336.81773399999997</v>
      </c>
      <c r="M37" s="132">
        <v>320.12436079999998</v>
      </c>
      <c r="N37" s="132">
        <v>16.693373300000001</v>
      </c>
      <c r="O37" s="132">
        <v>1986.4992622</v>
      </c>
      <c r="P37" s="132">
        <v>1851.9853552</v>
      </c>
      <c r="Q37" s="132">
        <v>424.55144030000002</v>
      </c>
      <c r="R37" s="132">
        <v>521.47306049999997</v>
      </c>
      <c r="S37" s="132">
        <v>905.96085449999998</v>
      </c>
      <c r="T37" s="132">
        <v>134.51390699999999</v>
      </c>
      <c r="U37" s="132">
        <v>2.0442592999999998</v>
      </c>
      <c r="V37" s="132">
        <v>0</v>
      </c>
      <c r="W37" s="132">
        <v>0</v>
      </c>
      <c r="X37" s="132">
        <v>3.5624340000000001</v>
      </c>
      <c r="Y37" s="132">
        <v>1.271949</v>
      </c>
      <c r="Z37" s="132">
        <v>39.770051299999999</v>
      </c>
      <c r="AA37" s="132">
        <v>1986.4992622</v>
      </c>
    </row>
    <row r="38" spans="1:27" x14ac:dyDescent="0.35">
      <c r="A38" s="41">
        <v>41949</v>
      </c>
      <c r="B38" s="132">
        <v>1453.452</v>
      </c>
      <c r="C38" s="132">
        <v>153.55054580000001</v>
      </c>
      <c r="D38" s="132">
        <v>601.76285700000005</v>
      </c>
      <c r="E38" s="132">
        <v>344.728926</v>
      </c>
      <c r="F38" s="132">
        <v>254.02350000000001</v>
      </c>
      <c r="G38" s="132">
        <v>0</v>
      </c>
      <c r="H38" s="132">
        <v>0.45021600000000001</v>
      </c>
      <c r="I38" s="132">
        <v>98.936020499999998</v>
      </c>
      <c r="J38" s="132">
        <v>0</v>
      </c>
      <c r="K38" s="132">
        <v>198.05166679999999</v>
      </c>
      <c r="L38" s="132">
        <v>370.2094755</v>
      </c>
      <c r="M38" s="132">
        <v>351.58073400000001</v>
      </c>
      <c r="N38" s="132">
        <v>18.6287415</v>
      </c>
      <c r="O38" s="132">
        <v>2021.7132075</v>
      </c>
      <c r="P38" s="132">
        <v>1943.4949208</v>
      </c>
      <c r="Q38" s="132">
        <v>423.33846</v>
      </c>
      <c r="R38" s="132">
        <v>575.82171300000005</v>
      </c>
      <c r="S38" s="132">
        <v>944.33474769999998</v>
      </c>
      <c r="T38" s="132">
        <v>78.218286800000001</v>
      </c>
      <c r="U38" s="132">
        <v>1.8961574999999999</v>
      </c>
      <c r="V38" s="132">
        <v>0</v>
      </c>
      <c r="W38" s="132">
        <v>0</v>
      </c>
      <c r="X38" s="132">
        <v>3.9889792000000002</v>
      </c>
      <c r="Y38" s="132">
        <v>1.318791</v>
      </c>
      <c r="Z38" s="132">
        <v>39.793722000000002</v>
      </c>
      <c r="AA38" s="132">
        <v>2021.7132075</v>
      </c>
    </row>
    <row r="39" spans="1:27" x14ac:dyDescent="0.35">
      <c r="A39" s="41">
        <v>41950</v>
      </c>
      <c r="B39" s="132">
        <v>1477.5650000000001</v>
      </c>
      <c r="C39" s="132">
        <v>154.33265180000001</v>
      </c>
      <c r="D39" s="132">
        <v>591.29428050000001</v>
      </c>
      <c r="E39" s="132">
        <v>346.03245449999997</v>
      </c>
      <c r="F39" s="132">
        <v>253.58732549999999</v>
      </c>
      <c r="G39" s="132">
        <v>0</v>
      </c>
      <c r="H39" s="132">
        <v>0.38844450000000003</v>
      </c>
      <c r="I39" s="132">
        <v>131.9301045</v>
      </c>
      <c r="J39" s="132">
        <v>0</v>
      </c>
      <c r="K39" s="132">
        <v>200.36546179999999</v>
      </c>
      <c r="L39" s="132">
        <v>240.73985250000001</v>
      </c>
      <c r="M39" s="132">
        <v>222.09806850000001</v>
      </c>
      <c r="N39" s="132">
        <v>18.641784000000001</v>
      </c>
      <c r="O39" s="132">
        <v>1918.6705755</v>
      </c>
      <c r="P39" s="132">
        <v>1859.528499</v>
      </c>
      <c r="Q39" s="132">
        <v>408.03777600000001</v>
      </c>
      <c r="R39" s="132">
        <v>514.68219150000004</v>
      </c>
      <c r="S39" s="132">
        <v>936.80853149999996</v>
      </c>
      <c r="T39" s="132">
        <v>59.142076500000002</v>
      </c>
      <c r="U39" s="132">
        <v>1.9534335</v>
      </c>
      <c r="V39" s="132">
        <v>0</v>
      </c>
      <c r="W39" s="132">
        <v>0</v>
      </c>
      <c r="X39" s="132">
        <v>3.6539256999999998</v>
      </c>
      <c r="Y39" s="132">
        <v>1.4626748000000001</v>
      </c>
      <c r="Z39" s="132">
        <v>39.710111300000001</v>
      </c>
      <c r="AA39" s="132">
        <v>1918.6705755</v>
      </c>
    </row>
    <row r="40" spans="1:27" x14ac:dyDescent="0.35">
      <c r="A40" s="41">
        <v>41951</v>
      </c>
      <c r="B40" s="132">
        <v>1331.7629999999999</v>
      </c>
      <c r="C40" s="132">
        <v>154.54305220000001</v>
      </c>
      <c r="D40" s="132">
        <v>525.20399250000003</v>
      </c>
      <c r="E40" s="132">
        <v>320.92125750000002</v>
      </c>
      <c r="F40" s="132">
        <v>248.2263585</v>
      </c>
      <c r="G40" s="132">
        <v>0</v>
      </c>
      <c r="H40" s="132">
        <v>0.3875287</v>
      </c>
      <c r="I40" s="132">
        <v>82.480353800000003</v>
      </c>
      <c r="J40" s="132">
        <v>0</v>
      </c>
      <c r="K40" s="132">
        <v>201.47429629999999</v>
      </c>
      <c r="L40" s="132">
        <v>-13.842504699999999</v>
      </c>
      <c r="M40" s="132">
        <v>-24.106230799999999</v>
      </c>
      <c r="N40" s="132">
        <v>10.263726</v>
      </c>
      <c r="O40" s="132">
        <v>1519.3943348</v>
      </c>
      <c r="P40" s="132">
        <v>1464.2461215000001</v>
      </c>
      <c r="Q40" s="132">
        <v>338.6222333</v>
      </c>
      <c r="R40" s="132">
        <v>318.57832500000001</v>
      </c>
      <c r="S40" s="132">
        <v>807.04556330000003</v>
      </c>
      <c r="T40" s="132">
        <v>55.148213200000001</v>
      </c>
      <c r="U40" s="132">
        <v>2.0814442999999998</v>
      </c>
      <c r="V40" s="132">
        <v>0</v>
      </c>
      <c r="W40" s="132">
        <v>0</v>
      </c>
      <c r="X40" s="132">
        <v>2.9604533000000002</v>
      </c>
      <c r="Y40" s="132">
        <v>1.3715993</v>
      </c>
      <c r="Z40" s="132">
        <v>32.198436000000001</v>
      </c>
      <c r="AA40" s="132">
        <v>1519.3943348</v>
      </c>
    </row>
    <row r="41" spans="1:27" x14ac:dyDescent="0.35">
      <c r="A41" s="41">
        <v>41952</v>
      </c>
      <c r="B41" s="132">
        <v>1374.847</v>
      </c>
      <c r="C41" s="132">
        <v>151.13518579999999</v>
      </c>
      <c r="D41" s="132">
        <v>546.07920750000005</v>
      </c>
      <c r="E41" s="132">
        <v>351.46559930000001</v>
      </c>
      <c r="F41" s="132">
        <v>243.213987</v>
      </c>
      <c r="G41" s="132">
        <v>0</v>
      </c>
      <c r="H41" s="132">
        <v>0.38702920000000002</v>
      </c>
      <c r="I41" s="132">
        <v>82.565685000000002</v>
      </c>
      <c r="J41" s="132">
        <v>0</v>
      </c>
      <c r="K41" s="132">
        <v>200.20834120000001</v>
      </c>
      <c r="L41" s="132">
        <v>-111.7774718</v>
      </c>
      <c r="M41" s="132">
        <v>-116.7011543</v>
      </c>
      <c r="N41" s="132">
        <v>4.9236825</v>
      </c>
      <c r="O41" s="132">
        <v>1463.2775633000001</v>
      </c>
      <c r="P41" s="132">
        <v>1425.3377077</v>
      </c>
      <c r="Q41" s="132">
        <v>316.39736929999998</v>
      </c>
      <c r="R41" s="132">
        <v>343.5032918</v>
      </c>
      <c r="S41" s="132">
        <v>765.43704679999996</v>
      </c>
      <c r="T41" s="132">
        <v>37.9398555</v>
      </c>
      <c r="U41" s="132">
        <v>2.0867722999999998</v>
      </c>
      <c r="V41" s="132">
        <v>0</v>
      </c>
      <c r="W41" s="132">
        <v>0</v>
      </c>
      <c r="X41" s="132">
        <v>2.7435870000000002</v>
      </c>
      <c r="Y41" s="132">
        <v>0.81410179999999999</v>
      </c>
      <c r="Z41" s="132">
        <v>31.126675500000001</v>
      </c>
      <c r="AA41" s="132">
        <v>1463.2775633000001</v>
      </c>
    </row>
    <row r="42" spans="1:27" x14ac:dyDescent="0.35">
      <c r="A42" s="41">
        <v>41953</v>
      </c>
      <c r="B42" s="132">
        <v>1549.0709999999999</v>
      </c>
      <c r="C42" s="132">
        <v>153.969765</v>
      </c>
      <c r="D42" s="132">
        <v>586.55868750000002</v>
      </c>
      <c r="E42" s="132">
        <v>364.69036130000001</v>
      </c>
      <c r="F42" s="132">
        <v>245.67543979999999</v>
      </c>
      <c r="G42" s="132">
        <v>0</v>
      </c>
      <c r="H42" s="132">
        <v>0.29820150000000001</v>
      </c>
      <c r="I42" s="132">
        <v>197.8785622</v>
      </c>
      <c r="J42" s="132">
        <v>0</v>
      </c>
      <c r="K42" s="132">
        <v>202.47473919999999</v>
      </c>
      <c r="L42" s="132">
        <v>216.42605180000001</v>
      </c>
      <c r="M42" s="132">
        <v>208.36079169999999</v>
      </c>
      <c r="N42" s="132">
        <v>8.0652600000000003</v>
      </c>
      <c r="O42" s="132">
        <v>1967.9718081999999</v>
      </c>
      <c r="P42" s="132">
        <v>1943.3812012999999</v>
      </c>
      <c r="Q42" s="132">
        <v>411.21506779999999</v>
      </c>
      <c r="R42" s="132">
        <v>575.76138449999996</v>
      </c>
      <c r="S42" s="132">
        <v>956.40474900000004</v>
      </c>
      <c r="T42" s="132">
        <v>24.590606999999999</v>
      </c>
      <c r="U42" s="132">
        <v>2.1141337999999998</v>
      </c>
      <c r="V42" s="132">
        <v>0</v>
      </c>
      <c r="W42" s="132">
        <v>0</v>
      </c>
      <c r="X42" s="132">
        <v>3.6930532999999999</v>
      </c>
      <c r="Y42" s="132">
        <v>1.4306513000000001</v>
      </c>
      <c r="Z42" s="132">
        <v>41.259338300000003</v>
      </c>
      <c r="AA42" s="132">
        <v>1967.9718081999999</v>
      </c>
    </row>
    <row r="43" spans="1:27" x14ac:dyDescent="0.35">
      <c r="A43" s="41">
        <v>41954</v>
      </c>
      <c r="B43" s="132">
        <v>1514.9929999999999</v>
      </c>
      <c r="C43" s="132">
        <v>154.0883407</v>
      </c>
      <c r="D43" s="132">
        <v>590.24793899999997</v>
      </c>
      <c r="E43" s="132">
        <v>331.05247730000002</v>
      </c>
      <c r="F43" s="132">
        <v>241.238631</v>
      </c>
      <c r="G43" s="132">
        <v>0</v>
      </c>
      <c r="H43" s="132">
        <v>0.38350499999999998</v>
      </c>
      <c r="I43" s="132">
        <v>197.98248599999999</v>
      </c>
      <c r="J43" s="132">
        <v>0</v>
      </c>
      <c r="K43" s="132">
        <v>203.6641597</v>
      </c>
      <c r="L43" s="132">
        <v>228.48403719999999</v>
      </c>
      <c r="M43" s="132">
        <v>220.34723779999999</v>
      </c>
      <c r="N43" s="132">
        <v>8.1367995000000004</v>
      </c>
      <c r="O43" s="132">
        <v>1947.141576</v>
      </c>
      <c r="P43" s="132">
        <v>1940.7530819999999</v>
      </c>
      <c r="Q43" s="132">
        <v>423.93025649999998</v>
      </c>
      <c r="R43" s="132">
        <v>552.22924579999994</v>
      </c>
      <c r="S43" s="132">
        <v>964.59357980000004</v>
      </c>
      <c r="T43" s="132">
        <v>6.3884939999999997</v>
      </c>
      <c r="U43" s="132">
        <v>2.0659597999999999</v>
      </c>
      <c r="V43" s="132">
        <v>0</v>
      </c>
      <c r="W43" s="132">
        <v>0</v>
      </c>
      <c r="X43" s="132">
        <v>3.6099698</v>
      </c>
      <c r="Y43" s="132">
        <v>1.3082182</v>
      </c>
      <c r="Z43" s="132">
        <v>42.796882500000002</v>
      </c>
      <c r="AA43" s="132">
        <v>1947.141576</v>
      </c>
    </row>
    <row r="44" spans="1:27" x14ac:dyDescent="0.35">
      <c r="A44" s="41">
        <v>41955</v>
      </c>
      <c r="B44" s="132">
        <v>1550.076</v>
      </c>
      <c r="C44" s="132">
        <v>151.65713550000001</v>
      </c>
      <c r="D44" s="132">
        <v>602.53799779999997</v>
      </c>
      <c r="E44" s="132">
        <v>357.05300629999999</v>
      </c>
      <c r="F44" s="132">
        <v>240.28694479999999</v>
      </c>
      <c r="G44" s="132">
        <v>0</v>
      </c>
      <c r="H44" s="132">
        <v>0.48246149999999999</v>
      </c>
      <c r="I44" s="132">
        <v>198.05799379999999</v>
      </c>
      <c r="J44" s="132">
        <v>0</v>
      </c>
      <c r="K44" s="132">
        <v>203.51761200000001</v>
      </c>
      <c r="L44" s="132">
        <v>224.49444750000001</v>
      </c>
      <c r="M44" s="132">
        <v>217.82481820000001</v>
      </c>
      <c r="N44" s="132">
        <v>6.6696292000000001</v>
      </c>
      <c r="O44" s="132">
        <v>1978.087599</v>
      </c>
      <c r="P44" s="132">
        <v>1940.6475210000001</v>
      </c>
      <c r="Q44" s="132">
        <v>447.86349380000001</v>
      </c>
      <c r="R44" s="132">
        <v>653.87807850000002</v>
      </c>
      <c r="S44" s="132">
        <v>838.90594880000003</v>
      </c>
      <c r="T44" s="132">
        <v>37.440078</v>
      </c>
      <c r="U44" s="132">
        <v>1.8897195</v>
      </c>
      <c r="V44" s="132">
        <v>0</v>
      </c>
      <c r="W44" s="132">
        <v>0</v>
      </c>
      <c r="X44" s="132">
        <v>3.747582</v>
      </c>
      <c r="Y44" s="132">
        <v>1.2700065</v>
      </c>
      <c r="Z44" s="132">
        <v>42.294607499999998</v>
      </c>
      <c r="AA44" s="132">
        <v>1978.087599</v>
      </c>
    </row>
    <row r="45" spans="1:27" x14ac:dyDescent="0.35">
      <c r="A45" s="41">
        <v>41956</v>
      </c>
      <c r="B45" s="132">
        <v>1557.9090000000001</v>
      </c>
      <c r="C45" s="132">
        <v>150.16690500000001</v>
      </c>
      <c r="D45" s="132">
        <v>616.49588700000004</v>
      </c>
      <c r="E45" s="132">
        <v>350.8308735</v>
      </c>
      <c r="F45" s="132">
        <v>241.97927849999999</v>
      </c>
      <c r="G45" s="132">
        <v>0</v>
      </c>
      <c r="H45" s="132">
        <v>0.32184449999999998</v>
      </c>
      <c r="I45" s="132">
        <v>198.114576</v>
      </c>
      <c r="J45" s="132">
        <v>0</v>
      </c>
      <c r="K45" s="132">
        <v>203.32363950000001</v>
      </c>
      <c r="L45" s="132">
        <v>157.83237080000001</v>
      </c>
      <c r="M45" s="132">
        <v>149.93805080000001</v>
      </c>
      <c r="N45" s="132">
        <v>7.8943199999999996</v>
      </c>
      <c r="O45" s="132">
        <v>1919.0653748</v>
      </c>
      <c r="P45" s="132">
        <v>1944.438171</v>
      </c>
      <c r="Q45" s="132">
        <v>419.50135649999999</v>
      </c>
      <c r="R45" s="132">
        <v>566.53087430000005</v>
      </c>
      <c r="S45" s="132">
        <v>958.4059403</v>
      </c>
      <c r="T45" s="132">
        <v>-25.3727962</v>
      </c>
      <c r="U45" s="132">
        <v>2.0596328000000002</v>
      </c>
      <c r="V45" s="132">
        <v>0</v>
      </c>
      <c r="W45" s="132">
        <v>0</v>
      </c>
      <c r="X45" s="132">
        <v>3.7144206999999998</v>
      </c>
      <c r="Y45" s="132">
        <v>1.4015415</v>
      </c>
      <c r="Z45" s="132">
        <v>42.056345999999998</v>
      </c>
      <c r="AA45" s="132">
        <v>1919.0653748</v>
      </c>
    </row>
    <row r="46" spans="1:27" x14ac:dyDescent="0.35">
      <c r="A46" s="41">
        <v>41957</v>
      </c>
      <c r="B46" s="132">
        <v>1606.4590000000001</v>
      </c>
      <c r="C46" s="132">
        <v>152.0384205</v>
      </c>
      <c r="D46" s="132">
        <v>638.81790379999995</v>
      </c>
      <c r="E46" s="132">
        <v>375.60460280000001</v>
      </c>
      <c r="F46" s="132">
        <v>241.75430919999999</v>
      </c>
      <c r="G46" s="132">
        <v>0</v>
      </c>
      <c r="H46" s="132">
        <v>0.3025583</v>
      </c>
      <c r="I46" s="132">
        <v>197.94166569999999</v>
      </c>
      <c r="J46" s="132">
        <v>0</v>
      </c>
      <c r="K46" s="132">
        <v>205.38282820000001</v>
      </c>
      <c r="L46" s="132">
        <v>-11.9606108</v>
      </c>
      <c r="M46" s="132">
        <v>-21.332673799999998</v>
      </c>
      <c r="N46" s="132">
        <v>9.3720630000000007</v>
      </c>
      <c r="O46" s="132">
        <v>1799.8816778</v>
      </c>
      <c r="P46" s="132">
        <v>1820.1473917999999</v>
      </c>
      <c r="Q46" s="132">
        <v>395.3442877</v>
      </c>
      <c r="R46" s="132">
        <v>510.67603500000001</v>
      </c>
      <c r="S46" s="132">
        <v>914.12706900000001</v>
      </c>
      <c r="T46" s="132">
        <v>-20.265713999999999</v>
      </c>
      <c r="U46" s="132">
        <v>2.1350017999999999</v>
      </c>
      <c r="V46" s="132">
        <v>0</v>
      </c>
      <c r="W46" s="132">
        <v>0</v>
      </c>
      <c r="X46" s="132">
        <v>3.4549859999999999</v>
      </c>
      <c r="Y46" s="132">
        <v>1.382838</v>
      </c>
      <c r="Z46" s="132">
        <v>41.945568000000002</v>
      </c>
      <c r="AA46" s="132">
        <v>1799.8816778</v>
      </c>
    </row>
    <row r="47" spans="1:27" x14ac:dyDescent="0.35">
      <c r="A47" s="41">
        <v>41958</v>
      </c>
      <c r="B47" s="132">
        <v>1495.32</v>
      </c>
      <c r="C47" s="132">
        <v>150.50459470000001</v>
      </c>
      <c r="D47" s="132">
        <v>610.70745899999997</v>
      </c>
      <c r="E47" s="132">
        <v>321.54557699999998</v>
      </c>
      <c r="F47" s="132">
        <v>236.18002799999999</v>
      </c>
      <c r="G47" s="132">
        <v>0</v>
      </c>
      <c r="H47" s="132">
        <v>0.48118499999999997</v>
      </c>
      <c r="I47" s="132">
        <v>175.90145029999999</v>
      </c>
      <c r="J47" s="132">
        <v>0</v>
      </c>
      <c r="K47" s="132">
        <v>207.92816920000001</v>
      </c>
      <c r="L47" s="132">
        <v>-30.518118000000001</v>
      </c>
      <c r="M47" s="132">
        <v>-35.363739799999998</v>
      </c>
      <c r="N47" s="132">
        <v>4.8456218</v>
      </c>
      <c r="O47" s="132">
        <v>1672.7303453</v>
      </c>
      <c r="P47" s="132">
        <v>1562.1159869999999</v>
      </c>
      <c r="Q47" s="132">
        <v>345.38940380000003</v>
      </c>
      <c r="R47" s="132">
        <v>334.0984838</v>
      </c>
      <c r="S47" s="132">
        <v>882.62809949999996</v>
      </c>
      <c r="T47" s="132">
        <v>110.61435830000001</v>
      </c>
      <c r="U47" s="132">
        <v>2.0315219999999998</v>
      </c>
      <c r="V47" s="132">
        <v>0</v>
      </c>
      <c r="W47" s="132">
        <v>0</v>
      </c>
      <c r="X47" s="132">
        <v>3.6387187000000001</v>
      </c>
      <c r="Y47" s="132">
        <v>1.358196</v>
      </c>
      <c r="Z47" s="132">
        <v>35.248382999999997</v>
      </c>
      <c r="AA47" s="132">
        <v>1672.7303453</v>
      </c>
    </row>
    <row r="48" spans="1:27" x14ac:dyDescent="0.35">
      <c r="A48" s="41">
        <v>41959</v>
      </c>
      <c r="B48" s="132">
        <v>1485.3779999999999</v>
      </c>
      <c r="C48" s="132">
        <v>150.1856362</v>
      </c>
      <c r="D48" s="132">
        <v>608.30045170000005</v>
      </c>
      <c r="E48" s="132">
        <v>314.2756043</v>
      </c>
      <c r="F48" s="132">
        <v>236.32821300000001</v>
      </c>
      <c r="G48" s="132">
        <v>0</v>
      </c>
      <c r="H48" s="132">
        <v>0.38908280000000001</v>
      </c>
      <c r="I48" s="132">
        <v>175.89900829999999</v>
      </c>
      <c r="J48" s="132">
        <v>0</v>
      </c>
      <c r="K48" s="132">
        <v>203.165187</v>
      </c>
      <c r="L48" s="132">
        <v>-60.265729499999999</v>
      </c>
      <c r="M48" s="132">
        <v>-65.709114</v>
      </c>
      <c r="N48" s="132">
        <v>5.4433844999999996</v>
      </c>
      <c r="O48" s="132">
        <v>1628.2774537</v>
      </c>
      <c r="P48" s="132">
        <v>1521.590553</v>
      </c>
      <c r="Q48" s="132">
        <v>328.41561680000001</v>
      </c>
      <c r="R48" s="132">
        <v>338.13469350000003</v>
      </c>
      <c r="S48" s="132">
        <v>855.04024270000002</v>
      </c>
      <c r="T48" s="132">
        <v>106.6869007</v>
      </c>
      <c r="U48" s="132">
        <v>1.9481333000000001</v>
      </c>
      <c r="V48" s="132">
        <v>0</v>
      </c>
      <c r="W48" s="132">
        <v>0</v>
      </c>
      <c r="X48" s="132">
        <v>3.5990362999999999</v>
      </c>
      <c r="Y48" s="132">
        <v>1.3511753</v>
      </c>
      <c r="Z48" s="132">
        <v>33.847590799999999</v>
      </c>
      <c r="AA48" s="132">
        <v>1628.2774537</v>
      </c>
    </row>
    <row r="49" spans="1:27" x14ac:dyDescent="0.35">
      <c r="A49" s="41">
        <v>41960</v>
      </c>
      <c r="B49" s="132">
        <v>1625.4290000000001</v>
      </c>
      <c r="C49" s="132">
        <v>149.18918930000001</v>
      </c>
      <c r="D49" s="132">
        <v>626.54682600000001</v>
      </c>
      <c r="E49" s="132">
        <v>399.85163699999998</v>
      </c>
      <c r="F49" s="132">
        <v>240.40135799999999</v>
      </c>
      <c r="G49" s="132">
        <v>0</v>
      </c>
      <c r="H49" s="132">
        <v>0.39041480000000001</v>
      </c>
      <c r="I49" s="132">
        <v>209.0494913</v>
      </c>
      <c r="J49" s="132">
        <v>0</v>
      </c>
      <c r="K49" s="132">
        <v>209.20089530000001</v>
      </c>
      <c r="L49" s="132">
        <v>350.52676129999998</v>
      </c>
      <c r="M49" s="132">
        <v>341.6455125</v>
      </c>
      <c r="N49" s="132">
        <v>8.8812487000000004</v>
      </c>
      <c r="O49" s="132">
        <v>2185.1565728</v>
      </c>
      <c r="P49" s="132">
        <v>2145.1734293</v>
      </c>
      <c r="Q49" s="132">
        <v>427.87977530000001</v>
      </c>
      <c r="R49" s="132">
        <v>560.24477779999995</v>
      </c>
      <c r="S49" s="132">
        <v>1157.0488763000001</v>
      </c>
      <c r="T49" s="132">
        <v>39.983143499999997</v>
      </c>
      <c r="U49" s="132">
        <v>2.1456577999999999</v>
      </c>
      <c r="V49" s="132">
        <v>0</v>
      </c>
      <c r="W49" s="132">
        <v>0</v>
      </c>
      <c r="X49" s="132">
        <v>4.6961602999999998</v>
      </c>
      <c r="Y49" s="132">
        <v>1.8337478</v>
      </c>
      <c r="Z49" s="132">
        <v>44.6980073</v>
      </c>
      <c r="AA49" s="132">
        <v>2185.1565728</v>
      </c>
    </row>
    <row r="50" spans="1:27" x14ac:dyDescent="0.35">
      <c r="A50" s="41">
        <v>41961</v>
      </c>
      <c r="B50" s="132">
        <v>1573.134</v>
      </c>
      <c r="C50" s="132">
        <v>149.98317230000001</v>
      </c>
      <c r="D50" s="132">
        <v>616.89434930000004</v>
      </c>
      <c r="E50" s="132">
        <v>356.322765</v>
      </c>
      <c r="F50" s="132">
        <v>240.6697005</v>
      </c>
      <c r="G50" s="132">
        <v>0</v>
      </c>
      <c r="H50" s="132">
        <v>0.39127499999999998</v>
      </c>
      <c r="I50" s="132">
        <v>208.8722798</v>
      </c>
      <c r="J50" s="132">
        <v>0</v>
      </c>
      <c r="K50" s="132">
        <v>206.24346679999999</v>
      </c>
      <c r="L50" s="132">
        <v>401.55668029999998</v>
      </c>
      <c r="M50" s="132">
        <v>390.12728779999998</v>
      </c>
      <c r="N50" s="132">
        <v>11.429392500000001</v>
      </c>
      <c r="O50" s="132">
        <v>2180.9336886999999</v>
      </c>
      <c r="P50" s="132">
        <v>2172.0997536999998</v>
      </c>
      <c r="Q50" s="132">
        <v>437.62160699999998</v>
      </c>
      <c r="R50" s="132">
        <v>555.63966530000005</v>
      </c>
      <c r="S50" s="132">
        <v>1178.8384814999999</v>
      </c>
      <c r="T50" s="132">
        <v>8.8339350000000003</v>
      </c>
      <c r="U50" s="132">
        <v>2.1940814999999998</v>
      </c>
      <c r="V50" s="132">
        <v>0</v>
      </c>
      <c r="W50" s="132">
        <v>0</v>
      </c>
      <c r="X50" s="132">
        <v>4.8223950000000002</v>
      </c>
      <c r="Y50" s="132">
        <v>1.8474839999999999</v>
      </c>
      <c r="Z50" s="132">
        <v>45.410654999999998</v>
      </c>
      <c r="AA50" s="132">
        <v>2180.9336886999999</v>
      </c>
    </row>
    <row r="51" spans="1:27" x14ac:dyDescent="0.35">
      <c r="A51" s="41">
        <v>41962</v>
      </c>
      <c r="B51" s="132">
        <v>1609.2</v>
      </c>
      <c r="C51" s="132">
        <v>145.37583979999999</v>
      </c>
      <c r="D51" s="132">
        <v>631.2164573</v>
      </c>
      <c r="E51" s="132">
        <v>381.70782680000002</v>
      </c>
      <c r="F51" s="132">
        <v>241.87399500000001</v>
      </c>
      <c r="G51" s="132">
        <v>0</v>
      </c>
      <c r="H51" s="132">
        <v>0.24017630000000001</v>
      </c>
      <c r="I51" s="132">
        <v>208.78522799999999</v>
      </c>
      <c r="J51" s="132">
        <v>0</v>
      </c>
      <c r="K51" s="132">
        <v>209.12896720000001</v>
      </c>
      <c r="L51" s="132">
        <v>472.41913579999999</v>
      </c>
      <c r="M51" s="132">
        <v>459.06830550000001</v>
      </c>
      <c r="N51" s="132">
        <v>13.3508303</v>
      </c>
      <c r="O51" s="132">
        <v>2290.7476259999999</v>
      </c>
      <c r="P51" s="132">
        <v>2229.7965825000001</v>
      </c>
      <c r="Q51" s="132">
        <v>439.71465080000002</v>
      </c>
      <c r="R51" s="132">
        <v>552.06180229999995</v>
      </c>
      <c r="S51" s="132">
        <v>1238.0201294999999</v>
      </c>
      <c r="T51" s="132">
        <v>60.951043499999997</v>
      </c>
      <c r="U51" s="132">
        <v>2.4386423000000002</v>
      </c>
      <c r="V51" s="132">
        <v>0</v>
      </c>
      <c r="W51" s="132">
        <v>0</v>
      </c>
      <c r="X51" s="132">
        <v>4.9618665000000002</v>
      </c>
      <c r="Y51" s="132">
        <v>1.8547267999999999</v>
      </c>
      <c r="Z51" s="132">
        <v>47.196506300000003</v>
      </c>
      <c r="AA51" s="132">
        <v>2290.7476259999999</v>
      </c>
    </row>
    <row r="52" spans="1:27" x14ac:dyDescent="0.35">
      <c r="A52" s="41">
        <v>41963</v>
      </c>
      <c r="B52" s="132">
        <v>1611.3420000000001</v>
      </c>
      <c r="C52" s="132">
        <v>139.88319899999999</v>
      </c>
      <c r="D52" s="132">
        <v>626.56081200000006</v>
      </c>
      <c r="E52" s="132">
        <v>393.7047622</v>
      </c>
      <c r="F52" s="132">
        <v>242.14752680000001</v>
      </c>
      <c r="G52" s="132">
        <v>0</v>
      </c>
      <c r="H52" s="132">
        <v>0.26578950000000001</v>
      </c>
      <c r="I52" s="132">
        <v>208.780011</v>
      </c>
      <c r="J52" s="132">
        <v>0</v>
      </c>
      <c r="K52" s="132">
        <v>208.04199980000001</v>
      </c>
      <c r="L52" s="132">
        <v>616.02061279999998</v>
      </c>
      <c r="M52" s="132">
        <v>591.73778100000004</v>
      </c>
      <c r="N52" s="132">
        <v>24.2828318</v>
      </c>
      <c r="O52" s="132">
        <v>2435.4047129999999</v>
      </c>
      <c r="P52" s="132">
        <v>2324.1659798000001</v>
      </c>
      <c r="Q52" s="132">
        <v>433.13337749999999</v>
      </c>
      <c r="R52" s="132">
        <v>574.35995400000002</v>
      </c>
      <c r="S52" s="132">
        <v>1316.6726483</v>
      </c>
      <c r="T52" s="132">
        <v>111.2387332</v>
      </c>
      <c r="U52" s="132">
        <v>2.6547592999999998</v>
      </c>
      <c r="V52" s="132">
        <v>0</v>
      </c>
      <c r="W52" s="132">
        <v>0</v>
      </c>
      <c r="X52" s="132">
        <v>5.1644693000000004</v>
      </c>
      <c r="Y52" s="132">
        <v>1.9949197999999999</v>
      </c>
      <c r="Z52" s="132">
        <v>50.450721000000001</v>
      </c>
      <c r="AA52" s="132">
        <v>2435.4047129999999</v>
      </c>
    </row>
    <row r="53" spans="1:27" x14ac:dyDescent="0.35">
      <c r="A53" s="41">
        <v>41964</v>
      </c>
      <c r="B53" s="132">
        <v>1697.5519999999999</v>
      </c>
      <c r="C53" s="132">
        <v>142.67063099999999</v>
      </c>
      <c r="D53" s="132">
        <v>662.61871799999994</v>
      </c>
      <c r="E53" s="132">
        <v>445.9563473</v>
      </c>
      <c r="F53" s="132">
        <v>237.1119563</v>
      </c>
      <c r="G53" s="132">
        <v>0</v>
      </c>
      <c r="H53" s="132">
        <v>0.39044250000000003</v>
      </c>
      <c r="I53" s="132">
        <v>208.80434779999999</v>
      </c>
      <c r="J53" s="132">
        <v>0</v>
      </c>
      <c r="K53" s="132">
        <v>212.50192430000001</v>
      </c>
      <c r="L53" s="132">
        <v>490.19550820000001</v>
      </c>
      <c r="M53" s="132">
        <v>468.86197429999999</v>
      </c>
      <c r="N53" s="132">
        <v>21.333534</v>
      </c>
      <c r="O53" s="132">
        <v>2400.2498753</v>
      </c>
      <c r="P53" s="132">
        <v>2166.6150217999998</v>
      </c>
      <c r="Q53" s="132">
        <v>414.65917569999999</v>
      </c>
      <c r="R53" s="132">
        <v>637.82015249999995</v>
      </c>
      <c r="S53" s="132">
        <v>1114.1356934999999</v>
      </c>
      <c r="T53" s="132">
        <v>233.63485349999999</v>
      </c>
      <c r="U53" s="132">
        <v>2.7317931999999998</v>
      </c>
      <c r="V53" s="132">
        <v>0</v>
      </c>
      <c r="W53" s="132">
        <v>0</v>
      </c>
      <c r="X53" s="132">
        <v>5.1039187999999998</v>
      </c>
      <c r="Y53" s="132">
        <v>1.8571409999999999</v>
      </c>
      <c r="Z53" s="132">
        <v>52.3442145</v>
      </c>
      <c r="AA53" s="132">
        <v>2400.2498753</v>
      </c>
    </row>
    <row r="54" spans="1:27" x14ac:dyDescent="0.35">
      <c r="A54" s="41">
        <v>41965</v>
      </c>
      <c r="B54" s="132">
        <v>1541.4680000000001</v>
      </c>
      <c r="C54" s="132">
        <v>143.50912500000001</v>
      </c>
      <c r="D54" s="132">
        <v>633.38178979999998</v>
      </c>
      <c r="E54" s="132">
        <v>352.435767</v>
      </c>
      <c r="F54" s="132">
        <v>235.97465030000001</v>
      </c>
      <c r="G54" s="132">
        <v>0</v>
      </c>
      <c r="H54" s="132">
        <v>0.39191330000000002</v>
      </c>
      <c r="I54" s="132">
        <v>175.77463280000001</v>
      </c>
      <c r="J54" s="132">
        <v>0</v>
      </c>
      <c r="K54" s="132">
        <v>211.0014817</v>
      </c>
      <c r="L54" s="132">
        <v>262.64881050000002</v>
      </c>
      <c r="M54" s="132">
        <v>249.93792300000001</v>
      </c>
      <c r="N54" s="132">
        <v>12.7108875</v>
      </c>
      <c r="O54" s="132">
        <v>2015.1181703</v>
      </c>
      <c r="P54" s="132">
        <v>1925.049135</v>
      </c>
      <c r="Q54" s="132">
        <v>350.44911680000001</v>
      </c>
      <c r="R54" s="132">
        <v>413.90876029999998</v>
      </c>
      <c r="S54" s="132">
        <v>1160.6912580000001</v>
      </c>
      <c r="T54" s="132">
        <v>90.069035299999996</v>
      </c>
      <c r="U54" s="132">
        <v>2.6005634999999998</v>
      </c>
      <c r="V54" s="132">
        <v>0</v>
      </c>
      <c r="W54" s="132">
        <v>0</v>
      </c>
      <c r="X54" s="132">
        <v>4.5305483000000004</v>
      </c>
      <c r="Y54" s="132">
        <v>1.7977559999999999</v>
      </c>
      <c r="Z54" s="132">
        <v>42.6647648</v>
      </c>
      <c r="AA54" s="132">
        <v>2015.1181703</v>
      </c>
    </row>
    <row r="55" spans="1:27" x14ac:dyDescent="0.35">
      <c r="A55" s="41">
        <v>41966</v>
      </c>
      <c r="B55" s="132">
        <v>1458.63</v>
      </c>
      <c r="C55" s="132">
        <v>153.45283800000001</v>
      </c>
      <c r="D55" s="132">
        <v>629.08439699999997</v>
      </c>
      <c r="E55" s="132">
        <v>324.8295675</v>
      </c>
      <c r="F55" s="132">
        <v>252.05233430000001</v>
      </c>
      <c r="G55" s="132">
        <v>0</v>
      </c>
      <c r="H55" s="132">
        <v>0.39027600000000001</v>
      </c>
      <c r="I55" s="132">
        <v>98.820635999999993</v>
      </c>
      <c r="J55" s="132">
        <v>0</v>
      </c>
      <c r="K55" s="132">
        <v>212.85723519999999</v>
      </c>
      <c r="L55" s="132">
        <v>276.880065</v>
      </c>
      <c r="M55" s="132">
        <v>253.75352029999999</v>
      </c>
      <c r="N55" s="132">
        <v>23.1265447</v>
      </c>
      <c r="O55" s="132">
        <v>1948.3673490000001</v>
      </c>
      <c r="P55" s="132">
        <v>1806.9433590000001</v>
      </c>
      <c r="Q55" s="132">
        <v>332.01798300000002</v>
      </c>
      <c r="R55" s="132">
        <v>375.74704350000002</v>
      </c>
      <c r="S55" s="132">
        <v>1099.1783324999999</v>
      </c>
      <c r="T55" s="132">
        <v>141.42399</v>
      </c>
      <c r="U55" s="132">
        <v>2.2304062999999998</v>
      </c>
      <c r="V55" s="132">
        <v>0</v>
      </c>
      <c r="W55" s="132">
        <v>0</v>
      </c>
      <c r="X55" s="132">
        <v>4.0893788000000004</v>
      </c>
      <c r="Y55" s="132">
        <v>1.6588118000000001</v>
      </c>
      <c r="Z55" s="132">
        <v>39.899338499999999</v>
      </c>
      <c r="AA55" s="132">
        <v>1948.3673490000001</v>
      </c>
    </row>
    <row r="56" spans="1:27" x14ac:dyDescent="0.35">
      <c r="A56" s="41">
        <v>41967</v>
      </c>
      <c r="B56" s="132">
        <v>1513.5029999999999</v>
      </c>
      <c r="C56" s="132">
        <v>143.94541050000001</v>
      </c>
      <c r="D56" s="132">
        <v>574.87113680000004</v>
      </c>
      <c r="E56" s="132">
        <v>420.8163735</v>
      </c>
      <c r="F56" s="132">
        <v>241.61003700000001</v>
      </c>
      <c r="G56" s="132">
        <v>0</v>
      </c>
      <c r="H56" s="132">
        <v>0.39005400000000001</v>
      </c>
      <c r="I56" s="132">
        <v>131.8698315</v>
      </c>
      <c r="J56" s="132">
        <v>0</v>
      </c>
      <c r="K56" s="132">
        <v>213.76954420000001</v>
      </c>
      <c r="L56" s="132">
        <v>641.02461149999999</v>
      </c>
      <c r="M56" s="132">
        <v>600.50123099999996</v>
      </c>
      <c r="N56" s="132">
        <v>40.523380500000002</v>
      </c>
      <c r="O56" s="132">
        <v>2368.2969990000001</v>
      </c>
      <c r="P56" s="132">
        <v>2331.8578911999998</v>
      </c>
      <c r="Q56" s="132">
        <v>428.99510329999998</v>
      </c>
      <c r="R56" s="132">
        <v>609.29989579999994</v>
      </c>
      <c r="S56" s="132">
        <v>1293.5628922999999</v>
      </c>
      <c r="T56" s="132">
        <v>36.439107800000002</v>
      </c>
      <c r="U56" s="132">
        <v>2.8211205000000001</v>
      </c>
      <c r="V56" s="132">
        <v>0</v>
      </c>
      <c r="W56" s="132">
        <v>0</v>
      </c>
      <c r="X56" s="132">
        <v>4.3730114999999996</v>
      </c>
      <c r="Y56" s="132">
        <v>1.9145557</v>
      </c>
      <c r="Z56" s="132">
        <v>52.181377500000004</v>
      </c>
      <c r="AA56" s="132">
        <v>2368.2969990000001</v>
      </c>
    </row>
    <row r="57" spans="1:27" x14ac:dyDescent="0.35">
      <c r="A57" s="41">
        <v>41968</v>
      </c>
      <c r="B57" s="132">
        <v>1569.3489999999999</v>
      </c>
      <c r="C57" s="132">
        <v>154.1092088</v>
      </c>
      <c r="D57" s="132">
        <v>654.53012020000006</v>
      </c>
      <c r="E57" s="132">
        <v>377.84760749999998</v>
      </c>
      <c r="F57" s="132">
        <v>250.68434250000001</v>
      </c>
      <c r="G57" s="132">
        <v>0</v>
      </c>
      <c r="H57" s="132">
        <v>0.37975880000000001</v>
      </c>
      <c r="I57" s="132">
        <v>131.79807</v>
      </c>
      <c r="J57" s="132">
        <v>0</v>
      </c>
      <c r="K57" s="132">
        <v>214.90424179999999</v>
      </c>
      <c r="L57" s="132">
        <v>666.3813682</v>
      </c>
      <c r="M57" s="132">
        <v>621.66526799999997</v>
      </c>
      <c r="N57" s="132">
        <v>44.716100300000001</v>
      </c>
      <c r="O57" s="132">
        <v>2450.6347176999998</v>
      </c>
      <c r="P57" s="132">
        <v>2319.5908650000001</v>
      </c>
      <c r="Q57" s="132">
        <v>435.48249829999997</v>
      </c>
      <c r="R57" s="132">
        <v>603.44231479999996</v>
      </c>
      <c r="S57" s="132">
        <v>1280.666052</v>
      </c>
      <c r="T57" s="132">
        <v>131.0438527</v>
      </c>
      <c r="U57" s="132">
        <v>2.8712369999999998</v>
      </c>
      <c r="V57" s="132">
        <v>0</v>
      </c>
      <c r="W57" s="132">
        <v>0</v>
      </c>
      <c r="X57" s="132">
        <v>4.1806207999999998</v>
      </c>
      <c r="Y57" s="132">
        <v>1.8626355000000001</v>
      </c>
      <c r="Z57" s="132">
        <v>53.725026800000002</v>
      </c>
      <c r="AA57" s="132">
        <v>2450.6347176999998</v>
      </c>
    </row>
    <row r="58" spans="1:27" x14ac:dyDescent="0.35">
      <c r="A58" s="41">
        <v>41969</v>
      </c>
      <c r="B58" s="132">
        <v>1596.1210000000001</v>
      </c>
      <c r="C58" s="132">
        <v>151.64487</v>
      </c>
      <c r="D58" s="132">
        <v>651.06475579999994</v>
      </c>
      <c r="E58" s="132">
        <v>414.140445</v>
      </c>
      <c r="F58" s="132">
        <v>247.26742949999999</v>
      </c>
      <c r="G58" s="132">
        <v>0</v>
      </c>
      <c r="H58" s="132">
        <v>0.279387</v>
      </c>
      <c r="I58" s="132">
        <v>131.72403299999999</v>
      </c>
      <c r="J58" s="132">
        <v>0</v>
      </c>
      <c r="K58" s="132">
        <v>203.8248878</v>
      </c>
      <c r="L58" s="132">
        <v>726.49380680000002</v>
      </c>
      <c r="M58" s="132">
        <v>679.32807519999994</v>
      </c>
      <c r="N58" s="132">
        <v>47.1657315</v>
      </c>
      <c r="O58" s="132">
        <v>2526.4396148000001</v>
      </c>
      <c r="P58" s="132">
        <v>2430.0907545</v>
      </c>
      <c r="Q58" s="132">
        <v>427.2468255</v>
      </c>
      <c r="R58" s="132">
        <v>624.88251979999995</v>
      </c>
      <c r="S58" s="132">
        <v>1377.9614093</v>
      </c>
      <c r="T58" s="132">
        <v>96.348860299999998</v>
      </c>
      <c r="U58" s="132">
        <v>2.9093654999999998</v>
      </c>
      <c r="V58" s="132">
        <v>0</v>
      </c>
      <c r="W58" s="132">
        <v>0</v>
      </c>
      <c r="X58" s="132">
        <v>5.4615885000000004</v>
      </c>
      <c r="Y58" s="132">
        <v>0.82955849999999998</v>
      </c>
      <c r="Z58" s="132">
        <v>54.162866299999997</v>
      </c>
      <c r="AA58" s="132">
        <v>2526.4396148000001</v>
      </c>
    </row>
    <row r="59" spans="1:27" x14ac:dyDescent="0.35">
      <c r="A59" s="41">
        <v>41970</v>
      </c>
      <c r="B59" s="132">
        <v>1526.944</v>
      </c>
      <c r="C59" s="132">
        <v>145.692939</v>
      </c>
      <c r="D59" s="132">
        <v>650.70841800000005</v>
      </c>
      <c r="E59" s="132">
        <v>426.12075829999998</v>
      </c>
      <c r="F59" s="132">
        <v>172.3772003</v>
      </c>
      <c r="G59" s="132">
        <v>0</v>
      </c>
      <c r="H59" s="132">
        <v>0.25943480000000002</v>
      </c>
      <c r="I59" s="132">
        <v>131.78475</v>
      </c>
      <c r="J59" s="132">
        <v>0</v>
      </c>
      <c r="K59" s="132">
        <v>218.213346</v>
      </c>
      <c r="L59" s="132">
        <v>708.15413699999999</v>
      </c>
      <c r="M59" s="132">
        <v>659.80653299999994</v>
      </c>
      <c r="N59" s="132">
        <v>48.347603999999997</v>
      </c>
      <c r="O59" s="132">
        <v>2453.3109832</v>
      </c>
      <c r="P59" s="132">
        <v>2420.5557158000001</v>
      </c>
      <c r="Q59" s="132">
        <v>431.78969469999998</v>
      </c>
      <c r="R59" s="132">
        <v>660.85545520000005</v>
      </c>
      <c r="S59" s="132">
        <v>1327.9105658000001</v>
      </c>
      <c r="T59" s="132">
        <v>32.755267500000002</v>
      </c>
      <c r="U59" s="132">
        <v>2.9072010000000001</v>
      </c>
      <c r="V59" s="132">
        <v>0</v>
      </c>
      <c r="W59" s="132">
        <v>0</v>
      </c>
      <c r="X59" s="132">
        <v>4.7216624999999999</v>
      </c>
      <c r="Y59" s="132">
        <v>2.0081009999999999</v>
      </c>
      <c r="Z59" s="132">
        <v>51.6422782</v>
      </c>
      <c r="AA59" s="132">
        <v>2453.3109832</v>
      </c>
    </row>
    <row r="60" spans="1:27" x14ac:dyDescent="0.35">
      <c r="A60" s="41">
        <v>41971</v>
      </c>
      <c r="B60" s="132">
        <v>1553.625</v>
      </c>
      <c r="C60" s="132">
        <v>130.17547200000001</v>
      </c>
      <c r="D60" s="132">
        <v>653.58476099999996</v>
      </c>
      <c r="E60" s="132">
        <v>386.06837849999999</v>
      </c>
      <c r="F60" s="132">
        <v>251.64468669999999</v>
      </c>
      <c r="G60" s="132">
        <v>0</v>
      </c>
      <c r="H60" s="132">
        <v>0.20224200000000001</v>
      </c>
      <c r="I60" s="132">
        <v>131.9491688</v>
      </c>
      <c r="J60" s="132">
        <v>0</v>
      </c>
      <c r="K60" s="132">
        <v>211.64916679999999</v>
      </c>
      <c r="L60" s="132">
        <v>596.70011929999998</v>
      </c>
      <c r="M60" s="132">
        <v>546.46701370000005</v>
      </c>
      <c r="N60" s="132">
        <v>50.233105500000001</v>
      </c>
      <c r="O60" s="132">
        <v>2361.9739949999998</v>
      </c>
      <c r="P60" s="132">
        <v>2275.168443</v>
      </c>
      <c r="Q60" s="132">
        <v>419.29173300000002</v>
      </c>
      <c r="R60" s="132">
        <v>574.41611999999998</v>
      </c>
      <c r="S60" s="132">
        <v>1281.4605899999999</v>
      </c>
      <c r="T60" s="132">
        <v>86.805552000000006</v>
      </c>
      <c r="U60" s="132">
        <v>2.7865440000000001</v>
      </c>
      <c r="V60" s="132">
        <v>0</v>
      </c>
      <c r="W60" s="132">
        <v>0</v>
      </c>
      <c r="X60" s="132">
        <v>4.3840838</v>
      </c>
      <c r="Y60" s="132">
        <v>2.0541383</v>
      </c>
      <c r="Z60" s="132">
        <v>50.9801632</v>
      </c>
      <c r="AA60" s="132">
        <v>2361.9739949999998</v>
      </c>
    </row>
    <row r="61" spans="1:27" x14ac:dyDescent="0.35">
      <c r="A61" s="41">
        <v>41972</v>
      </c>
      <c r="B61" s="132">
        <v>1424.451</v>
      </c>
      <c r="C61" s="132">
        <v>129.55217930000001</v>
      </c>
      <c r="D61" s="132">
        <v>649.49274600000001</v>
      </c>
      <c r="E61" s="132">
        <v>297.33897450000001</v>
      </c>
      <c r="F61" s="132">
        <v>248.85517350000001</v>
      </c>
      <c r="G61" s="132">
        <v>0</v>
      </c>
      <c r="H61" s="132">
        <v>0.31568400000000002</v>
      </c>
      <c r="I61" s="132">
        <v>98.896643299999994</v>
      </c>
      <c r="J61" s="132">
        <v>0</v>
      </c>
      <c r="K61" s="132">
        <v>211.55609329999999</v>
      </c>
      <c r="L61" s="132">
        <v>227.09942330000001</v>
      </c>
      <c r="M61" s="132">
        <v>214.254975</v>
      </c>
      <c r="N61" s="132">
        <v>12.8444483</v>
      </c>
      <c r="O61" s="132">
        <v>1863.1069170000001</v>
      </c>
      <c r="P61" s="132">
        <v>1801.848348</v>
      </c>
      <c r="Q61" s="132">
        <v>342.72565350000002</v>
      </c>
      <c r="R61" s="132">
        <v>382.6234935</v>
      </c>
      <c r="S61" s="132">
        <v>1076.4992010000001</v>
      </c>
      <c r="T61" s="132">
        <v>61.258569000000001</v>
      </c>
      <c r="U61" s="132">
        <v>2.5798619999999999</v>
      </c>
      <c r="V61" s="132">
        <v>0</v>
      </c>
      <c r="W61" s="132">
        <v>0</v>
      </c>
      <c r="X61" s="132">
        <v>3.5412607999999999</v>
      </c>
      <c r="Y61" s="132">
        <v>1.754688</v>
      </c>
      <c r="Z61" s="132">
        <v>43.700477999999997</v>
      </c>
      <c r="AA61" s="132">
        <v>1863.1069170000001</v>
      </c>
    </row>
    <row r="62" spans="1:27" x14ac:dyDescent="0.35">
      <c r="A62" s="41">
        <v>41973</v>
      </c>
      <c r="B62" s="132">
        <v>1391.7059999999999</v>
      </c>
      <c r="C62" s="132">
        <v>118.0937603</v>
      </c>
      <c r="D62" s="132">
        <v>636.97322250000002</v>
      </c>
      <c r="E62" s="132">
        <v>297.4923488</v>
      </c>
      <c r="F62" s="132">
        <v>246.39710629999999</v>
      </c>
      <c r="G62" s="132">
        <v>0</v>
      </c>
      <c r="H62" s="132">
        <v>0.51759299999999997</v>
      </c>
      <c r="I62" s="132">
        <v>92.232203299999995</v>
      </c>
      <c r="J62" s="132">
        <v>0</v>
      </c>
      <c r="K62" s="132">
        <v>210.62133449999999</v>
      </c>
      <c r="L62" s="132">
        <v>136.0314712</v>
      </c>
      <c r="M62" s="132">
        <v>106.1922015</v>
      </c>
      <c r="N62" s="132">
        <v>29.8392698</v>
      </c>
      <c r="O62" s="132">
        <v>1738.3590397</v>
      </c>
      <c r="P62" s="132">
        <v>1653.3459713</v>
      </c>
      <c r="Q62" s="132">
        <v>319.19634530000002</v>
      </c>
      <c r="R62" s="132">
        <v>347.16673580000003</v>
      </c>
      <c r="S62" s="132">
        <v>986.98289030000001</v>
      </c>
      <c r="T62" s="132">
        <v>85.013068500000003</v>
      </c>
      <c r="U62" s="132">
        <v>2.3881095000000001</v>
      </c>
      <c r="V62" s="132">
        <v>0</v>
      </c>
      <c r="W62" s="132">
        <v>0</v>
      </c>
      <c r="X62" s="132">
        <v>3.4337572999999999</v>
      </c>
      <c r="Y62" s="132">
        <v>1.6562033</v>
      </c>
      <c r="Z62" s="132">
        <v>41.096390300000003</v>
      </c>
      <c r="AA62" s="132">
        <v>1738.3590397</v>
      </c>
    </row>
    <row r="63" spans="1:27" x14ac:dyDescent="0.35">
      <c r="A63" s="41">
        <v>41974</v>
      </c>
      <c r="B63">
        <v>1574.2460000000001</v>
      </c>
      <c r="C63" s="132">
        <v>141.83654920000001</v>
      </c>
      <c r="D63" s="132">
        <v>653.41687349999995</v>
      </c>
      <c r="E63" s="132">
        <v>431.18044350000002</v>
      </c>
      <c r="F63" s="132">
        <v>236.5171905</v>
      </c>
      <c r="G63" s="132">
        <v>0</v>
      </c>
      <c r="H63" s="132">
        <v>1.3977952</v>
      </c>
      <c r="I63" s="132">
        <v>109.897104</v>
      </c>
      <c r="J63" s="132">
        <v>0</v>
      </c>
      <c r="K63" s="132">
        <v>212.39153479999999</v>
      </c>
      <c r="L63" s="132">
        <v>335.87681470000001</v>
      </c>
      <c r="M63" s="132">
        <v>309.93292350000002</v>
      </c>
      <c r="N63" s="132">
        <v>25.943891300000001</v>
      </c>
      <c r="O63" s="132">
        <v>2122.5143054999999</v>
      </c>
      <c r="P63" s="132">
        <v>2066.1349635000001</v>
      </c>
      <c r="Q63" s="132">
        <v>412.97408469999999</v>
      </c>
      <c r="R63" s="132">
        <v>505.97746050000001</v>
      </c>
      <c r="S63" s="132">
        <v>1147.1834183000001</v>
      </c>
      <c r="T63" s="132">
        <v>56.379342000000001</v>
      </c>
      <c r="U63" s="132">
        <v>2.8924379999999998</v>
      </c>
      <c r="V63" s="132">
        <v>0</v>
      </c>
      <c r="W63" s="132">
        <v>0</v>
      </c>
      <c r="X63" s="132">
        <v>3.8700426999999999</v>
      </c>
      <c r="Y63" s="132">
        <v>1.3675478000000001</v>
      </c>
      <c r="Z63" s="132">
        <v>48.731275500000002</v>
      </c>
      <c r="AA63" s="132">
        <v>2122.5143054999999</v>
      </c>
    </row>
    <row r="64" spans="1:27" x14ac:dyDescent="0.35">
      <c r="A64" s="41">
        <v>41975</v>
      </c>
      <c r="B64" s="132">
        <v>1596.4169999999999</v>
      </c>
      <c r="C64" s="132">
        <v>140.62076619999999</v>
      </c>
      <c r="D64" s="132">
        <v>664.80328129999998</v>
      </c>
      <c r="E64" s="132">
        <v>432.65444029999998</v>
      </c>
      <c r="F64" s="132">
        <v>236.3354003</v>
      </c>
      <c r="G64" s="132">
        <v>0</v>
      </c>
      <c r="H64" s="132">
        <v>1.0822223</v>
      </c>
      <c r="I64" s="132">
        <v>120.921291</v>
      </c>
      <c r="J64" s="132">
        <v>0</v>
      </c>
      <c r="K64" s="132">
        <v>217.11705449999999</v>
      </c>
      <c r="L64" s="132">
        <v>481.046583</v>
      </c>
      <c r="M64" s="132">
        <v>435.75086850000002</v>
      </c>
      <c r="N64" s="132">
        <v>45.295714500000003</v>
      </c>
      <c r="O64" s="132">
        <v>2294.5810388</v>
      </c>
      <c r="P64" s="132">
        <v>2282.8084064999998</v>
      </c>
      <c r="Q64" s="132">
        <v>419.48179279999999</v>
      </c>
      <c r="R64" s="132">
        <v>596.83431829999995</v>
      </c>
      <c r="S64" s="132">
        <v>1266.4922955</v>
      </c>
      <c r="T64" s="132">
        <v>11.7726322</v>
      </c>
      <c r="U64" s="132">
        <v>3.0518618000000002</v>
      </c>
      <c r="V64" s="132">
        <v>0</v>
      </c>
      <c r="W64" s="132">
        <v>0</v>
      </c>
      <c r="X64" s="132">
        <v>3.8867759999999998</v>
      </c>
      <c r="Y64" s="132">
        <v>1.8941318</v>
      </c>
      <c r="Z64" s="132">
        <v>50.234215499999998</v>
      </c>
      <c r="AA64" s="132">
        <v>2294.5810388</v>
      </c>
    </row>
    <row r="65" spans="1:27" x14ac:dyDescent="0.35">
      <c r="A65" s="41">
        <v>41976</v>
      </c>
      <c r="B65" s="132">
        <v>1559.162</v>
      </c>
      <c r="C65" s="132">
        <v>139.58413730000001</v>
      </c>
      <c r="D65" s="132">
        <v>623.29005830000006</v>
      </c>
      <c r="E65" s="132">
        <v>507.11984469999999</v>
      </c>
      <c r="F65" s="132">
        <v>236.12080950000001</v>
      </c>
      <c r="G65" s="132">
        <v>0</v>
      </c>
      <c r="H65" s="132">
        <v>13.4756775</v>
      </c>
      <c r="I65" s="132">
        <v>39.5718885</v>
      </c>
      <c r="J65" s="132">
        <v>0</v>
      </c>
      <c r="K65" s="132">
        <v>214.1127563</v>
      </c>
      <c r="L65" s="132">
        <v>637.37196229999995</v>
      </c>
      <c r="M65" s="132">
        <v>590.17076629999997</v>
      </c>
      <c r="N65" s="132">
        <v>47.201196000000003</v>
      </c>
      <c r="O65" s="132">
        <v>2410.6471342999998</v>
      </c>
      <c r="P65" s="132">
        <v>2417.0603535</v>
      </c>
      <c r="Q65" s="132">
        <v>431.7536197</v>
      </c>
      <c r="R65" s="132">
        <v>642.27480449999996</v>
      </c>
      <c r="S65" s="132">
        <v>1343.0319293</v>
      </c>
      <c r="T65" s="132">
        <v>-6.4132192999999997</v>
      </c>
      <c r="U65" s="132">
        <v>3.1108305000000001</v>
      </c>
      <c r="V65" s="132">
        <v>0</v>
      </c>
      <c r="W65" s="132">
        <v>0</v>
      </c>
      <c r="X65" s="132">
        <v>4.0736723000000001</v>
      </c>
      <c r="Y65" s="132">
        <v>1.4490772999999999</v>
      </c>
      <c r="Z65" s="132">
        <v>51.710876300000002</v>
      </c>
      <c r="AA65" s="132">
        <v>2410.6471342999998</v>
      </c>
    </row>
    <row r="66" spans="1:27" x14ac:dyDescent="0.35">
      <c r="A66" s="41">
        <v>41977</v>
      </c>
      <c r="B66" s="132">
        <v>1708.8620000000001</v>
      </c>
      <c r="C66" s="132">
        <v>136.27528280000001</v>
      </c>
      <c r="D66" s="132">
        <v>637.41966449999995</v>
      </c>
      <c r="E66" s="132">
        <v>504.75648819999998</v>
      </c>
      <c r="F66" s="132">
        <v>236.27793</v>
      </c>
      <c r="G66" s="132">
        <v>0</v>
      </c>
      <c r="H66" s="132">
        <v>40.136684299999999</v>
      </c>
      <c r="I66" s="132">
        <v>153.99560030000001</v>
      </c>
      <c r="J66" s="132">
        <v>0</v>
      </c>
      <c r="K66" s="132">
        <v>209.62025320000001</v>
      </c>
      <c r="L66" s="132">
        <v>635.90551349999998</v>
      </c>
      <c r="M66" s="132">
        <v>589.52338650000002</v>
      </c>
      <c r="N66" s="132">
        <v>46.382126999999997</v>
      </c>
      <c r="O66" s="132">
        <v>2554.3874166999999</v>
      </c>
      <c r="P66" s="132">
        <v>2462.3909775000002</v>
      </c>
      <c r="Q66" s="132">
        <v>421.73351100000002</v>
      </c>
      <c r="R66" s="132">
        <v>609.13642049999999</v>
      </c>
      <c r="S66" s="132">
        <v>1431.5210460000001</v>
      </c>
      <c r="T66" s="132">
        <v>91.996439199999998</v>
      </c>
      <c r="U66" s="132">
        <v>3.0991477999999999</v>
      </c>
      <c r="V66" s="132">
        <v>0</v>
      </c>
      <c r="W66" s="132">
        <v>0</v>
      </c>
      <c r="X66" s="132">
        <v>4.3063560000000001</v>
      </c>
      <c r="Y66" s="132">
        <v>1.5275265</v>
      </c>
      <c r="Z66" s="132">
        <v>52.324678499999997</v>
      </c>
      <c r="AA66" s="132">
        <v>2554.3874166999999</v>
      </c>
    </row>
    <row r="67" spans="1:27" x14ac:dyDescent="0.35">
      <c r="A67" s="41">
        <v>41978</v>
      </c>
      <c r="B67" s="132">
        <v>1764.4849999999999</v>
      </c>
      <c r="C67" s="132">
        <v>144.2100068</v>
      </c>
      <c r="D67" s="132">
        <v>636.53910150000002</v>
      </c>
      <c r="E67" s="132">
        <v>476.60966330000002</v>
      </c>
      <c r="F67" s="132">
        <v>236.14461900000001</v>
      </c>
      <c r="G67" s="132">
        <v>0</v>
      </c>
      <c r="H67" s="132">
        <v>30.219666799999999</v>
      </c>
      <c r="I67" s="132">
        <v>240.76219119999999</v>
      </c>
      <c r="J67" s="132">
        <v>0</v>
      </c>
      <c r="K67" s="132">
        <v>210.13634780000001</v>
      </c>
      <c r="L67" s="132">
        <v>484.67361899999997</v>
      </c>
      <c r="M67" s="132">
        <v>436.99898030000003</v>
      </c>
      <c r="N67" s="132">
        <v>47.674638799999997</v>
      </c>
      <c r="O67" s="132">
        <v>2459.2952153000001</v>
      </c>
      <c r="P67" s="132">
        <v>2377.2004200000001</v>
      </c>
      <c r="Q67" s="132">
        <v>414.52794599999999</v>
      </c>
      <c r="R67" s="132">
        <v>603.26296649999995</v>
      </c>
      <c r="S67" s="132">
        <v>1359.4095075</v>
      </c>
      <c r="T67" s="132">
        <v>82.094795300000001</v>
      </c>
      <c r="U67" s="132">
        <v>2.9634225000000001</v>
      </c>
      <c r="V67" s="132">
        <v>0</v>
      </c>
      <c r="W67" s="132">
        <v>0</v>
      </c>
      <c r="X67" s="132">
        <v>4.2987802999999998</v>
      </c>
      <c r="Y67" s="132">
        <v>2.1346409999999998</v>
      </c>
      <c r="Z67" s="132">
        <v>51.5836702</v>
      </c>
      <c r="AA67" s="132">
        <v>2459.2952153000001</v>
      </c>
    </row>
    <row r="68" spans="1:27" x14ac:dyDescent="0.35">
      <c r="A68" s="41">
        <v>41979</v>
      </c>
      <c r="B68" s="132">
        <v>1729.643</v>
      </c>
      <c r="C68" s="132">
        <v>133.5595568</v>
      </c>
      <c r="D68" s="132">
        <v>622.57327580000003</v>
      </c>
      <c r="E68" s="132">
        <v>483.96577200000002</v>
      </c>
      <c r="F68" s="132">
        <v>236.10496430000001</v>
      </c>
      <c r="G68" s="132">
        <v>0</v>
      </c>
      <c r="H68" s="132">
        <v>12.9926055</v>
      </c>
      <c r="I68" s="132">
        <v>240.44670149999999</v>
      </c>
      <c r="J68" s="132">
        <v>0</v>
      </c>
      <c r="K68" s="132">
        <v>212.72109380000001</v>
      </c>
      <c r="L68" s="132">
        <v>78.431906299999994</v>
      </c>
      <c r="M68" s="132">
        <v>45.094943299999997</v>
      </c>
      <c r="N68" s="132">
        <v>33.336962999999997</v>
      </c>
      <c r="O68" s="132">
        <v>2020.7958758</v>
      </c>
      <c r="P68" s="132">
        <v>1966.9441979999999</v>
      </c>
      <c r="Q68" s="132">
        <v>347.23547250000001</v>
      </c>
      <c r="R68" s="132">
        <v>399.03675820000001</v>
      </c>
      <c r="S68" s="132">
        <v>1220.6719673</v>
      </c>
      <c r="T68" s="132">
        <v>53.851677700000003</v>
      </c>
      <c r="U68" s="132">
        <v>2.8517565</v>
      </c>
      <c r="V68" s="132">
        <v>0</v>
      </c>
      <c r="W68" s="132">
        <v>0</v>
      </c>
      <c r="X68" s="132">
        <v>3.7807987999999999</v>
      </c>
      <c r="Y68" s="132">
        <v>1.9700002999999999</v>
      </c>
      <c r="Z68" s="132">
        <v>44.151526500000003</v>
      </c>
      <c r="AA68" s="132">
        <v>2020.7958758</v>
      </c>
    </row>
    <row r="69" spans="1:27" x14ac:dyDescent="0.35">
      <c r="A69" s="41">
        <v>41980</v>
      </c>
      <c r="B69" s="132">
        <v>1696.6110000000001</v>
      </c>
      <c r="C69" s="132">
        <v>133.6488008</v>
      </c>
      <c r="D69" s="132">
        <v>606.96789679999995</v>
      </c>
      <c r="E69" s="132">
        <v>475.20459749999998</v>
      </c>
      <c r="F69" s="132">
        <v>240.06694279999999</v>
      </c>
      <c r="G69" s="132">
        <v>0</v>
      </c>
      <c r="H69" s="132">
        <v>0</v>
      </c>
      <c r="I69" s="132">
        <v>240.72228680000001</v>
      </c>
      <c r="J69" s="132">
        <v>0</v>
      </c>
      <c r="K69" s="132">
        <v>213.405936</v>
      </c>
      <c r="L69" s="132">
        <v>125.5799055</v>
      </c>
      <c r="M69" s="132">
        <v>88.991364000000004</v>
      </c>
      <c r="N69" s="132">
        <v>36.588541499999998</v>
      </c>
      <c r="O69" s="132">
        <v>2035.596366</v>
      </c>
      <c r="P69" s="132">
        <v>1969.8862807999999</v>
      </c>
      <c r="Q69" s="132">
        <v>317.76774749999998</v>
      </c>
      <c r="R69" s="132">
        <v>426.62109070000002</v>
      </c>
      <c r="S69" s="132">
        <v>1225.4974425</v>
      </c>
      <c r="T69" s="132">
        <v>65.710085300000003</v>
      </c>
      <c r="U69" s="132">
        <v>2.8984041999999999</v>
      </c>
      <c r="V69" s="132">
        <v>0</v>
      </c>
      <c r="W69" s="132">
        <v>0</v>
      </c>
      <c r="X69" s="132">
        <v>4.1931637999999998</v>
      </c>
      <c r="Y69" s="132">
        <v>2.0464514999999999</v>
      </c>
      <c r="Z69" s="132">
        <v>42.304458799999999</v>
      </c>
      <c r="AA69" s="132">
        <v>2035.596366</v>
      </c>
    </row>
    <row r="70" spans="1:27" x14ac:dyDescent="0.35">
      <c r="A70" s="41">
        <v>41981</v>
      </c>
      <c r="B70" s="132">
        <v>1767.0360000000001</v>
      </c>
      <c r="C70" s="132">
        <v>143.83424400000001</v>
      </c>
      <c r="D70" s="132">
        <v>615.67690130000005</v>
      </c>
      <c r="E70" s="132">
        <v>486.90985280000001</v>
      </c>
      <c r="F70" s="132">
        <v>234.72528980000001</v>
      </c>
      <c r="G70" s="132">
        <v>0</v>
      </c>
      <c r="H70" s="132">
        <v>0</v>
      </c>
      <c r="I70" s="132">
        <v>285.88957429999999</v>
      </c>
      <c r="J70" s="132">
        <v>0</v>
      </c>
      <c r="K70" s="132">
        <v>215.03494420000001</v>
      </c>
      <c r="L70" s="132">
        <v>137.79281929999999</v>
      </c>
      <c r="M70" s="132">
        <v>103.9883243</v>
      </c>
      <c r="N70" s="132">
        <v>33.804495000000003</v>
      </c>
      <c r="O70" s="132">
        <v>2119.8636255000001</v>
      </c>
      <c r="P70" s="132">
        <v>2139.8520060000001</v>
      </c>
      <c r="Q70" s="132">
        <v>336.4711643</v>
      </c>
      <c r="R70" s="132">
        <v>433.21596149999999</v>
      </c>
      <c r="S70" s="132">
        <v>1370.1648802</v>
      </c>
      <c r="T70" s="132">
        <v>-19.988380500000002</v>
      </c>
      <c r="U70" s="132">
        <v>3.2151982000000001</v>
      </c>
      <c r="V70" s="132">
        <v>0</v>
      </c>
      <c r="W70" s="132">
        <v>0</v>
      </c>
      <c r="X70" s="132">
        <v>4.6209023</v>
      </c>
      <c r="Y70" s="132">
        <v>0.83252780000000004</v>
      </c>
      <c r="Z70" s="132">
        <v>46.952139799999998</v>
      </c>
      <c r="AA70" s="132">
        <v>2119.8636255000001</v>
      </c>
    </row>
    <row r="71" spans="1:27" x14ac:dyDescent="0.35">
      <c r="A71" s="41">
        <v>41982</v>
      </c>
      <c r="B71" s="132">
        <v>1812.979</v>
      </c>
      <c r="C71" s="132">
        <v>136.0214258</v>
      </c>
      <c r="D71" s="132">
        <v>605.73857180000005</v>
      </c>
      <c r="E71" s="132">
        <v>549.34824079999999</v>
      </c>
      <c r="F71" s="132">
        <v>236.08623299999999</v>
      </c>
      <c r="G71" s="132">
        <v>0</v>
      </c>
      <c r="H71" s="132">
        <v>0</v>
      </c>
      <c r="I71" s="132">
        <v>285.7848735</v>
      </c>
      <c r="J71" s="132">
        <v>0</v>
      </c>
      <c r="K71" s="132">
        <v>213.77301299999999</v>
      </c>
      <c r="L71" s="132">
        <v>788.39764649999995</v>
      </c>
      <c r="M71" s="132">
        <v>735.8296838</v>
      </c>
      <c r="N71" s="132">
        <v>52.567962799999997</v>
      </c>
      <c r="O71" s="132">
        <v>2815.1500041999998</v>
      </c>
      <c r="P71" s="132">
        <v>2713.765629</v>
      </c>
      <c r="Q71" s="132">
        <v>440.95449300000001</v>
      </c>
      <c r="R71" s="132">
        <v>649.90136480000001</v>
      </c>
      <c r="S71" s="132">
        <v>1622.9097713000001</v>
      </c>
      <c r="T71" s="132">
        <v>101.38437519999999</v>
      </c>
      <c r="U71" s="132">
        <v>3.1492643</v>
      </c>
      <c r="V71" s="132">
        <v>0</v>
      </c>
      <c r="W71" s="132">
        <v>0</v>
      </c>
      <c r="X71" s="132">
        <v>5.1720173000000003</v>
      </c>
      <c r="Y71" s="132">
        <v>2.7253275000000001</v>
      </c>
      <c r="Z71" s="132">
        <v>56.214590200000004</v>
      </c>
      <c r="AA71" s="132">
        <v>2815.1500041999998</v>
      </c>
    </row>
    <row r="72" spans="1:27" x14ac:dyDescent="0.35">
      <c r="A72" s="41">
        <v>41983</v>
      </c>
      <c r="B72" s="132">
        <v>1878.6559999999999</v>
      </c>
      <c r="C72" s="132">
        <v>143.4586755</v>
      </c>
      <c r="D72" s="132">
        <v>666.55896829999995</v>
      </c>
      <c r="E72" s="132">
        <v>552.27955650000001</v>
      </c>
      <c r="F72" s="132">
        <v>232.2345885</v>
      </c>
      <c r="G72" s="132">
        <v>0</v>
      </c>
      <c r="H72" s="132">
        <v>0</v>
      </c>
      <c r="I72" s="132">
        <v>284.12461880000001</v>
      </c>
      <c r="J72" s="132">
        <v>0</v>
      </c>
      <c r="K72" s="132">
        <v>212.40801830000001</v>
      </c>
      <c r="L72" s="132">
        <v>847.09480729999996</v>
      </c>
      <c r="M72" s="132">
        <v>794.37865950000003</v>
      </c>
      <c r="N72" s="132">
        <v>52.7161477</v>
      </c>
      <c r="O72" s="132">
        <v>2938.1592329999999</v>
      </c>
      <c r="P72" s="132">
        <v>2840.6826405000002</v>
      </c>
      <c r="Q72" s="132">
        <v>445.38242179999997</v>
      </c>
      <c r="R72" s="132">
        <v>648.67206750000003</v>
      </c>
      <c r="S72" s="132">
        <v>1746.6281512</v>
      </c>
      <c r="T72" s="132">
        <v>97.476592499999995</v>
      </c>
      <c r="U72" s="132">
        <v>3.2885138</v>
      </c>
      <c r="V72" s="132">
        <v>0</v>
      </c>
      <c r="W72" s="132">
        <v>0</v>
      </c>
      <c r="X72" s="132">
        <v>5.8476464999999997</v>
      </c>
      <c r="Y72" s="132">
        <v>2.7640387999999998</v>
      </c>
      <c r="Z72" s="132">
        <v>58.239202499999998</v>
      </c>
      <c r="AA72" s="132">
        <v>2938.1592329999999</v>
      </c>
    </row>
    <row r="73" spans="1:27" x14ac:dyDescent="0.35">
      <c r="A73" s="41">
        <v>41984</v>
      </c>
      <c r="B73" s="132">
        <v>1882.508</v>
      </c>
      <c r="C73" s="132">
        <v>140.49700129999999</v>
      </c>
      <c r="D73" s="132">
        <v>692.84371269999997</v>
      </c>
      <c r="E73" s="132">
        <v>535.50712350000003</v>
      </c>
      <c r="F73" s="132">
        <v>231.88629829999999</v>
      </c>
      <c r="G73" s="132">
        <v>0</v>
      </c>
      <c r="H73" s="132">
        <v>0</v>
      </c>
      <c r="I73" s="132">
        <v>281.77394399999997</v>
      </c>
      <c r="J73" s="132">
        <v>0</v>
      </c>
      <c r="K73" s="132">
        <v>213.1946753</v>
      </c>
      <c r="L73" s="132">
        <v>980.15070149999997</v>
      </c>
      <c r="M73" s="132">
        <v>927.39983849999999</v>
      </c>
      <c r="N73" s="132">
        <v>52.750863000000003</v>
      </c>
      <c r="O73" s="132">
        <v>3075.8534565</v>
      </c>
      <c r="P73" s="132">
        <v>2963.4384285000001</v>
      </c>
      <c r="Q73" s="132">
        <v>444.9140572</v>
      </c>
      <c r="R73" s="132">
        <v>663.60717299999999</v>
      </c>
      <c r="S73" s="132">
        <v>1854.9171983000001</v>
      </c>
      <c r="T73" s="132">
        <v>112.41502800000001</v>
      </c>
      <c r="U73" s="132">
        <v>3.3593872999999999</v>
      </c>
      <c r="V73" s="132">
        <v>0</v>
      </c>
      <c r="W73" s="132">
        <v>0</v>
      </c>
      <c r="X73" s="132">
        <v>6.1256459999999997</v>
      </c>
      <c r="Y73" s="132">
        <v>1.790319</v>
      </c>
      <c r="Z73" s="132">
        <v>60.1951058</v>
      </c>
      <c r="AA73" s="132">
        <v>3075.8534565</v>
      </c>
    </row>
    <row r="74" spans="1:27" x14ac:dyDescent="0.35">
      <c r="A74" s="41">
        <v>41985</v>
      </c>
      <c r="B74" s="132">
        <v>1666.6959999999999</v>
      </c>
      <c r="C74" s="132">
        <v>143.45859229999999</v>
      </c>
      <c r="D74" s="132">
        <v>642.78207450000002</v>
      </c>
      <c r="E74" s="132">
        <v>460.8018758</v>
      </c>
      <c r="F74" s="132">
        <v>232.36309879999999</v>
      </c>
      <c r="G74" s="132">
        <v>0</v>
      </c>
      <c r="H74" s="132">
        <v>0</v>
      </c>
      <c r="I74" s="132">
        <v>187.29016129999999</v>
      </c>
      <c r="J74" s="132">
        <v>0</v>
      </c>
      <c r="K74" s="132">
        <v>212.00808520000001</v>
      </c>
      <c r="L74" s="132">
        <v>1027.7765557</v>
      </c>
      <c r="M74" s="132">
        <v>975.04961330000003</v>
      </c>
      <c r="N74" s="132">
        <v>52.7269425</v>
      </c>
      <c r="O74" s="132">
        <v>2906.4804435000001</v>
      </c>
      <c r="P74" s="132">
        <v>2790.9415425000002</v>
      </c>
      <c r="Q74" s="132">
        <v>389.01251480000002</v>
      </c>
      <c r="R74" s="132">
        <v>560.24552700000004</v>
      </c>
      <c r="S74" s="132">
        <v>1841.6835007</v>
      </c>
      <c r="T74" s="132">
        <v>115.538901</v>
      </c>
      <c r="U74" s="132">
        <v>3.4602585000000001</v>
      </c>
      <c r="V74" s="132">
        <v>0</v>
      </c>
      <c r="W74" s="132">
        <v>0</v>
      </c>
      <c r="X74" s="132">
        <v>5.6880284999999997</v>
      </c>
      <c r="Y74" s="132">
        <v>2.7224970000000002</v>
      </c>
      <c r="Z74" s="132">
        <v>63.741056299999997</v>
      </c>
      <c r="AA74" s="132">
        <v>2906.4804435000001</v>
      </c>
    </row>
    <row r="75" spans="1:27" x14ac:dyDescent="0.35">
      <c r="A75" s="41">
        <v>41986</v>
      </c>
      <c r="B75" s="132">
        <v>1751.2329999999999</v>
      </c>
      <c r="C75" s="132">
        <v>140.19999300000001</v>
      </c>
      <c r="D75" s="132">
        <v>649.30931850000002</v>
      </c>
      <c r="E75" s="132">
        <v>463.81463769999999</v>
      </c>
      <c r="F75" s="132">
        <v>214.42128080000001</v>
      </c>
      <c r="G75" s="132">
        <v>0</v>
      </c>
      <c r="H75" s="132">
        <v>0</v>
      </c>
      <c r="I75" s="132">
        <v>283.48825579999999</v>
      </c>
      <c r="J75" s="132">
        <v>0</v>
      </c>
      <c r="K75" s="132">
        <v>212.42172679999999</v>
      </c>
      <c r="L75" s="132">
        <v>602.44334249999997</v>
      </c>
      <c r="M75" s="132">
        <v>562.51786349999998</v>
      </c>
      <c r="N75" s="132">
        <v>39.925479000000003</v>
      </c>
      <c r="O75" s="132">
        <v>2566.098555</v>
      </c>
      <c r="P75" s="132">
        <v>2472.9563736999999</v>
      </c>
      <c r="Q75" s="132">
        <v>354.76918119999999</v>
      </c>
      <c r="R75" s="132">
        <v>469.69472400000001</v>
      </c>
      <c r="S75" s="132">
        <v>1648.4924685000001</v>
      </c>
      <c r="T75" s="132">
        <v>93.142181199999996</v>
      </c>
      <c r="U75" s="132">
        <v>2.8248668000000001</v>
      </c>
      <c r="V75" s="132">
        <v>0</v>
      </c>
      <c r="W75" s="132">
        <v>0</v>
      </c>
      <c r="X75" s="132">
        <v>4.8569715000000002</v>
      </c>
      <c r="Y75" s="132">
        <v>1.5802792999999999</v>
      </c>
      <c r="Z75" s="132">
        <v>51.028781299999999</v>
      </c>
      <c r="AA75" s="132">
        <v>2566.098555</v>
      </c>
    </row>
    <row r="76" spans="1:27" x14ac:dyDescent="0.35">
      <c r="A76" s="41">
        <v>41987</v>
      </c>
      <c r="B76" s="132">
        <v>1747.817</v>
      </c>
      <c r="C76" s="132">
        <v>134.7813615</v>
      </c>
      <c r="D76" s="132">
        <v>642.29489550000005</v>
      </c>
      <c r="E76" s="132">
        <v>462.04965449999997</v>
      </c>
      <c r="F76" s="132">
        <v>225.15051299999999</v>
      </c>
      <c r="G76" s="132">
        <v>0</v>
      </c>
      <c r="H76" s="132">
        <v>0</v>
      </c>
      <c r="I76" s="132">
        <v>283.54073099999999</v>
      </c>
      <c r="J76" s="132">
        <v>0</v>
      </c>
      <c r="K76" s="132">
        <v>210.96873679999999</v>
      </c>
      <c r="L76" s="132">
        <v>370.39556700000003</v>
      </c>
      <c r="M76" s="132">
        <v>332.74503299999998</v>
      </c>
      <c r="N76" s="132">
        <v>37.650534</v>
      </c>
      <c r="O76" s="132">
        <v>2329.1814592999999</v>
      </c>
      <c r="P76" s="132">
        <v>2236.837368</v>
      </c>
      <c r="Q76" s="132">
        <v>336.9011228</v>
      </c>
      <c r="R76" s="132">
        <v>408.65576850000002</v>
      </c>
      <c r="S76" s="132">
        <v>1491.2804768000001</v>
      </c>
      <c r="T76" s="132">
        <v>92.344091300000002</v>
      </c>
      <c r="U76" s="132">
        <v>2.5534995</v>
      </c>
      <c r="V76" s="132">
        <v>0</v>
      </c>
      <c r="W76" s="132">
        <v>0</v>
      </c>
      <c r="X76" s="132">
        <v>4.5359318000000002</v>
      </c>
      <c r="Y76" s="132">
        <v>2.0486437999999998</v>
      </c>
      <c r="Z76" s="132">
        <v>49.625963200000001</v>
      </c>
      <c r="AA76" s="132">
        <v>2329.1814592999999</v>
      </c>
    </row>
    <row r="77" spans="1:27" x14ac:dyDescent="0.35">
      <c r="A77" s="41">
        <v>41988</v>
      </c>
      <c r="B77" s="132">
        <v>1824.0139999999999</v>
      </c>
      <c r="C77" s="132">
        <v>137.55824849999999</v>
      </c>
      <c r="D77" s="132">
        <v>650.14262329999997</v>
      </c>
      <c r="E77" s="132">
        <v>537.06359329999998</v>
      </c>
      <c r="F77" s="132">
        <v>219.59579550000001</v>
      </c>
      <c r="G77" s="132">
        <v>0</v>
      </c>
      <c r="H77" s="132">
        <v>0</v>
      </c>
      <c r="I77" s="132">
        <v>279.65403830000002</v>
      </c>
      <c r="J77" s="132">
        <v>0</v>
      </c>
      <c r="K77" s="132">
        <v>205.55326880000001</v>
      </c>
      <c r="L77" s="132">
        <v>890.53471279999997</v>
      </c>
      <c r="M77" s="132">
        <v>837.94116450000001</v>
      </c>
      <c r="N77" s="132">
        <v>52.593548300000002</v>
      </c>
      <c r="O77" s="132">
        <v>2920.1022803000001</v>
      </c>
      <c r="P77" s="132">
        <v>2795.0026440000001</v>
      </c>
      <c r="Q77" s="132">
        <v>422.19812930000001</v>
      </c>
      <c r="R77" s="132">
        <v>740.56375049999997</v>
      </c>
      <c r="S77" s="132">
        <v>1632.2407642999999</v>
      </c>
      <c r="T77" s="132">
        <v>125.0996363</v>
      </c>
      <c r="U77" s="132">
        <v>2.831388</v>
      </c>
      <c r="V77" s="132">
        <v>0</v>
      </c>
      <c r="W77" s="132">
        <v>0</v>
      </c>
      <c r="X77" s="132">
        <v>4.8398219999999998</v>
      </c>
      <c r="Y77" s="132">
        <v>2.5488097999999999</v>
      </c>
      <c r="Z77" s="132">
        <v>62.8795298</v>
      </c>
      <c r="AA77" s="132">
        <v>2920.1022803000001</v>
      </c>
    </row>
    <row r="78" spans="1:27" x14ac:dyDescent="0.35">
      <c r="A78" s="41">
        <v>41989</v>
      </c>
      <c r="B78" s="132">
        <v>1833.8979999999999</v>
      </c>
      <c r="C78" s="132">
        <v>138.50405180000001</v>
      </c>
      <c r="D78" s="132">
        <v>723.83976900000005</v>
      </c>
      <c r="E78" s="132">
        <v>493.53702449999997</v>
      </c>
      <c r="F78" s="132">
        <v>193.9208295</v>
      </c>
      <c r="G78" s="132">
        <v>0</v>
      </c>
      <c r="H78" s="132">
        <v>0</v>
      </c>
      <c r="I78" s="132">
        <v>284.09589749999998</v>
      </c>
      <c r="J78" s="132">
        <v>0</v>
      </c>
      <c r="K78" s="132">
        <v>206.58273829999999</v>
      </c>
      <c r="L78" s="132">
        <v>808.441416</v>
      </c>
      <c r="M78" s="132">
        <v>755.82117229999994</v>
      </c>
      <c r="N78" s="132">
        <v>52.620243799999997</v>
      </c>
      <c r="O78" s="132">
        <v>2848.9217265000002</v>
      </c>
      <c r="P78" s="132">
        <v>2739.8187443000002</v>
      </c>
      <c r="Q78" s="132">
        <v>426.43799619999999</v>
      </c>
      <c r="R78" s="132">
        <v>690.84571270000004</v>
      </c>
      <c r="S78" s="132">
        <v>1622.5350352999999</v>
      </c>
      <c r="T78" s="132">
        <v>109.1029822</v>
      </c>
      <c r="U78" s="132">
        <v>2.9953349999999999</v>
      </c>
      <c r="V78" s="132">
        <v>0</v>
      </c>
      <c r="W78" s="132">
        <v>0</v>
      </c>
      <c r="X78" s="132">
        <v>4.9448558</v>
      </c>
      <c r="Y78" s="132">
        <v>1.5287198</v>
      </c>
      <c r="Z78" s="132">
        <v>61.498550999999999</v>
      </c>
      <c r="AA78" s="132">
        <v>2848.9217265000002</v>
      </c>
    </row>
    <row r="79" spans="1:27" x14ac:dyDescent="0.35">
      <c r="A79" s="41">
        <v>41990</v>
      </c>
      <c r="B79" s="132">
        <v>1630.807</v>
      </c>
      <c r="C79" s="132">
        <v>141.2872103</v>
      </c>
      <c r="D79" s="132">
        <v>721.44849599999998</v>
      </c>
      <c r="E79" s="132">
        <v>519.54310350000003</v>
      </c>
      <c r="F79" s="132">
        <v>133.56580049999999</v>
      </c>
      <c r="G79" s="132">
        <v>0</v>
      </c>
      <c r="H79" s="132">
        <v>0</v>
      </c>
      <c r="I79" s="132">
        <v>114.962367</v>
      </c>
      <c r="J79" s="132">
        <v>0</v>
      </c>
      <c r="K79" s="132">
        <v>207.54244420000001</v>
      </c>
      <c r="L79" s="132">
        <v>941.76745649999998</v>
      </c>
      <c r="M79" s="132">
        <v>889.14818400000001</v>
      </c>
      <c r="N79" s="132">
        <v>52.619272500000001</v>
      </c>
      <c r="O79" s="132">
        <v>2780.1168779999998</v>
      </c>
      <c r="P79" s="132">
        <v>2718.9334282999998</v>
      </c>
      <c r="Q79" s="132">
        <v>421.59958949999998</v>
      </c>
      <c r="R79" s="132">
        <v>661.89003079999998</v>
      </c>
      <c r="S79" s="132">
        <v>1635.443808</v>
      </c>
      <c r="T79" s="132">
        <v>61.183449699999997</v>
      </c>
      <c r="U79" s="132">
        <v>3.0996195000000002</v>
      </c>
      <c r="V79" s="132">
        <v>0</v>
      </c>
      <c r="W79" s="132">
        <v>0</v>
      </c>
      <c r="X79" s="132">
        <v>5.3838052999999997</v>
      </c>
      <c r="Y79" s="132">
        <v>2.4441367999999999</v>
      </c>
      <c r="Z79" s="132">
        <v>62.548805299999998</v>
      </c>
      <c r="AA79" s="132">
        <v>2780.1168779999998</v>
      </c>
    </row>
    <row r="80" spans="1:27" x14ac:dyDescent="0.35">
      <c r="A80" s="41">
        <v>41991</v>
      </c>
      <c r="B80" s="132">
        <v>1658.6780000000001</v>
      </c>
      <c r="C80" s="132">
        <v>142.7362598</v>
      </c>
      <c r="D80" s="132">
        <v>745.62368549999997</v>
      </c>
      <c r="E80" s="132">
        <v>518.31988349999995</v>
      </c>
      <c r="F80" s="132">
        <v>137.0976818</v>
      </c>
      <c r="G80" s="132">
        <v>0</v>
      </c>
      <c r="H80" s="132">
        <v>0</v>
      </c>
      <c r="I80" s="132">
        <v>114.9009563</v>
      </c>
      <c r="J80" s="132">
        <v>0</v>
      </c>
      <c r="K80" s="132">
        <v>206.8763332</v>
      </c>
      <c r="L80" s="132">
        <v>923.48997450000002</v>
      </c>
      <c r="M80" s="132">
        <v>870.89903479999998</v>
      </c>
      <c r="N80" s="132">
        <v>52.590939800000001</v>
      </c>
      <c r="O80" s="132">
        <v>2789.0447745000001</v>
      </c>
      <c r="P80" s="132">
        <v>2692.8904972999999</v>
      </c>
      <c r="Q80" s="132">
        <v>422.32403099999999</v>
      </c>
      <c r="R80" s="132">
        <v>620.62691849999999</v>
      </c>
      <c r="S80" s="132">
        <v>1649.9395477</v>
      </c>
      <c r="T80" s="132">
        <v>96.154277300000004</v>
      </c>
      <c r="U80" s="132">
        <v>3.071148</v>
      </c>
      <c r="V80" s="132">
        <v>0</v>
      </c>
      <c r="W80" s="132">
        <v>0</v>
      </c>
      <c r="X80" s="132">
        <v>5.5432012999999998</v>
      </c>
      <c r="Y80" s="132">
        <v>2.4068130000000001</v>
      </c>
      <c r="Z80" s="132">
        <v>61.4253742</v>
      </c>
      <c r="AA80" s="132">
        <v>2789.0447745000001</v>
      </c>
    </row>
    <row r="81" spans="1:27" x14ac:dyDescent="0.35">
      <c r="A81" s="41">
        <v>41992</v>
      </c>
      <c r="B81" s="132">
        <v>1632.518</v>
      </c>
      <c r="C81" s="132">
        <v>142.11177369999999</v>
      </c>
      <c r="D81" s="132">
        <v>699.35125430000005</v>
      </c>
      <c r="E81" s="132">
        <v>544.62052879999999</v>
      </c>
      <c r="F81" s="132">
        <v>131.4850222</v>
      </c>
      <c r="G81" s="132">
        <v>0</v>
      </c>
      <c r="H81" s="132">
        <v>0</v>
      </c>
      <c r="I81" s="132">
        <v>114.94957429999999</v>
      </c>
      <c r="J81" s="132">
        <v>0</v>
      </c>
      <c r="K81" s="132">
        <v>208.47021000000001</v>
      </c>
      <c r="L81" s="132">
        <v>860.96836429999996</v>
      </c>
      <c r="M81" s="132">
        <v>808.37353949999999</v>
      </c>
      <c r="N81" s="132">
        <v>52.594824799999998</v>
      </c>
      <c r="O81" s="132">
        <v>2701.9567274999999</v>
      </c>
      <c r="P81" s="132">
        <v>2657.9048512999998</v>
      </c>
      <c r="Q81" s="132">
        <v>399.548385</v>
      </c>
      <c r="R81" s="132">
        <v>617.29841699999997</v>
      </c>
      <c r="S81" s="132">
        <v>1641.0580493</v>
      </c>
      <c r="T81" s="132">
        <v>44.051876200000002</v>
      </c>
      <c r="U81" s="132">
        <v>2.9580389999999999</v>
      </c>
      <c r="V81" s="132">
        <v>0</v>
      </c>
      <c r="W81" s="132">
        <v>0</v>
      </c>
      <c r="X81" s="132">
        <v>5.2691977000000003</v>
      </c>
      <c r="Y81" s="132">
        <v>2.2811054999999998</v>
      </c>
      <c r="Z81" s="132">
        <v>59.787374999999997</v>
      </c>
      <c r="AA81" s="132">
        <v>2701.9567274999999</v>
      </c>
    </row>
    <row r="82" spans="1:27" x14ac:dyDescent="0.35">
      <c r="A82" s="41">
        <v>41993</v>
      </c>
      <c r="B82" s="132">
        <v>1455.665</v>
      </c>
      <c r="C82" s="132">
        <v>84.407951999999995</v>
      </c>
      <c r="D82" s="132">
        <v>678.02229899999998</v>
      </c>
      <c r="E82" s="132">
        <v>496.2927105</v>
      </c>
      <c r="F82" s="132">
        <v>131.30284349999999</v>
      </c>
      <c r="G82" s="132">
        <v>0</v>
      </c>
      <c r="H82" s="132">
        <v>0</v>
      </c>
      <c r="I82" s="132">
        <v>65.638878800000001</v>
      </c>
      <c r="J82" s="132">
        <v>0</v>
      </c>
      <c r="K82" s="132">
        <v>208.18738200000001</v>
      </c>
      <c r="L82" s="132">
        <v>753.34992380000006</v>
      </c>
      <c r="M82" s="132">
        <v>702.3177293</v>
      </c>
      <c r="N82" s="132">
        <v>51.032194500000003</v>
      </c>
      <c r="O82" s="132">
        <v>2417.2019894999999</v>
      </c>
      <c r="P82" s="132">
        <v>2322.6087607999998</v>
      </c>
      <c r="Q82" s="132">
        <v>341.65081279999998</v>
      </c>
      <c r="R82" s="132">
        <v>514.10834929999999</v>
      </c>
      <c r="S82" s="132">
        <v>1466.8495988</v>
      </c>
      <c r="T82" s="132">
        <v>94.593228800000006</v>
      </c>
      <c r="U82" s="132">
        <v>2.7710317999999998</v>
      </c>
      <c r="V82" s="132">
        <v>0</v>
      </c>
      <c r="W82" s="132">
        <v>0</v>
      </c>
      <c r="X82" s="132">
        <v>4.6697699999999998</v>
      </c>
      <c r="Y82" s="132">
        <v>1.3701007999999999</v>
      </c>
      <c r="Z82" s="132">
        <v>51.255693000000001</v>
      </c>
      <c r="AA82" s="132">
        <v>2417.2019894999999</v>
      </c>
    </row>
    <row r="83" spans="1:27" x14ac:dyDescent="0.35">
      <c r="A83" s="41">
        <v>41994</v>
      </c>
      <c r="B83" s="132">
        <v>1436.2629999999999</v>
      </c>
      <c r="C83" s="132">
        <v>79.601180299999996</v>
      </c>
      <c r="D83" s="132">
        <v>660.66481280000005</v>
      </c>
      <c r="E83" s="132">
        <v>499.07240030000003</v>
      </c>
      <c r="F83" s="132">
        <v>131.33270250000001</v>
      </c>
      <c r="G83" s="132">
        <v>0</v>
      </c>
      <c r="H83" s="132">
        <v>0</v>
      </c>
      <c r="I83" s="132">
        <v>65.591786999999997</v>
      </c>
      <c r="J83" s="132">
        <v>0</v>
      </c>
      <c r="K83" s="132">
        <v>210.59255780000001</v>
      </c>
      <c r="L83" s="132">
        <v>708.15802199999996</v>
      </c>
      <c r="M83" s="132">
        <v>658.11406050000005</v>
      </c>
      <c r="N83" s="132">
        <v>50.043961500000002</v>
      </c>
      <c r="O83" s="132">
        <v>2355.0134625000001</v>
      </c>
      <c r="P83" s="132">
        <v>2205.6785024999999</v>
      </c>
      <c r="Q83" s="132">
        <v>309.46974829999999</v>
      </c>
      <c r="R83" s="132">
        <v>436.954497</v>
      </c>
      <c r="S83" s="132">
        <v>1459.2542572</v>
      </c>
      <c r="T83" s="132">
        <v>149.33496</v>
      </c>
      <c r="U83" s="132">
        <v>2.7822426999999998</v>
      </c>
      <c r="V83" s="132">
        <v>0</v>
      </c>
      <c r="W83" s="132">
        <v>0</v>
      </c>
      <c r="X83" s="132">
        <v>4.4395559999999996</v>
      </c>
      <c r="Y83" s="132">
        <v>2.2684237999999999</v>
      </c>
      <c r="Z83" s="132">
        <v>49.806227300000003</v>
      </c>
      <c r="AA83" s="132">
        <v>2355.0134625000001</v>
      </c>
    </row>
    <row r="84" spans="1:27" x14ac:dyDescent="0.35">
      <c r="A84" s="41">
        <v>41995</v>
      </c>
      <c r="B84" s="132">
        <v>1590.875</v>
      </c>
      <c r="C84" s="132">
        <v>112.8727365</v>
      </c>
      <c r="D84" s="132">
        <v>690.08927549999999</v>
      </c>
      <c r="E84" s="132">
        <v>541.67408929999999</v>
      </c>
      <c r="F84" s="132">
        <v>131.32504349999999</v>
      </c>
      <c r="G84" s="132">
        <v>0</v>
      </c>
      <c r="H84" s="132">
        <v>0</v>
      </c>
      <c r="I84" s="132">
        <v>114.9137767</v>
      </c>
      <c r="J84" s="132">
        <v>0</v>
      </c>
      <c r="K84" s="132">
        <v>212.94284400000001</v>
      </c>
      <c r="L84" s="132">
        <v>1102.3507958</v>
      </c>
      <c r="M84" s="132">
        <v>1050.5525903</v>
      </c>
      <c r="N84" s="132">
        <v>51.798205500000002</v>
      </c>
      <c r="O84" s="132">
        <v>2906.1685613</v>
      </c>
      <c r="P84" s="132">
        <v>2858.9080635</v>
      </c>
      <c r="Q84" s="132">
        <v>378.04885050000001</v>
      </c>
      <c r="R84" s="132">
        <v>637.87443150000001</v>
      </c>
      <c r="S84" s="132">
        <v>1842.9847815000001</v>
      </c>
      <c r="T84" s="132">
        <v>47.260497700000002</v>
      </c>
      <c r="U84" s="132">
        <v>3.2011012999999999</v>
      </c>
      <c r="V84" s="132">
        <v>0</v>
      </c>
      <c r="W84" s="132">
        <v>0</v>
      </c>
      <c r="X84" s="132">
        <v>5.4169109999999998</v>
      </c>
      <c r="Y84" s="132">
        <v>2.726715</v>
      </c>
      <c r="Z84" s="132">
        <v>58.414721299999997</v>
      </c>
      <c r="AA84" s="132">
        <v>2906.1685613</v>
      </c>
    </row>
    <row r="85" spans="1:27" x14ac:dyDescent="0.35">
      <c r="A85" s="41">
        <v>41996</v>
      </c>
      <c r="B85" s="132">
        <v>1704.0909999999999</v>
      </c>
      <c r="C85" s="132">
        <v>371.83326679999999</v>
      </c>
      <c r="D85" s="132">
        <v>584.11463400000002</v>
      </c>
      <c r="E85" s="132">
        <v>501.63675000000001</v>
      </c>
      <c r="F85" s="132">
        <v>131.46265579999999</v>
      </c>
      <c r="G85" s="132">
        <v>0</v>
      </c>
      <c r="H85" s="132">
        <v>0</v>
      </c>
      <c r="I85" s="132">
        <v>115.0438965</v>
      </c>
      <c r="J85" s="132">
        <v>0</v>
      </c>
      <c r="K85" s="132">
        <v>213.77903480000001</v>
      </c>
      <c r="L85" s="132">
        <v>894.58737829999995</v>
      </c>
      <c r="M85" s="132">
        <v>842.80166020000001</v>
      </c>
      <c r="N85" s="132">
        <v>51.785718000000003</v>
      </c>
      <c r="O85" s="132">
        <v>2812.4576160000001</v>
      </c>
      <c r="P85" s="132">
        <v>2713.1034307999998</v>
      </c>
      <c r="Q85" s="132">
        <v>361.01351399999999</v>
      </c>
      <c r="R85" s="132">
        <v>605.03399920000004</v>
      </c>
      <c r="S85" s="132">
        <v>1747.0559175000001</v>
      </c>
      <c r="T85" s="132">
        <v>99.354185200000003</v>
      </c>
      <c r="U85" s="132">
        <v>3.0664305000000001</v>
      </c>
      <c r="V85" s="132">
        <v>0</v>
      </c>
      <c r="W85" s="132">
        <v>0</v>
      </c>
      <c r="X85" s="132">
        <v>5.3956822999999998</v>
      </c>
      <c r="Y85" s="132">
        <v>2.5627957000000001</v>
      </c>
      <c r="Z85" s="132">
        <v>58.997138200000002</v>
      </c>
      <c r="AA85" s="132">
        <v>2812.4576160000001</v>
      </c>
    </row>
    <row r="86" spans="1:27" x14ac:dyDescent="0.35">
      <c r="A86" s="41">
        <v>41997</v>
      </c>
      <c r="B86" s="132">
        <v>1553.7719999999999</v>
      </c>
      <c r="C86" s="132">
        <v>400.90971669999999</v>
      </c>
      <c r="D86" s="132">
        <v>593.35444050000001</v>
      </c>
      <c r="E86" s="132">
        <v>311.57666699999999</v>
      </c>
      <c r="F86" s="132">
        <v>131.53919020000001</v>
      </c>
      <c r="G86" s="132">
        <v>0</v>
      </c>
      <c r="H86" s="132">
        <v>0</v>
      </c>
      <c r="I86" s="132">
        <v>115.0517775</v>
      </c>
      <c r="J86" s="132">
        <v>1.3405193</v>
      </c>
      <c r="K86" s="132">
        <v>212.33806050000001</v>
      </c>
      <c r="L86" s="132">
        <v>726.27694050000002</v>
      </c>
      <c r="M86" s="132">
        <v>674.20783949999998</v>
      </c>
      <c r="N86" s="132">
        <v>52.069101000000003</v>
      </c>
      <c r="O86" s="132">
        <v>2492.3873122999998</v>
      </c>
      <c r="P86" s="132">
        <v>2332.6374443</v>
      </c>
      <c r="Q86" s="132">
        <v>275.14926980000001</v>
      </c>
      <c r="R86" s="132">
        <v>515.58700799999997</v>
      </c>
      <c r="S86" s="132">
        <v>1541.9011665</v>
      </c>
      <c r="T86" s="132">
        <v>159.74986799999999</v>
      </c>
      <c r="U86" s="132">
        <v>3.1361940000000001</v>
      </c>
      <c r="V86" s="132">
        <v>0</v>
      </c>
      <c r="W86" s="132">
        <v>0</v>
      </c>
      <c r="X86" s="132">
        <v>4.9519875000000004</v>
      </c>
      <c r="Y86" s="132">
        <v>1.1429670000000001</v>
      </c>
      <c r="Z86" s="132">
        <v>52.068573700000002</v>
      </c>
      <c r="AA86" s="132">
        <v>2492.3873122999998</v>
      </c>
    </row>
    <row r="87" spans="1:27" x14ac:dyDescent="0.35">
      <c r="A87" s="41">
        <v>41998</v>
      </c>
      <c r="B87" s="132">
        <v>1515.3140000000001</v>
      </c>
      <c r="C87" s="132">
        <v>144.83257800000001</v>
      </c>
      <c r="D87" s="132">
        <v>670.66544099999999</v>
      </c>
      <c r="E87" s="132">
        <v>451.10153029999998</v>
      </c>
      <c r="F87" s="132">
        <v>133.784526</v>
      </c>
      <c r="G87" s="132">
        <v>0</v>
      </c>
      <c r="H87" s="132">
        <v>1.9430000000000001E-4</v>
      </c>
      <c r="I87" s="132">
        <v>114.9294833</v>
      </c>
      <c r="J87" s="132">
        <v>0</v>
      </c>
      <c r="K87" s="132">
        <v>213.39439200000001</v>
      </c>
      <c r="L87" s="132">
        <v>377.58500930000002</v>
      </c>
      <c r="M87" s="132">
        <v>326.2509225</v>
      </c>
      <c r="N87" s="132">
        <v>51.3340867</v>
      </c>
      <c r="O87" s="132">
        <v>2106.293154</v>
      </c>
      <c r="P87" s="132">
        <v>2016.5388038000001</v>
      </c>
      <c r="Q87" s="132">
        <v>231.8148975</v>
      </c>
      <c r="R87" s="132">
        <v>347.994213</v>
      </c>
      <c r="S87" s="132">
        <v>1436.7296933</v>
      </c>
      <c r="T87" s="132">
        <v>89.754350200000005</v>
      </c>
      <c r="U87" s="132">
        <v>2.9683065000000002</v>
      </c>
      <c r="V87" s="132">
        <v>0</v>
      </c>
      <c r="W87" s="132">
        <v>0</v>
      </c>
      <c r="X87" s="132">
        <v>4.7169173000000004</v>
      </c>
      <c r="Y87" s="132">
        <v>2.2007137000000001</v>
      </c>
      <c r="Z87" s="132">
        <v>48.372551299999998</v>
      </c>
      <c r="AA87" s="132">
        <v>2106.293154</v>
      </c>
    </row>
    <row r="88" spans="1:27" x14ac:dyDescent="0.35">
      <c r="A88" s="41">
        <v>41999</v>
      </c>
      <c r="B88" s="132">
        <v>1477.1279999999999</v>
      </c>
      <c r="C88" s="132">
        <v>97.701811500000005</v>
      </c>
      <c r="D88" s="132">
        <v>666.29495480000003</v>
      </c>
      <c r="E88" s="132">
        <v>466.545321</v>
      </c>
      <c r="F88" s="132">
        <v>131.5644983</v>
      </c>
      <c r="G88" s="132">
        <v>0</v>
      </c>
      <c r="H88" s="132">
        <v>0</v>
      </c>
      <c r="I88" s="132">
        <v>115.02153</v>
      </c>
      <c r="J88" s="132">
        <v>0</v>
      </c>
      <c r="K88" s="132">
        <v>212.21748669999999</v>
      </c>
      <c r="L88" s="132">
        <v>447.68758650000001</v>
      </c>
      <c r="M88" s="132">
        <v>398.29081050000002</v>
      </c>
      <c r="N88" s="132">
        <v>49.396776000000003</v>
      </c>
      <c r="O88" s="132">
        <v>2137.0331887000002</v>
      </c>
      <c r="P88" s="132">
        <v>2138.1997433000001</v>
      </c>
      <c r="Q88" s="132">
        <v>248.14932450000001</v>
      </c>
      <c r="R88" s="132">
        <v>352.28444630000001</v>
      </c>
      <c r="S88" s="132">
        <v>1537.7659725000001</v>
      </c>
      <c r="T88" s="132">
        <v>-1.1665544999999999</v>
      </c>
      <c r="U88" s="132">
        <v>2.7529387999999999</v>
      </c>
      <c r="V88" s="132">
        <v>0</v>
      </c>
      <c r="W88" s="132">
        <v>0</v>
      </c>
      <c r="X88" s="132">
        <v>4.8026093000000003</v>
      </c>
      <c r="Y88" s="132">
        <v>2.3853067999999999</v>
      </c>
      <c r="Z88" s="132">
        <v>48.146527499999998</v>
      </c>
      <c r="AA88" s="132">
        <v>2137.0331887000002</v>
      </c>
    </row>
    <row r="89" spans="1:27" x14ac:dyDescent="0.35">
      <c r="A89" s="41">
        <v>42000</v>
      </c>
      <c r="B89" s="132">
        <v>1489.663</v>
      </c>
      <c r="C89" s="132">
        <v>97.287531700000002</v>
      </c>
      <c r="D89" s="132">
        <v>666.04334549999999</v>
      </c>
      <c r="E89" s="132">
        <v>545.52520649999997</v>
      </c>
      <c r="F89" s="132">
        <v>131.5478205</v>
      </c>
      <c r="G89" s="132">
        <v>0</v>
      </c>
      <c r="H89" s="132">
        <v>0</v>
      </c>
      <c r="I89" s="132">
        <v>49.2591915</v>
      </c>
      <c r="J89" s="132">
        <v>0</v>
      </c>
      <c r="K89" s="132">
        <v>211.11711600000001</v>
      </c>
      <c r="L89" s="132">
        <v>918.2117025</v>
      </c>
      <c r="M89" s="132">
        <v>866.85358429999997</v>
      </c>
      <c r="N89" s="132">
        <v>51.358118300000001</v>
      </c>
      <c r="O89" s="132">
        <v>2618.9919143000002</v>
      </c>
      <c r="P89" s="132">
        <v>2534.2033987999998</v>
      </c>
      <c r="Q89" s="132">
        <v>275.72064230000001</v>
      </c>
      <c r="R89" s="132">
        <v>456.02002349999998</v>
      </c>
      <c r="S89" s="132">
        <v>1802.4627330000001</v>
      </c>
      <c r="T89" s="132">
        <v>84.788515500000003</v>
      </c>
      <c r="U89" s="132">
        <v>2.8699050000000002</v>
      </c>
      <c r="V89" s="132">
        <v>0</v>
      </c>
      <c r="W89" s="132">
        <v>0</v>
      </c>
      <c r="X89" s="132">
        <v>5.9134140000000004</v>
      </c>
      <c r="Y89" s="132">
        <v>2.4971670000000001</v>
      </c>
      <c r="Z89" s="132">
        <v>51.723641299999997</v>
      </c>
      <c r="AA89" s="132">
        <v>2618.9919143000002</v>
      </c>
    </row>
    <row r="90" spans="1:27" x14ac:dyDescent="0.35">
      <c r="A90" s="41">
        <v>42001</v>
      </c>
      <c r="B90" s="132">
        <v>1484.319</v>
      </c>
      <c r="C90" s="132">
        <v>100.06669429999999</v>
      </c>
      <c r="D90" s="132">
        <v>667.1645565</v>
      </c>
      <c r="E90" s="132">
        <v>547.27326219999998</v>
      </c>
      <c r="F90" s="132">
        <v>133.74981080000001</v>
      </c>
      <c r="G90" s="132">
        <v>0</v>
      </c>
      <c r="H90" s="132">
        <v>0</v>
      </c>
      <c r="I90" s="132">
        <v>36.064621500000001</v>
      </c>
      <c r="J90" s="132">
        <v>0</v>
      </c>
      <c r="K90" s="132">
        <v>207.29008580000001</v>
      </c>
      <c r="L90" s="132">
        <v>941.88356250000004</v>
      </c>
      <c r="M90" s="132">
        <v>890.60680730000001</v>
      </c>
      <c r="N90" s="132">
        <v>51.276755199999997</v>
      </c>
      <c r="O90" s="132">
        <v>2633.4925935000001</v>
      </c>
      <c r="P90" s="132">
        <v>2463.7470644999999</v>
      </c>
      <c r="Q90" s="132">
        <v>266.91301429999999</v>
      </c>
      <c r="R90" s="132">
        <v>392.3311372</v>
      </c>
      <c r="S90" s="132">
        <v>1804.502913</v>
      </c>
      <c r="T90" s="132">
        <v>169.745529</v>
      </c>
      <c r="U90" s="132">
        <v>3.1096373000000002</v>
      </c>
      <c r="V90" s="132">
        <v>0</v>
      </c>
      <c r="W90" s="132">
        <v>0</v>
      </c>
      <c r="X90" s="132">
        <v>5.2464427999999996</v>
      </c>
      <c r="Y90" s="132">
        <v>2.7822705000000001</v>
      </c>
      <c r="Z90" s="132">
        <v>48.269903999999997</v>
      </c>
      <c r="AA90" s="132">
        <v>2633.4925935000001</v>
      </c>
    </row>
    <row r="91" spans="1:27" x14ac:dyDescent="0.35">
      <c r="A91" s="41">
        <v>42002</v>
      </c>
      <c r="B91" s="132">
        <v>1545.087</v>
      </c>
      <c r="C91" s="132">
        <v>156.55859029999999</v>
      </c>
      <c r="D91" s="132">
        <v>673.22557280000001</v>
      </c>
      <c r="E91" s="132">
        <v>547.94411849999995</v>
      </c>
      <c r="F91" s="132">
        <v>131.26773979999999</v>
      </c>
      <c r="G91" s="132">
        <v>0</v>
      </c>
      <c r="H91" s="132">
        <v>0</v>
      </c>
      <c r="I91" s="132">
        <v>36.091067299999999</v>
      </c>
      <c r="J91" s="132">
        <v>0</v>
      </c>
      <c r="K91" s="132">
        <v>205.27726720000001</v>
      </c>
      <c r="L91" s="132">
        <v>1205.1501713</v>
      </c>
      <c r="M91" s="132">
        <v>1152.6346837999999</v>
      </c>
      <c r="N91" s="132">
        <v>52.515487499999999</v>
      </c>
      <c r="O91" s="132">
        <v>2955.5145269999998</v>
      </c>
      <c r="P91" s="132">
        <v>3001.6233441999998</v>
      </c>
      <c r="Q91" s="132">
        <v>327.29498849999999</v>
      </c>
      <c r="R91" s="132">
        <v>541.02190870000004</v>
      </c>
      <c r="S91" s="132">
        <v>2133.3064469999999</v>
      </c>
      <c r="T91" s="132">
        <v>-46.108817199999997</v>
      </c>
      <c r="U91" s="132">
        <v>3.6371093000000001</v>
      </c>
      <c r="V91" s="132">
        <v>0</v>
      </c>
      <c r="W91" s="132">
        <v>0</v>
      </c>
      <c r="X91" s="132">
        <v>5.6684369999999999</v>
      </c>
      <c r="Y91" s="132">
        <v>2.9603423000000002</v>
      </c>
      <c r="Z91" s="132">
        <v>63.060099000000001</v>
      </c>
      <c r="AA91" s="132">
        <v>2955.5145269999998</v>
      </c>
    </row>
    <row r="92" spans="1:27" x14ac:dyDescent="0.35">
      <c r="A92" s="41">
        <v>42003</v>
      </c>
      <c r="B92" s="132">
        <v>1875.56</v>
      </c>
      <c r="C92" s="132">
        <v>355.42982549999999</v>
      </c>
      <c r="D92" s="132">
        <v>843.58656900000005</v>
      </c>
      <c r="E92" s="132">
        <v>506.91663149999999</v>
      </c>
      <c r="F92" s="132">
        <v>131.59111050000001</v>
      </c>
      <c r="G92" s="132">
        <v>0.47952</v>
      </c>
      <c r="H92" s="132">
        <v>0</v>
      </c>
      <c r="I92" s="132">
        <v>36.130721999999999</v>
      </c>
      <c r="J92" s="132">
        <v>1.4254343</v>
      </c>
      <c r="K92" s="132">
        <v>202.77935099999999</v>
      </c>
      <c r="L92" s="132">
        <v>1079.9689499999999</v>
      </c>
      <c r="M92" s="132">
        <v>1027.4835157</v>
      </c>
      <c r="N92" s="132">
        <v>52.485434300000001</v>
      </c>
      <c r="O92" s="132">
        <v>3158.3081137999998</v>
      </c>
      <c r="P92" s="132">
        <v>3106.3796219999999</v>
      </c>
      <c r="Q92" s="132">
        <v>327.02231699999999</v>
      </c>
      <c r="R92" s="132">
        <v>509.37103580000002</v>
      </c>
      <c r="S92" s="132">
        <v>2269.9862693</v>
      </c>
      <c r="T92" s="132">
        <v>51.928491700000002</v>
      </c>
      <c r="U92" s="132">
        <v>3.4855665</v>
      </c>
      <c r="V92" s="132">
        <v>0</v>
      </c>
      <c r="W92" s="132">
        <v>0</v>
      </c>
      <c r="X92" s="132">
        <v>6.3713167000000004</v>
      </c>
      <c r="Y92" s="132">
        <v>3.1312267999999999</v>
      </c>
      <c r="Z92" s="132">
        <v>65.997242299999996</v>
      </c>
      <c r="AA92" s="132">
        <v>3158.3081137999998</v>
      </c>
    </row>
    <row r="93" spans="1:27" x14ac:dyDescent="0.35">
      <c r="A93" s="41">
        <v>42004</v>
      </c>
      <c r="B93" s="132">
        <v>1967.154</v>
      </c>
      <c r="C93" s="132">
        <v>331.40035130000001</v>
      </c>
      <c r="D93" s="132">
        <v>889.63838780000003</v>
      </c>
      <c r="E93" s="132">
        <v>558.99422400000003</v>
      </c>
      <c r="F93" s="132">
        <v>131.39391900000001</v>
      </c>
      <c r="G93" s="132">
        <v>0</v>
      </c>
      <c r="H93" s="132">
        <v>0</v>
      </c>
      <c r="I93" s="132">
        <v>36.103055300000001</v>
      </c>
      <c r="J93" s="132">
        <v>19.623856499999999</v>
      </c>
      <c r="K93" s="132">
        <v>197.48714849999999</v>
      </c>
      <c r="L93" s="132">
        <v>1058.8165958</v>
      </c>
      <c r="M93" s="132">
        <v>1006.31157</v>
      </c>
      <c r="N93" s="132">
        <v>52.505025799999999</v>
      </c>
      <c r="O93" s="132">
        <v>3223.4575380000001</v>
      </c>
      <c r="P93" s="132">
        <v>3103.9027679999999</v>
      </c>
      <c r="Q93" s="132">
        <v>289.36515079999998</v>
      </c>
      <c r="R93" s="132">
        <v>492.8455778</v>
      </c>
      <c r="S93" s="132">
        <v>2321.6920395000002</v>
      </c>
      <c r="T93" s="132">
        <v>119.55477</v>
      </c>
      <c r="U93" s="132">
        <v>3.7789673000000001</v>
      </c>
      <c r="V93" s="132">
        <v>0</v>
      </c>
      <c r="W93" s="132">
        <v>0</v>
      </c>
      <c r="X93" s="132">
        <v>6.6617759999999997</v>
      </c>
      <c r="Y93" s="132">
        <v>3.310797</v>
      </c>
      <c r="Z93" s="132">
        <v>68.715548999999996</v>
      </c>
      <c r="AA93" s="132">
        <v>3223.4575380000001</v>
      </c>
    </row>
    <row r="94" spans="1:27" x14ac:dyDescent="0.35">
      <c r="A94" s="41">
        <v>42005</v>
      </c>
      <c r="B94">
        <v>1694.9459999999999</v>
      </c>
      <c r="C94" s="132">
        <v>449.04933449999999</v>
      </c>
      <c r="D94" s="132">
        <v>614.67895569999996</v>
      </c>
      <c r="E94" s="132">
        <v>381.33692029999997</v>
      </c>
      <c r="F94" s="132">
        <v>133.66819799999999</v>
      </c>
      <c r="G94" s="132">
        <v>0</v>
      </c>
      <c r="H94" s="132">
        <v>0</v>
      </c>
      <c r="I94" s="132">
        <v>109.7952615</v>
      </c>
      <c r="J94" s="132">
        <v>6.4171597</v>
      </c>
      <c r="K94" s="132">
        <v>197.1520672</v>
      </c>
      <c r="L94" s="132">
        <v>1008.9423255</v>
      </c>
      <c r="M94" s="132">
        <v>955.37711100000001</v>
      </c>
      <c r="N94" s="132">
        <v>53.565214500000003</v>
      </c>
      <c r="O94" s="132">
        <v>2901.0402224999998</v>
      </c>
      <c r="P94" s="132">
        <v>2714.8349753000002</v>
      </c>
      <c r="Q94" s="132">
        <v>247.24678349999999</v>
      </c>
      <c r="R94" s="132">
        <v>371.7764348</v>
      </c>
      <c r="S94" s="132">
        <v>2095.8117569999999</v>
      </c>
      <c r="T94" s="132">
        <v>186.2052473</v>
      </c>
      <c r="U94" s="132">
        <v>1.8446813</v>
      </c>
      <c r="V94" s="132">
        <v>0</v>
      </c>
      <c r="W94" s="132">
        <v>0</v>
      </c>
      <c r="X94" s="132">
        <v>6.2315123000000003</v>
      </c>
      <c r="Y94" s="132">
        <v>3.0169800000000002</v>
      </c>
      <c r="Z94" s="132">
        <v>65.896426500000004</v>
      </c>
      <c r="AA94" s="132">
        <v>2901.0402224999998</v>
      </c>
    </row>
    <row r="95" spans="1:27" x14ac:dyDescent="0.35">
      <c r="A95" s="41">
        <v>42006</v>
      </c>
      <c r="B95" s="132">
        <v>1726.29</v>
      </c>
      <c r="C95" s="132">
        <v>438.30947400000002</v>
      </c>
      <c r="D95" s="132">
        <v>628.15554899999995</v>
      </c>
      <c r="E95" s="132">
        <v>387.05602879999998</v>
      </c>
      <c r="F95" s="132">
        <v>135.50491500000001</v>
      </c>
      <c r="G95" s="132">
        <v>0</v>
      </c>
      <c r="H95" s="132">
        <v>0</v>
      </c>
      <c r="I95" s="132">
        <v>137.2636545</v>
      </c>
      <c r="J95" s="132">
        <v>0</v>
      </c>
      <c r="K95" s="132">
        <v>203.18858030000001</v>
      </c>
      <c r="L95" s="132">
        <v>1044.4647953000001</v>
      </c>
      <c r="M95" s="132">
        <v>991.66323299999999</v>
      </c>
      <c r="N95" s="132">
        <v>52.801562300000001</v>
      </c>
      <c r="O95" s="132">
        <v>2973.9429967999999</v>
      </c>
      <c r="P95" s="132">
        <v>2900.9964608</v>
      </c>
      <c r="Q95" s="132">
        <v>325.73294099999998</v>
      </c>
      <c r="R95" s="132">
        <v>502.32039900000001</v>
      </c>
      <c r="S95" s="132">
        <v>2072.9431208000001</v>
      </c>
      <c r="T95" s="132">
        <v>72.946535999999995</v>
      </c>
      <c r="U95" s="132">
        <v>1.9014578</v>
      </c>
      <c r="V95" s="132">
        <v>0</v>
      </c>
      <c r="W95" s="132">
        <v>0</v>
      </c>
      <c r="X95" s="132">
        <v>5.8169550000000001</v>
      </c>
      <c r="Y95" s="132">
        <v>2.2322099999999998</v>
      </c>
      <c r="Z95" s="132">
        <v>67.669845699999996</v>
      </c>
      <c r="AA95" s="132">
        <v>2973.9429967999999</v>
      </c>
    </row>
    <row r="96" spans="1:27" x14ac:dyDescent="0.35">
      <c r="A96" s="41">
        <v>42007</v>
      </c>
      <c r="B96" s="132">
        <v>1610.0060000000001</v>
      </c>
      <c r="C96" s="132">
        <v>381.80142749999999</v>
      </c>
      <c r="D96" s="132">
        <v>617.68097850000004</v>
      </c>
      <c r="E96" s="132">
        <v>284.60677500000003</v>
      </c>
      <c r="F96" s="132">
        <v>183.23602500000001</v>
      </c>
      <c r="G96" s="132">
        <v>0</v>
      </c>
      <c r="H96" s="132">
        <v>0</v>
      </c>
      <c r="I96" s="132">
        <v>142.68078750000001</v>
      </c>
      <c r="J96" s="132">
        <v>0</v>
      </c>
      <c r="K96" s="132">
        <v>216.38148530000001</v>
      </c>
      <c r="L96" s="132">
        <v>864.33166430000006</v>
      </c>
      <c r="M96" s="132">
        <v>811.66471730000001</v>
      </c>
      <c r="N96" s="132">
        <v>52.666947</v>
      </c>
      <c r="O96" s="132">
        <v>2690.7191429999998</v>
      </c>
      <c r="P96" s="132">
        <v>2581.5209227999999</v>
      </c>
      <c r="Q96" s="132">
        <v>319.6266645</v>
      </c>
      <c r="R96" s="132">
        <v>445.30211320000001</v>
      </c>
      <c r="S96" s="132">
        <v>1816.5921450000001</v>
      </c>
      <c r="T96" s="132">
        <v>109.1982203</v>
      </c>
      <c r="U96" s="132">
        <v>1.7519408000000001</v>
      </c>
      <c r="V96" s="132">
        <v>0</v>
      </c>
      <c r="W96" s="132">
        <v>0</v>
      </c>
      <c r="X96" s="132">
        <v>5.0605732999999997</v>
      </c>
      <c r="Y96" s="132">
        <v>2.5473944999999998</v>
      </c>
      <c r="Z96" s="132">
        <v>60.267671999999997</v>
      </c>
      <c r="AA96" s="132">
        <v>2690.7191429999998</v>
      </c>
    </row>
    <row r="97" spans="1:27" x14ac:dyDescent="0.35">
      <c r="A97" s="41">
        <v>42008</v>
      </c>
      <c r="B97" s="132">
        <v>1556.4849999999999</v>
      </c>
      <c r="C97" s="132">
        <v>359.85336969999997</v>
      </c>
      <c r="D97" s="132">
        <v>613.87617599999999</v>
      </c>
      <c r="E97" s="132">
        <v>304.36968680000001</v>
      </c>
      <c r="F97" s="132">
        <v>135.66075900000001</v>
      </c>
      <c r="G97" s="132">
        <v>0</v>
      </c>
      <c r="H97" s="132">
        <v>0</v>
      </c>
      <c r="I97" s="132">
        <v>142.7250488</v>
      </c>
      <c r="J97" s="132">
        <v>0</v>
      </c>
      <c r="K97" s="132">
        <v>215.63495470000001</v>
      </c>
      <c r="L97" s="132">
        <v>649.07630180000001</v>
      </c>
      <c r="M97" s="132">
        <v>596.72506650000003</v>
      </c>
      <c r="N97" s="132">
        <v>52.351235199999998</v>
      </c>
      <c r="O97" s="132">
        <v>2421.1962967999998</v>
      </c>
      <c r="P97" s="132">
        <v>2281.1632755000001</v>
      </c>
      <c r="Q97" s="132">
        <v>287.51164499999999</v>
      </c>
      <c r="R97" s="132">
        <v>392.3842507</v>
      </c>
      <c r="S97" s="132">
        <v>1601.2673798000001</v>
      </c>
      <c r="T97" s="132">
        <v>140.0330213</v>
      </c>
      <c r="U97" s="132">
        <v>1.6830653</v>
      </c>
      <c r="V97" s="132">
        <v>0</v>
      </c>
      <c r="W97" s="132">
        <v>0</v>
      </c>
      <c r="X97" s="132">
        <v>3.8959890000000001</v>
      </c>
      <c r="Y97" s="132">
        <v>2.3442368</v>
      </c>
      <c r="Z97" s="132">
        <v>55.851425999999996</v>
      </c>
      <c r="AA97" s="132">
        <v>2421.1962967999998</v>
      </c>
    </row>
    <row r="98" spans="1:27" x14ac:dyDescent="0.35">
      <c r="A98" s="41">
        <v>42009</v>
      </c>
      <c r="B98" s="132">
        <v>1566.5450000000001</v>
      </c>
      <c r="C98" s="132">
        <v>373.0789643</v>
      </c>
      <c r="D98" s="132">
        <v>601.56694200000004</v>
      </c>
      <c r="E98" s="132">
        <v>300.92926949999998</v>
      </c>
      <c r="F98" s="132">
        <v>148.20819900000001</v>
      </c>
      <c r="G98" s="132">
        <v>0</v>
      </c>
      <c r="H98" s="132">
        <v>0</v>
      </c>
      <c r="I98" s="132">
        <v>142.76120700000001</v>
      </c>
      <c r="J98" s="132">
        <v>0</v>
      </c>
      <c r="K98" s="132">
        <v>200.64110249999999</v>
      </c>
      <c r="L98" s="132">
        <v>982.82147250000003</v>
      </c>
      <c r="M98" s="132">
        <v>930.20009100000004</v>
      </c>
      <c r="N98" s="132">
        <v>52.621381499999998</v>
      </c>
      <c r="O98" s="132">
        <v>2750.0071567999998</v>
      </c>
      <c r="P98" s="132">
        <v>2661.6695828000002</v>
      </c>
      <c r="Q98" s="132">
        <v>345.60521549999999</v>
      </c>
      <c r="R98" s="132">
        <v>484.46416199999999</v>
      </c>
      <c r="S98" s="132">
        <v>1831.6002053</v>
      </c>
      <c r="T98" s="132">
        <v>88.337574000000004</v>
      </c>
      <c r="U98" s="132">
        <v>1.973136</v>
      </c>
      <c r="V98" s="132">
        <v>0</v>
      </c>
      <c r="W98" s="132">
        <v>0</v>
      </c>
      <c r="X98" s="132">
        <v>5.2568213000000004</v>
      </c>
      <c r="Y98" s="132">
        <v>2.6341964999999998</v>
      </c>
      <c r="Z98" s="132">
        <v>63.901284799999999</v>
      </c>
      <c r="AA98" s="132">
        <v>2750.0071567999998</v>
      </c>
    </row>
    <row r="99" spans="1:27" x14ac:dyDescent="0.35">
      <c r="A99" s="41">
        <v>42010</v>
      </c>
      <c r="B99" s="132">
        <v>1504.9649999999999</v>
      </c>
      <c r="C99" s="132">
        <v>299.14103180000001</v>
      </c>
      <c r="D99" s="132">
        <v>560.91879749999998</v>
      </c>
      <c r="E99" s="132">
        <v>346.08615070000002</v>
      </c>
      <c r="F99" s="132">
        <v>156.02554050000001</v>
      </c>
      <c r="G99" s="132">
        <v>0</v>
      </c>
      <c r="H99" s="132">
        <v>0</v>
      </c>
      <c r="I99" s="132">
        <v>142.79361900000001</v>
      </c>
      <c r="J99" s="132">
        <v>0</v>
      </c>
      <c r="K99" s="132">
        <v>200.90014880000001</v>
      </c>
      <c r="L99" s="132">
        <v>1049.7531959999999</v>
      </c>
      <c r="M99" s="132">
        <v>997.43370679999998</v>
      </c>
      <c r="N99" s="132">
        <v>52.3194892</v>
      </c>
      <c r="O99" s="132">
        <v>2755.6184843000001</v>
      </c>
      <c r="P99" s="132">
        <v>2641.5016875000001</v>
      </c>
      <c r="Q99" s="132">
        <v>318.04094629999997</v>
      </c>
      <c r="R99" s="132">
        <v>481.54691550000001</v>
      </c>
      <c r="S99" s="132">
        <v>1841.9138258</v>
      </c>
      <c r="T99" s="132">
        <v>114.1167968</v>
      </c>
      <c r="U99" s="132">
        <v>1.9368668</v>
      </c>
      <c r="V99" s="132">
        <v>0</v>
      </c>
      <c r="W99" s="132">
        <v>0</v>
      </c>
      <c r="X99" s="132">
        <v>5.4991897999999999</v>
      </c>
      <c r="Y99" s="132">
        <v>2.5771147999999999</v>
      </c>
      <c r="Z99" s="132">
        <v>63.013284800000001</v>
      </c>
      <c r="AA99" s="132">
        <v>2755.6184843000001</v>
      </c>
    </row>
    <row r="100" spans="1:27" x14ac:dyDescent="0.35">
      <c r="A100" s="41">
        <v>42011</v>
      </c>
      <c r="B100" s="132">
        <v>1896.356</v>
      </c>
      <c r="C100" s="132">
        <v>378.64980450000002</v>
      </c>
      <c r="D100" s="132">
        <v>655.82055079999998</v>
      </c>
      <c r="E100" s="132">
        <v>408.62341199999997</v>
      </c>
      <c r="F100" s="132">
        <v>167.25058200000001</v>
      </c>
      <c r="G100" s="132">
        <v>0</v>
      </c>
      <c r="H100" s="132">
        <v>0</v>
      </c>
      <c r="I100" s="132">
        <v>286.01084179999998</v>
      </c>
      <c r="J100" s="132">
        <v>4.44E-4</v>
      </c>
      <c r="K100" s="132">
        <v>203.33709830000001</v>
      </c>
      <c r="L100" s="132">
        <v>1189.2036893</v>
      </c>
      <c r="M100" s="132">
        <v>1135.1040098000001</v>
      </c>
      <c r="N100" s="132">
        <v>54.099679500000001</v>
      </c>
      <c r="O100" s="132">
        <v>3288.8964225</v>
      </c>
      <c r="P100" s="132">
        <v>3170.6679359999998</v>
      </c>
      <c r="Q100" s="132">
        <v>407.21157529999999</v>
      </c>
      <c r="R100" s="132">
        <v>725.34587250000004</v>
      </c>
      <c r="S100" s="132">
        <v>2038.1104883</v>
      </c>
      <c r="T100" s="132">
        <v>118.2284865</v>
      </c>
      <c r="U100" s="132">
        <v>2.0002477999999999</v>
      </c>
      <c r="V100" s="132">
        <v>0</v>
      </c>
      <c r="W100" s="132">
        <v>0</v>
      </c>
      <c r="X100" s="132">
        <v>6.0915689999999998</v>
      </c>
      <c r="Y100" s="132">
        <v>2.2414230000000002</v>
      </c>
      <c r="Z100" s="132">
        <v>70.661157000000003</v>
      </c>
      <c r="AA100" s="132">
        <v>3288.8964225</v>
      </c>
    </row>
    <row r="101" spans="1:27" x14ac:dyDescent="0.35">
      <c r="A101" s="41">
        <v>42012</v>
      </c>
      <c r="B101" s="132">
        <v>1735.1279999999999</v>
      </c>
      <c r="C101" s="132">
        <v>378.13287750000001</v>
      </c>
      <c r="D101" s="132">
        <v>586.81984279999995</v>
      </c>
      <c r="E101" s="132">
        <v>319.54255430000001</v>
      </c>
      <c r="F101" s="132">
        <v>164.7060735</v>
      </c>
      <c r="G101" s="132">
        <v>0</v>
      </c>
      <c r="H101" s="132">
        <v>0</v>
      </c>
      <c r="I101" s="132">
        <v>285.9261765</v>
      </c>
      <c r="J101" s="132">
        <v>0</v>
      </c>
      <c r="K101" s="132">
        <v>201.3330488</v>
      </c>
      <c r="L101" s="132">
        <v>1262.6260823</v>
      </c>
      <c r="M101" s="132">
        <v>1208.6924865000001</v>
      </c>
      <c r="N101" s="132">
        <v>53.933595799999999</v>
      </c>
      <c r="O101" s="132">
        <v>3199.0866554999998</v>
      </c>
      <c r="P101" s="132">
        <v>3103.1899537999998</v>
      </c>
      <c r="Q101" s="132">
        <v>426.83146349999998</v>
      </c>
      <c r="R101" s="132">
        <v>705.20655980000004</v>
      </c>
      <c r="S101" s="132">
        <v>1971.1519304999999</v>
      </c>
      <c r="T101" s="132">
        <v>95.896701800000002</v>
      </c>
      <c r="U101" s="132">
        <v>1.9313445</v>
      </c>
      <c r="V101" s="132">
        <v>0</v>
      </c>
      <c r="W101" s="132">
        <v>0</v>
      </c>
      <c r="X101" s="132">
        <v>6.0636802000000003</v>
      </c>
      <c r="Y101" s="132">
        <v>2.1987713000000002</v>
      </c>
      <c r="Z101" s="132">
        <v>75.453998299999995</v>
      </c>
      <c r="AA101" s="132">
        <v>3199.0866554999998</v>
      </c>
    </row>
    <row r="102" spans="1:27" x14ac:dyDescent="0.35">
      <c r="A102" s="41">
        <v>42013</v>
      </c>
      <c r="B102" s="132">
        <v>1902.152</v>
      </c>
      <c r="C102" s="132">
        <v>630.32276850000005</v>
      </c>
      <c r="D102" s="132">
        <v>582.56521269999996</v>
      </c>
      <c r="E102" s="132">
        <v>197.94513449999999</v>
      </c>
      <c r="F102" s="132">
        <v>205.40308580000001</v>
      </c>
      <c r="G102" s="132">
        <v>0</v>
      </c>
      <c r="H102" s="132">
        <v>0</v>
      </c>
      <c r="I102" s="132">
        <v>285.91610329999997</v>
      </c>
      <c r="J102" s="132">
        <v>0</v>
      </c>
      <c r="K102" s="132">
        <v>203.0221913</v>
      </c>
      <c r="L102" s="132">
        <v>1047.809364</v>
      </c>
      <c r="M102" s="132">
        <v>993.91131600000006</v>
      </c>
      <c r="N102" s="132">
        <v>53.898048000000003</v>
      </c>
      <c r="O102" s="132">
        <v>3152.9838599999998</v>
      </c>
      <c r="P102" s="132">
        <v>3026.4637290000001</v>
      </c>
      <c r="Q102" s="132">
        <v>424.9384417</v>
      </c>
      <c r="R102" s="132">
        <v>676.53939449999996</v>
      </c>
      <c r="S102" s="132">
        <v>1924.9858927</v>
      </c>
      <c r="T102" s="132">
        <v>126.52013100000001</v>
      </c>
      <c r="U102" s="132">
        <v>1.7944538000000001</v>
      </c>
      <c r="V102" s="132">
        <v>0</v>
      </c>
      <c r="W102" s="132">
        <v>0</v>
      </c>
      <c r="X102" s="132">
        <v>5.4931124999999996</v>
      </c>
      <c r="Y102" s="132">
        <v>2.1572849999999999</v>
      </c>
      <c r="Z102" s="132">
        <v>68.625056299999997</v>
      </c>
      <c r="AA102" s="132">
        <v>3152.9838599999998</v>
      </c>
    </row>
    <row r="103" spans="1:27" x14ac:dyDescent="0.35">
      <c r="A103" s="41">
        <v>42014</v>
      </c>
      <c r="B103" s="132">
        <v>1741.4480000000001</v>
      </c>
      <c r="C103" s="132">
        <v>475.38924600000001</v>
      </c>
      <c r="D103" s="132">
        <v>605.04584850000003</v>
      </c>
      <c r="E103" s="132">
        <v>207.46010999999999</v>
      </c>
      <c r="F103" s="132">
        <v>167.5358243</v>
      </c>
      <c r="G103" s="132">
        <v>0</v>
      </c>
      <c r="H103" s="132">
        <v>0</v>
      </c>
      <c r="I103" s="132">
        <v>286.01650280000001</v>
      </c>
      <c r="J103" s="132">
        <v>0</v>
      </c>
      <c r="K103" s="132">
        <v>203.49846450000001</v>
      </c>
      <c r="L103" s="132">
        <v>521.598657</v>
      </c>
      <c r="M103" s="132">
        <v>467.81504999999999</v>
      </c>
      <c r="N103" s="132">
        <v>53.783607000000003</v>
      </c>
      <c r="O103" s="132">
        <v>2466.5446529999999</v>
      </c>
      <c r="P103" s="132">
        <v>2427.6900464999999</v>
      </c>
      <c r="Q103" s="132">
        <v>361.856448</v>
      </c>
      <c r="R103" s="132">
        <v>424.18783200000001</v>
      </c>
      <c r="S103" s="132">
        <v>1641.6457665</v>
      </c>
      <c r="T103" s="132">
        <v>38.854606500000003</v>
      </c>
      <c r="U103" s="132">
        <v>1.6151332</v>
      </c>
      <c r="V103" s="132">
        <v>0</v>
      </c>
      <c r="W103" s="132">
        <v>0</v>
      </c>
      <c r="X103" s="132">
        <v>4.2116175</v>
      </c>
      <c r="Y103" s="132">
        <v>2.34321</v>
      </c>
      <c r="Z103" s="132">
        <v>59.8477867</v>
      </c>
      <c r="AA103" s="132">
        <v>2466.5446529999999</v>
      </c>
    </row>
    <row r="104" spans="1:27" x14ac:dyDescent="0.35">
      <c r="A104" s="41">
        <v>42015</v>
      </c>
      <c r="B104" s="132">
        <v>1616.308</v>
      </c>
      <c r="C104" s="132">
        <v>453.17517679999997</v>
      </c>
      <c r="D104" s="132">
        <v>527.21944729999996</v>
      </c>
      <c r="E104" s="132">
        <v>182.68063649999999</v>
      </c>
      <c r="F104" s="132">
        <v>167.299533</v>
      </c>
      <c r="G104" s="132">
        <v>0</v>
      </c>
      <c r="H104" s="132">
        <v>0</v>
      </c>
      <c r="I104" s="132">
        <v>285.93330830000002</v>
      </c>
      <c r="J104" s="132">
        <v>0</v>
      </c>
      <c r="K104" s="132">
        <v>202.42856330000001</v>
      </c>
      <c r="L104" s="132">
        <v>527.45793079999999</v>
      </c>
      <c r="M104" s="132">
        <v>473.5632683</v>
      </c>
      <c r="N104" s="132">
        <v>53.894662500000003</v>
      </c>
      <c r="O104" s="132">
        <v>2346.1945958000001</v>
      </c>
      <c r="P104" s="132">
        <v>2227.958478</v>
      </c>
      <c r="Q104" s="132">
        <v>341.45176199999997</v>
      </c>
      <c r="R104" s="132">
        <v>332.01246079999999</v>
      </c>
      <c r="S104" s="132">
        <v>1554.4942552</v>
      </c>
      <c r="T104" s="132">
        <v>118.2361178</v>
      </c>
      <c r="U104" s="132">
        <v>1.6345582999999999</v>
      </c>
      <c r="V104" s="132">
        <v>0</v>
      </c>
      <c r="W104" s="132">
        <v>0</v>
      </c>
      <c r="X104" s="132">
        <v>4.3415429999999997</v>
      </c>
      <c r="Y104" s="132">
        <v>1.6734914999999999</v>
      </c>
      <c r="Z104" s="132">
        <v>56.341574199999997</v>
      </c>
      <c r="AA104" s="132">
        <v>2346.1945958000001</v>
      </c>
    </row>
    <row r="105" spans="1:27" x14ac:dyDescent="0.35">
      <c r="A105" s="41">
        <v>42016</v>
      </c>
      <c r="B105" s="132">
        <v>1945.4269999999999</v>
      </c>
      <c r="C105" s="132">
        <v>683.412237</v>
      </c>
      <c r="D105" s="132">
        <v>623.59675119999997</v>
      </c>
      <c r="E105" s="132">
        <v>196.288071</v>
      </c>
      <c r="F105" s="132">
        <v>156.1868235</v>
      </c>
      <c r="G105" s="132">
        <v>0</v>
      </c>
      <c r="H105" s="132">
        <v>0</v>
      </c>
      <c r="I105" s="132">
        <v>285.94277099999999</v>
      </c>
      <c r="J105" s="132">
        <v>0</v>
      </c>
      <c r="K105" s="132">
        <v>202.68203170000001</v>
      </c>
      <c r="L105" s="132">
        <v>888.50474480000003</v>
      </c>
      <c r="M105" s="132">
        <v>834.11466150000001</v>
      </c>
      <c r="N105" s="132">
        <v>54.390083300000001</v>
      </c>
      <c r="O105" s="132">
        <v>3036.6134302999999</v>
      </c>
      <c r="P105" s="132">
        <v>2898.4996544999999</v>
      </c>
      <c r="Q105" s="132">
        <v>440.1211328</v>
      </c>
      <c r="R105" s="132">
        <v>596.45361600000001</v>
      </c>
      <c r="S105" s="132">
        <v>1861.9249058</v>
      </c>
      <c r="T105" s="132">
        <v>138.11377580000001</v>
      </c>
      <c r="U105" s="132">
        <v>1.7814945</v>
      </c>
      <c r="V105" s="132">
        <v>0</v>
      </c>
      <c r="W105" s="132">
        <v>0</v>
      </c>
      <c r="X105" s="132">
        <v>5.4819015000000002</v>
      </c>
      <c r="Y105" s="132">
        <v>2.1042548000000001</v>
      </c>
      <c r="Z105" s="132">
        <v>66.824802800000001</v>
      </c>
      <c r="AA105" s="132">
        <v>3036.6134302999999</v>
      </c>
    </row>
    <row r="106" spans="1:27" x14ac:dyDescent="0.35">
      <c r="A106" s="41">
        <v>42017</v>
      </c>
      <c r="B106" s="132">
        <v>1798.671</v>
      </c>
      <c r="C106" s="132">
        <v>369.15641849999997</v>
      </c>
      <c r="D106" s="132">
        <v>592.92925500000001</v>
      </c>
      <c r="E106" s="132">
        <v>400.24979400000001</v>
      </c>
      <c r="F106" s="132">
        <v>178.25847970000001</v>
      </c>
      <c r="G106" s="132">
        <v>0</v>
      </c>
      <c r="H106" s="132">
        <v>0</v>
      </c>
      <c r="I106" s="132">
        <v>258.076998</v>
      </c>
      <c r="J106" s="132">
        <v>0</v>
      </c>
      <c r="K106" s="132">
        <v>163.82825779999999</v>
      </c>
      <c r="L106" s="132">
        <v>1110.1458818000001</v>
      </c>
      <c r="M106" s="132">
        <v>1055.7449482</v>
      </c>
      <c r="N106" s="132">
        <v>54.400933500000001</v>
      </c>
      <c r="O106" s="132">
        <v>3072.6450847999999</v>
      </c>
      <c r="P106" s="132">
        <v>3026.0226149999999</v>
      </c>
      <c r="Q106" s="132">
        <v>447.54131630000001</v>
      </c>
      <c r="R106" s="132">
        <v>672.11532299999999</v>
      </c>
      <c r="S106" s="132">
        <v>1906.3659757</v>
      </c>
      <c r="T106" s="132">
        <v>46.622469799999998</v>
      </c>
      <c r="U106" s="132">
        <v>1.7533559999999999</v>
      </c>
      <c r="V106" s="132">
        <v>0</v>
      </c>
      <c r="W106" s="132">
        <v>0</v>
      </c>
      <c r="X106" s="132">
        <v>5.6276166999999999</v>
      </c>
      <c r="Y106" s="132">
        <v>2.4855398000000002</v>
      </c>
      <c r="Z106" s="132">
        <v>68.431638800000002</v>
      </c>
      <c r="AA106" s="132">
        <v>3072.6450847999999</v>
      </c>
    </row>
    <row r="107" spans="1:27" x14ac:dyDescent="0.35">
      <c r="A107" s="41">
        <v>42018</v>
      </c>
      <c r="B107" s="132">
        <v>1741.4829999999999</v>
      </c>
      <c r="C107" s="132">
        <v>296.02159879999999</v>
      </c>
      <c r="D107" s="132">
        <v>605.32592929999998</v>
      </c>
      <c r="E107" s="132">
        <v>378.596136</v>
      </c>
      <c r="F107" s="132">
        <v>175.4858662</v>
      </c>
      <c r="G107" s="132">
        <v>0</v>
      </c>
      <c r="H107" s="132">
        <v>0</v>
      </c>
      <c r="I107" s="132">
        <v>286.05316049999999</v>
      </c>
      <c r="J107" s="132">
        <v>0</v>
      </c>
      <c r="K107" s="132">
        <v>163.76321179999999</v>
      </c>
      <c r="L107" s="132">
        <v>1134.576399</v>
      </c>
      <c r="M107" s="132">
        <v>1080.166197</v>
      </c>
      <c r="N107" s="132">
        <v>54.410201999999998</v>
      </c>
      <c r="O107" s="132">
        <v>3039.8223014999999</v>
      </c>
      <c r="P107" s="132">
        <v>2991.0034470000001</v>
      </c>
      <c r="Q107" s="132">
        <v>417.93633979999998</v>
      </c>
      <c r="R107" s="132">
        <v>702.03992400000004</v>
      </c>
      <c r="S107" s="132">
        <v>1871.0271832999999</v>
      </c>
      <c r="T107" s="132">
        <v>48.8188545</v>
      </c>
      <c r="U107" s="132">
        <v>1.6789305000000001</v>
      </c>
      <c r="V107" s="132">
        <v>0</v>
      </c>
      <c r="W107" s="132">
        <v>0</v>
      </c>
      <c r="X107" s="132">
        <v>5.680536</v>
      </c>
      <c r="Y107" s="132">
        <v>2.3229525</v>
      </c>
      <c r="Z107" s="132">
        <v>71.117533499999993</v>
      </c>
      <c r="AA107" s="132">
        <v>3039.8223014999999</v>
      </c>
    </row>
    <row r="108" spans="1:27" x14ac:dyDescent="0.35">
      <c r="A108" s="41">
        <v>42019</v>
      </c>
      <c r="B108" s="132">
        <v>1780.288</v>
      </c>
      <c r="C108" s="132">
        <v>193.31571299999999</v>
      </c>
      <c r="D108" s="132">
        <v>711.772515</v>
      </c>
      <c r="E108" s="132">
        <v>408.31696870000002</v>
      </c>
      <c r="F108" s="132">
        <v>180.99329779999999</v>
      </c>
      <c r="G108" s="132">
        <v>0</v>
      </c>
      <c r="H108" s="132">
        <v>0</v>
      </c>
      <c r="I108" s="132">
        <v>285.8899073</v>
      </c>
      <c r="J108" s="132">
        <v>0</v>
      </c>
      <c r="K108" s="132">
        <v>163.444503</v>
      </c>
      <c r="L108" s="132">
        <v>1110.236985</v>
      </c>
      <c r="M108" s="132">
        <v>1054.5836939999999</v>
      </c>
      <c r="N108" s="132">
        <v>55.653291000000003</v>
      </c>
      <c r="O108" s="132">
        <v>3053.9698898000001</v>
      </c>
      <c r="P108" s="132">
        <v>3041.7613605000001</v>
      </c>
      <c r="Q108" s="132">
        <v>446.83247030000001</v>
      </c>
      <c r="R108" s="132">
        <v>704.52615749999995</v>
      </c>
      <c r="S108" s="132">
        <v>1890.4027328</v>
      </c>
      <c r="T108" s="132">
        <v>12.2085293</v>
      </c>
      <c r="U108" s="132">
        <v>1.6548712000000001</v>
      </c>
      <c r="V108" s="132">
        <v>0</v>
      </c>
      <c r="W108" s="132">
        <v>0</v>
      </c>
      <c r="X108" s="132">
        <v>5.8560270000000001</v>
      </c>
      <c r="Y108" s="132">
        <v>2.0646</v>
      </c>
      <c r="Z108" s="132">
        <v>69.621531000000004</v>
      </c>
      <c r="AA108" s="132">
        <v>3053.9698898000001</v>
      </c>
    </row>
    <row r="109" spans="1:27" x14ac:dyDescent="0.35">
      <c r="A109" s="41">
        <v>42020</v>
      </c>
      <c r="B109" s="132">
        <v>1675.99</v>
      </c>
      <c r="C109" s="132">
        <v>131.9636265</v>
      </c>
      <c r="D109" s="132">
        <v>735.66795679999996</v>
      </c>
      <c r="E109" s="132">
        <v>401.8107038</v>
      </c>
      <c r="F109" s="132">
        <v>175.5534653</v>
      </c>
      <c r="G109" s="132">
        <v>0</v>
      </c>
      <c r="H109" s="132">
        <v>0</v>
      </c>
      <c r="I109" s="132">
        <v>230.99421899999999</v>
      </c>
      <c r="J109" s="132">
        <v>0</v>
      </c>
      <c r="K109" s="132">
        <v>160.76718299999999</v>
      </c>
      <c r="L109" s="132">
        <v>1093.2067268000001</v>
      </c>
      <c r="M109" s="132">
        <v>1037.5498560000001</v>
      </c>
      <c r="N109" s="132">
        <v>55.6568708</v>
      </c>
      <c r="O109" s="132">
        <v>2929.9638810000001</v>
      </c>
      <c r="P109" s="132">
        <v>2880.4504717999998</v>
      </c>
      <c r="Q109" s="132">
        <v>426.51275479999998</v>
      </c>
      <c r="R109" s="132">
        <v>629.74884299999997</v>
      </c>
      <c r="S109" s="132">
        <v>1824.1888739999999</v>
      </c>
      <c r="T109" s="132">
        <v>49.513409299999999</v>
      </c>
      <c r="U109" s="132">
        <v>1.6086398</v>
      </c>
      <c r="V109" s="132">
        <v>0</v>
      </c>
      <c r="W109" s="132">
        <v>0</v>
      </c>
      <c r="X109" s="132">
        <v>5.5762792000000001</v>
      </c>
      <c r="Y109" s="132">
        <v>2.2268542999999998</v>
      </c>
      <c r="Z109" s="132">
        <v>67.874751799999999</v>
      </c>
      <c r="AA109" s="132">
        <v>2929.9638810000001</v>
      </c>
    </row>
    <row r="110" spans="1:27" x14ac:dyDescent="0.35">
      <c r="A110" s="41">
        <v>42021</v>
      </c>
      <c r="B110" s="132">
        <v>1588.521</v>
      </c>
      <c r="C110" s="132">
        <v>133.30664329999999</v>
      </c>
      <c r="D110" s="132">
        <v>699.34115329999997</v>
      </c>
      <c r="E110" s="132">
        <v>404.54144250000002</v>
      </c>
      <c r="F110" s="132">
        <v>175.489002</v>
      </c>
      <c r="G110" s="132">
        <v>0</v>
      </c>
      <c r="H110" s="132">
        <v>0</v>
      </c>
      <c r="I110" s="132">
        <v>175.84314749999999</v>
      </c>
      <c r="J110" s="132">
        <v>0</v>
      </c>
      <c r="K110" s="132">
        <v>201.99286050000001</v>
      </c>
      <c r="L110" s="132">
        <v>568.28650579999999</v>
      </c>
      <c r="M110" s="132">
        <v>513.20708479999996</v>
      </c>
      <c r="N110" s="132">
        <v>55.079421000000004</v>
      </c>
      <c r="O110" s="132">
        <v>2358.8007548</v>
      </c>
      <c r="P110" s="132">
        <v>2300.9250495000001</v>
      </c>
      <c r="Q110" s="132">
        <v>366.82780500000001</v>
      </c>
      <c r="R110" s="132">
        <v>386.68731450000001</v>
      </c>
      <c r="S110" s="132">
        <v>1547.40993</v>
      </c>
      <c r="T110" s="132">
        <v>57.8757053</v>
      </c>
      <c r="U110" s="132">
        <v>1.5521962</v>
      </c>
      <c r="V110" s="132">
        <v>0</v>
      </c>
      <c r="W110" s="132">
        <v>0</v>
      </c>
      <c r="X110" s="132">
        <v>4.9775453000000001</v>
      </c>
      <c r="Y110" s="132">
        <v>1.8810893</v>
      </c>
      <c r="Z110" s="132">
        <v>59.924016000000002</v>
      </c>
      <c r="AA110" s="132">
        <v>2358.8007548</v>
      </c>
    </row>
    <row r="111" spans="1:27" x14ac:dyDescent="0.35">
      <c r="A111" s="41">
        <v>42022</v>
      </c>
      <c r="B111" s="132">
        <v>1580.588</v>
      </c>
      <c r="C111" s="132">
        <v>123.5438047</v>
      </c>
      <c r="D111" s="132">
        <v>693.40170980000005</v>
      </c>
      <c r="E111" s="132">
        <v>409.1749433</v>
      </c>
      <c r="F111" s="132">
        <v>178.56078830000001</v>
      </c>
      <c r="G111" s="132">
        <v>0</v>
      </c>
      <c r="H111" s="132">
        <v>0</v>
      </c>
      <c r="I111" s="132">
        <v>175.9071945</v>
      </c>
      <c r="J111" s="132">
        <v>0</v>
      </c>
      <c r="K111" s="132">
        <v>161.73898800000001</v>
      </c>
      <c r="L111" s="132">
        <v>581.39996250000002</v>
      </c>
      <c r="M111" s="132">
        <v>526.33555430000001</v>
      </c>
      <c r="N111" s="132">
        <v>55.064408200000003</v>
      </c>
      <c r="O111" s="132">
        <v>2323.7273909999999</v>
      </c>
      <c r="P111" s="132">
        <v>2288.4808950000001</v>
      </c>
      <c r="Q111" s="132">
        <v>332.07967129999997</v>
      </c>
      <c r="R111" s="132">
        <v>386.69122720000001</v>
      </c>
      <c r="S111" s="132">
        <v>1569.7099965</v>
      </c>
      <c r="T111" s="132">
        <v>35.246496</v>
      </c>
      <c r="U111" s="132">
        <v>1.5493935000000001</v>
      </c>
      <c r="V111" s="132">
        <v>0</v>
      </c>
      <c r="W111" s="132">
        <v>0</v>
      </c>
      <c r="X111" s="132">
        <v>5.3777280000000003</v>
      </c>
      <c r="Y111" s="132">
        <v>1.6675253000000001</v>
      </c>
      <c r="Z111" s="132">
        <v>58.291483499999998</v>
      </c>
      <c r="AA111" s="132">
        <v>2323.7273909999999</v>
      </c>
    </row>
    <row r="112" spans="1:27" x14ac:dyDescent="0.35">
      <c r="A112" s="41">
        <v>42023</v>
      </c>
      <c r="B112" s="132">
        <v>1697.63</v>
      </c>
      <c r="C112" s="132">
        <v>148.14972969999999</v>
      </c>
      <c r="D112" s="132">
        <v>737.96265979999998</v>
      </c>
      <c r="E112" s="132">
        <v>408.77892300000002</v>
      </c>
      <c r="F112" s="132">
        <v>193.75213729999999</v>
      </c>
      <c r="G112" s="132">
        <v>0</v>
      </c>
      <c r="H112" s="132">
        <v>0</v>
      </c>
      <c r="I112" s="132">
        <v>208.98613800000001</v>
      </c>
      <c r="J112" s="132">
        <v>0</v>
      </c>
      <c r="K112" s="132">
        <v>199.455456</v>
      </c>
      <c r="L112" s="132">
        <v>1277.8509532999999</v>
      </c>
      <c r="M112" s="132">
        <v>1222.4972513</v>
      </c>
      <c r="N112" s="132">
        <v>55.353701999999998</v>
      </c>
      <c r="O112" s="132">
        <v>3174.935997</v>
      </c>
      <c r="P112" s="132">
        <v>3084.6324743</v>
      </c>
      <c r="Q112" s="132">
        <v>453.4301438</v>
      </c>
      <c r="R112" s="132">
        <v>731.13088730000004</v>
      </c>
      <c r="S112" s="132">
        <v>1900.0714433000001</v>
      </c>
      <c r="T112" s="132">
        <v>90.303522799999996</v>
      </c>
      <c r="U112" s="132">
        <v>1.6909185</v>
      </c>
      <c r="V112" s="132">
        <v>0</v>
      </c>
      <c r="W112" s="132">
        <v>0</v>
      </c>
      <c r="X112" s="132">
        <v>5.9350313000000003</v>
      </c>
      <c r="Y112" s="132">
        <v>2.1975503000000001</v>
      </c>
      <c r="Z112" s="132">
        <v>71.388873000000004</v>
      </c>
      <c r="AA112" s="132">
        <v>3174.935997</v>
      </c>
    </row>
    <row r="113" spans="1:28" x14ac:dyDescent="0.35">
      <c r="A113" s="41">
        <v>42024</v>
      </c>
      <c r="B113" s="132">
        <v>1546.6569999999999</v>
      </c>
      <c r="C113" s="132">
        <v>132.45166570000001</v>
      </c>
      <c r="D113" s="132">
        <v>683.92600049999999</v>
      </c>
      <c r="E113" s="132">
        <v>326.80886400000003</v>
      </c>
      <c r="F113" s="132">
        <v>194.37917630000001</v>
      </c>
      <c r="G113" s="132">
        <v>2.3754000000000001E-2</v>
      </c>
      <c r="H113" s="132">
        <v>0</v>
      </c>
      <c r="I113" s="132">
        <v>209.0676675</v>
      </c>
      <c r="J113" s="132">
        <v>0</v>
      </c>
      <c r="K113" s="132">
        <v>201.56057100000001</v>
      </c>
      <c r="L113" s="132">
        <v>1500.0254451999999</v>
      </c>
      <c r="M113" s="132">
        <v>1444.7495819999999</v>
      </c>
      <c r="N113" s="132">
        <v>55.275863299999997</v>
      </c>
      <c r="O113" s="132">
        <v>3248.2431443</v>
      </c>
      <c r="P113" s="132">
        <v>3200.4463222999998</v>
      </c>
      <c r="Q113" s="132">
        <v>454.91335350000003</v>
      </c>
      <c r="R113" s="132">
        <v>789.90585899999996</v>
      </c>
      <c r="S113" s="132">
        <v>1955.6271096999999</v>
      </c>
      <c r="T113" s="132">
        <v>47.796821999999999</v>
      </c>
      <c r="U113" s="132">
        <v>1.6289528</v>
      </c>
      <c r="V113" s="132">
        <v>0</v>
      </c>
      <c r="W113" s="132">
        <v>0</v>
      </c>
      <c r="X113" s="132">
        <v>6.0715335000000001</v>
      </c>
      <c r="Y113" s="132">
        <v>2.8513679999999999</v>
      </c>
      <c r="Z113" s="132">
        <v>72.099883500000004</v>
      </c>
      <c r="AA113" s="132">
        <v>3248.2431443</v>
      </c>
    </row>
    <row r="114" spans="1:28" x14ac:dyDescent="0.35">
      <c r="A114" s="41">
        <v>42025</v>
      </c>
      <c r="B114" s="132">
        <v>1563.252</v>
      </c>
      <c r="C114" s="132">
        <v>132.0344723</v>
      </c>
      <c r="D114" s="132">
        <v>675.34581149999997</v>
      </c>
      <c r="E114" s="132">
        <v>352.733025</v>
      </c>
      <c r="F114" s="132">
        <v>194.05386300000001</v>
      </c>
      <c r="G114" s="132">
        <v>0</v>
      </c>
      <c r="H114" s="132">
        <v>0</v>
      </c>
      <c r="I114" s="132">
        <v>209.08487249999999</v>
      </c>
      <c r="J114" s="132">
        <v>0</v>
      </c>
      <c r="K114" s="132">
        <v>201.7971675</v>
      </c>
      <c r="L114" s="132">
        <v>1493.7020528</v>
      </c>
      <c r="M114" s="132">
        <v>1438.7544720000001</v>
      </c>
      <c r="N114" s="132">
        <v>54.947580700000003</v>
      </c>
      <c r="O114" s="132">
        <v>3258.7512645000002</v>
      </c>
      <c r="P114" s="132">
        <v>3227.4987981999998</v>
      </c>
      <c r="Q114" s="132">
        <v>448.84889629999998</v>
      </c>
      <c r="R114" s="132">
        <v>780.76228949999995</v>
      </c>
      <c r="S114" s="132">
        <v>1997.8876124999999</v>
      </c>
      <c r="T114" s="132">
        <v>31.252466299999998</v>
      </c>
      <c r="U114" s="132">
        <v>1.5650999999999999</v>
      </c>
      <c r="V114" s="132">
        <v>0</v>
      </c>
      <c r="W114" s="132">
        <v>0</v>
      </c>
      <c r="X114" s="132">
        <v>6.6257010000000003</v>
      </c>
      <c r="Y114" s="132">
        <v>2.857917</v>
      </c>
      <c r="Z114" s="132">
        <v>72.939681800000002</v>
      </c>
      <c r="AA114" s="132">
        <v>3258.7512645000002</v>
      </c>
    </row>
    <row r="115" spans="1:28" x14ac:dyDescent="0.35">
      <c r="A115" s="41">
        <v>42026</v>
      </c>
      <c r="B115" s="132">
        <v>1535.2</v>
      </c>
      <c r="C115" s="132">
        <v>132.51976429999999</v>
      </c>
      <c r="D115" s="132">
        <v>683.13015829999995</v>
      </c>
      <c r="E115" s="132">
        <v>327.27181730000001</v>
      </c>
      <c r="F115" s="132">
        <v>183.1022145</v>
      </c>
      <c r="G115" s="132">
        <v>0</v>
      </c>
      <c r="H115" s="132">
        <v>0.38164579999999998</v>
      </c>
      <c r="I115" s="132">
        <v>208.79488499999999</v>
      </c>
      <c r="J115" s="132">
        <v>0</v>
      </c>
      <c r="K115" s="132">
        <v>203.393292</v>
      </c>
      <c r="L115" s="132">
        <v>1503.2753588</v>
      </c>
      <c r="M115" s="132">
        <v>1447.6187378</v>
      </c>
      <c r="N115" s="132">
        <v>55.656621000000001</v>
      </c>
      <c r="O115" s="132">
        <v>3241.8691358000001</v>
      </c>
      <c r="P115" s="132">
        <v>3153.7094115</v>
      </c>
      <c r="Q115" s="132">
        <v>452.22085429999998</v>
      </c>
      <c r="R115" s="132">
        <v>734.57851949999997</v>
      </c>
      <c r="S115" s="132">
        <v>1966.9100377</v>
      </c>
      <c r="T115" s="132">
        <v>88.159724299999993</v>
      </c>
      <c r="U115" s="132">
        <v>1.4393370000000001</v>
      </c>
      <c r="V115" s="132">
        <v>0</v>
      </c>
      <c r="W115" s="132">
        <v>0</v>
      </c>
      <c r="X115" s="132">
        <v>6.4015643000000004</v>
      </c>
      <c r="Y115" s="132">
        <v>2.7751388000000001</v>
      </c>
      <c r="Z115" s="132">
        <v>74.871886500000002</v>
      </c>
      <c r="AA115" s="132">
        <v>3241.8691358000001</v>
      </c>
    </row>
    <row r="116" spans="1:28" x14ac:dyDescent="0.35">
      <c r="A116" s="41">
        <v>42027</v>
      </c>
      <c r="B116" s="132">
        <v>1665.6210000000001</v>
      </c>
      <c r="C116" s="132">
        <v>133.94641949999999</v>
      </c>
      <c r="D116" s="132">
        <v>743.25816450000002</v>
      </c>
      <c r="E116" s="132">
        <v>403.62819000000002</v>
      </c>
      <c r="F116" s="132">
        <v>175.567035</v>
      </c>
      <c r="G116" s="132">
        <v>0</v>
      </c>
      <c r="H116" s="132">
        <v>0.49003720000000001</v>
      </c>
      <c r="I116" s="132">
        <v>208.73153170000001</v>
      </c>
      <c r="J116" s="132">
        <v>0</v>
      </c>
      <c r="K116" s="132">
        <v>203.497299</v>
      </c>
      <c r="L116" s="132">
        <v>1269.1436693000001</v>
      </c>
      <c r="M116" s="132">
        <v>1213.5592260000001</v>
      </c>
      <c r="N116" s="132">
        <v>55.584443299999997</v>
      </c>
      <c r="O116" s="132">
        <v>3138.2623463</v>
      </c>
      <c r="P116" s="132">
        <v>3038.1369052999999</v>
      </c>
      <c r="Q116" s="132">
        <v>429.22873049999998</v>
      </c>
      <c r="R116" s="132">
        <v>708.92791799999998</v>
      </c>
      <c r="S116" s="132">
        <v>1899.9802568</v>
      </c>
      <c r="T116" s="132">
        <v>100.125441</v>
      </c>
      <c r="U116" s="132">
        <v>1.6172422</v>
      </c>
      <c r="V116" s="132">
        <v>0</v>
      </c>
      <c r="W116" s="132">
        <v>0</v>
      </c>
      <c r="X116" s="132">
        <v>5.6204850000000004</v>
      </c>
      <c r="Y116" s="132">
        <v>2.1687734999999999</v>
      </c>
      <c r="Z116" s="132">
        <v>70.82799</v>
      </c>
      <c r="AA116" s="132">
        <v>3138.2623463</v>
      </c>
    </row>
    <row r="117" spans="1:28" x14ac:dyDescent="0.35">
      <c r="A117" s="41">
        <v>42028</v>
      </c>
      <c r="B117" s="132">
        <v>1597.441</v>
      </c>
      <c r="C117" s="132">
        <v>124.5703883</v>
      </c>
      <c r="D117" s="132">
        <v>710.25864149999995</v>
      </c>
      <c r="E117" s="132">
        <v>402.99163279999999</v>
      </c>
      <c r="F117" s="132">
        <v>183.46532329999999</v>
      </c>
      <c r="G117" s="132">
        <v>0</v>
      </c>
      <c r="H117" s="132">
        <v>0.38228400000000001</v>
      </c>
      <c r="I117" s="132">
        <v>175.77244049999999</v>
      </c>
      <c r="J117" s="132">
        <v>0</v>
      </c>
      <c r="K117" s="132">
        <v>202.71433279999999</v>
      </c>
      <c r="L117" s="132">
        <v>769.68584929999997</v>
      </c>
      <c r="M117" s="132">
        <v>714.89167050000003</v>
      </c>
      <c r="N117" s="132">
        <v>54.794178799999997</v>
      </c>
      <c r="O117" s="132">
        <v>2569.8408923000002</v>
      </c>
      <c r="P117" s="132">
        <v>2487.3305685</v>
      </c>
      <c r="Q117" s="132">
        <v>373.15863450000001</v>
      </c>
      <c r="R117" s="132">
        <v>443.61266549999999</v>
      </c>
      <c r="S117" s="132">
        <v>1670.5592684999999</v>
      </c>
      <c r="T117" s="132">
        <v>82.510323799999995</v>
      </c>
      <c r="U117" s="132">
        <v>1.3000320000000001</v>
      </c>
      <c r="V117" s="132">
        <v>0</v>
      </c>
      <c r="W117" s="132">
        <v>0</v>
      </c>
      <c r="X117" s="132">
        <v>5.0010773000000004</v>
      </c>
      <c r="Y117" s="132">
        <v>2.5321042999999999</v>
      </c>
      <c r="Z117" s="132">
        <v>59.674821000000001</v>
      </c>
      <c r="AA117" s="132">
        <v>2569.8408923000002</v>
      </c>
    </row>
    <row r="118" spans="1:28" x14ac:dyDescent="0.35">
      <c r="A118" s="41">
        <v>42029</v>
      </c>
      <c r="B118" s="132">
        <v>1599.943</v>
      </c>
      <c r="C118" s="132">
        <v>130.72692000000001</v>
      </c>
      <c r="D118" s="132">
        <v>714.93043729999999</v>
      </c>
      <c r="E118" s="132">
        <v>402.51108599999998</v>
      </c>
      <c r="F118" s="132">
        <v>175.6050248</v>
      </c>
      <c r="G118" s="132">
        <v>0</v>
      </c>
      <c r="H118" s="132">
        <v>0.38159019999999999</v>
      </c>
      <c r="I118" s="132">
        <v>175.78814700000001</v>
      </c>
      <c r="J118" s="132">
        <v>0</v>
      </c>
      <c r="K118" s="132">
        <v>201.68860950000001</v>
      </c>
      <c r="L118" s="132">
        <v>730.58867999999995</v>
      </c>
      <c r="M118" s="132">
        <v>676.30263149999996</v>
      </c>
      <c r="N118" s="132">
        <v>54.2860485</v>
      </c>
      <c r="O118" s="132">
        <v>2532.2204947</v>
      </c>
      <c r="P118" s="132">
        <v>2354.0558655</v>
      </c>
      <c r="Q118" s="132">
        <v>350.87596730000001</v>
      </c>
      <c r="R118" s="132">
        <v>345.93965850000001</v>
      </c>
      <c r="S118" s="132">
        <v>1657.2402397999999</v>
      </c>
      <c r="T118" s="132">
        <v>178.16462920000001</v>
      </c>
      <c r="U118" s="132">
        <v>1.3024462999999999</v>
      </c>
      <c r="V118" s="132">
        <v>0</v>
      </c>
      <c r="W118" s="132">
        <v>0</v>
      </c>
      <c r="X118" s="132">
        <v>5.1004500000000004</v>
      </c>
      <c r="Y118" s="132">
        <v>2.63625</v>
      </c>
      <c r="Z118" s="132">
        <v>57.547755799999997</v>
      </c>
      <c r="AA118" s="132">
        <v>2532.2204947</v>
      </c>
    </row>
    <row r="119" spans="1:28" x14ac:dyDescent="0.35">
      <c r="A119" s="41">
        <v>42030</v>
      </c>
      <c r="B119" s="132">
        <v>1651.2139999999999</v>
      </c>
      <c r="C119" s="132">
        <v>131.17369500000001</v>
      </c>
      <c r="D119" s="132">
        <v>750.86549400000001</v>
      </c>
      <c r="E119" s="132">
        <v>403.49540630000001</v>
      </c>
      <c r="F119" s="132">
        <v>189.82612280000001</v>
      </c>
      <c r="G119" s="132">
        <v>0</v>
      </c>
      <c r="H119" s="132">
        <v>0.21375830000000001</v>
      </c>
      <c r="I119" s="132">
        <v>175.6400175</v>
      </c>
      <c r="J119" s="132">
        <v>0</v>
      </c>
      <c r="K119" s="132">
        <v>193.8176828</v>
      </c>
      <c r="L119" s="132">
        <v>1382.1819068</v>
      </c>
      <c r="M119" s="132">
        <v>1327.9200284999999</v>
      </c>
      <c r="N119" s="132">
        <v>54.261878299999999</v>
      </c>
      <c r="O119" s="132">
        <v>3227.2140832999999</v>
      </c>
      <c r="P119" s="132">
        <v>3176.2571745</v>
      </c>
      <c r="Q119" s="132">
        <v>462.12072230000001</v>
      </c>
      <c r="R119" s="132">
        <v>687.61211630000003</v>
      </c>
      <c r="S119" s="132">
        <v>2026.5243359999999</v>
      </c>
      <c r="T119" s="132">
        <v>50.9569087</v>
      </c>
      <c r="U119" s="132">
        <v>1.6226535</v>
      </c>
      <c r="V119" s="132">
        <v>0</v>
      </c>
      <c r="W119" s="132">
        <v>0</v>
      </c>
      <c r="X119" s="132">
        <v>6.3231149999999996</v>
      </c>
      <c r="Y119" s="132">
        <v>2.4040102000000001</v>
      </c>
      <c r="Z119" s="132">
        <v>73.425667500000003</v>
      </c>
      <c r="AA119" s="132">
        <v>3227.2140832999999</v>
      </c>
    </row>
    <row r="120" spans="1:28" x14ac:dyDescent="0.35">
      <c r="A120" s="41">
        <v>42031</v>
      </c>
      <c r="B120" s="132">
        <v>1673.9269999999999</v>
      </c>
      <c r="C120" s="132">
        <v>135.12759829999999</v>
      </c>
      <c r="D120" s="132">
        <v>760.04144770000005</v>
      </c>
      <c r="E120" s="132">
        <v>400.89778430000001</v>
      </c>
      <c r="F120" s="132">
        <v>201.69979280000001</v>
      </c>
      <c r="G120" s="132">
        <v>0</v>
      </c>
      <c r="H120" s="132">
        <v>0.3167663</v>
      </c>
      <c r="I120" s="132">
        <v>175.84386900000001</v>
      </c>
      <c r="J120" s="132">
        <v>0</v>
      </c>
      <c r="K120" s="132">
        <v>161.87568450000001</v>
      </c>
      <c r="L120" s="132">
        <v>1578.2615198000001</v>
      </c>
      <c r="M120" s="132">
        <v>1524.675465</v>
      </c>
      <c r="N120" s="132">
        <v>53.586054799999999</v>
      </c>
      <c r="O120" s="132">
        <v>3414.0644625</v>
      </c>
      <c r="P120" s="132">
        <v>3369.5172765000002</v>
      </c>
      <c r="Q120" s="132">
        <v>470.51196149999998</v>
      </c>
      <c r="R120" s="132">
        <v>730.96866079999995</v>
      </c>
      <c r="S120" s="132">
        <v>2168.0366543</v>
      </c>
      <c r="T120" s="132">
        <v>44.547186000000004</v>
      </c>
      <c r="U120" s="132">
        <v>1.6376385</v>
      </c>
      <c r="V120" s="132">
        <v>0</v>
      </c>
      <c r="W120" s="132">
        <v>0</v>
      </c>
      <c r="X120" s="132">
        <v>6.1131584999999999</v>
      </c>
      <c r="Y120" s="132">
        <v>2.403705</v>
      </c>
      <c r="Z120" s="132">
        <v>74.515437800000001</v>
      </c>
      <c r="AA120" s="132">
        <v>3414.0644625</v>
      </c>
    </row>
    <row r="121" spans="1:28" x14ac:dyDescent="0.35">
      <c r="A121" s="41">
        <v>42032</v>
      </c>
      <c r="B121" s="132">
        <v>1649.068</v>
      </c>
      <c r="C121" s="132">
        <v>136.63359070000001</v>
      </c>
      <c r="D121" s="132">
        <v>753.69396830000005</v>
      </c>
      <c r="E121" s="132">
        <v>377.47098449999999</v>
      </c>
      <c r="F121" s="132">
        <v>196.2117585</v>
      </c>
      <c r="G121" s="132">
        <v>0</v>
      </c>
      <c r="H121" s="132">
        <v>0.3861135</v>
      </c>
      <c r="I121" s="132">
        <v>184.672032</v>
      </c>
      <c r="J121" s="132">
        <v>0</v>
      </c>
      <c r="K121" s="132">
        <v>160.767516</v>
      </c>
      <c r="L121" s="132">
        <v>1607.9332628</v>
      </c>
      <c r="M121" s="132">
        <v>1555.1379998</v>
      </c>
      <c r="N121" s="132">
        <v>52.795262999999998</v>
      </c>
      <c r="O121" s="132">
        <v>3417.7692262</v>
      </c>
      <c r="P121" s="132">
        <v>3320.6946757999999</v>
      </c>
      <c r="Q121" s="132">
        <v>448.08887929999997</v>
      </c>
      <c r="R121" s="132">
        <v>690.26734729999998</v>
      </c>
      <c r="S121" s="132">
        <v>2182.3384492999999</v>
      </c>
      <c r="T121" s="132">
        <v>97.074550500000001</v>
      </c>
      <c r="U121" s="132">
        <v>1.6146615</v>
      </c>
      <c r="V121" s="132">
        <v>0</v>
      </c>
      <c r="W121" s="132">
        <v>0</v>
      </c>
      <c r="X121" s="132">
        <v>6.0726712999999997</v>
      </c>
      <c r="Y121" s="132">
        <v>3.3693217999999998</v>
      </c>
      <c r="Z121" s="132">
        <v>74.950530000000001</v>
      </c>
      <c r="AA121" s="132">
        <v>3417.7692262</v>
      </c>
    </row>
    <row r="122" spans="1:28" x14ac:dyDescent="0.35">
      <c r="A122" s="41">
        <v>42033</v>
      </c>
      <c r="B122" s="132">
        <v>1662.817</v>
      </c>
      <c r="C122" s="132">
        <v>140.71275750000001</v>
      </c>
      <c r="D122" s="132">
        <v>804.82137299999999</v>
      </c>
      <c r="E122" s="132">
        <v>294.37502469999998</v>
      </c>
      <c r="F122" s="132">
        <v>200.5929563</v>
      </c>
      <c r="G122" s="132">
        <v>0</v>
      </c>
      <c r="H122" s="132">
        <v>0.51182099999999997</v>
      </c>
      <c r="I122" s="132">
        <v>221.80319700000001</v>
      </c>
      <c r="J122" s="132">
        <v>0</v>
      </c>
      <c r="K122" s="132">
        <v>161.4647903</v>
      </c>
      <c r="L122" s="132">
        <v>1738.2387157999999</v>
      </c>
      <c r="M122" s="132">
        <v>1686.0899723</v>
      </c>
      <c r="N122" s="132">
        <v>52.148743500000002</v>
      </c>
      <c r="O122" s="132">
        <v>3562.5206355</v>
      </c>
      <c r="P122" s="132">
        <v>3371.0441092999999</v>
      </c>
      <c r="Q122" s="132">
        <v>449.14890150000002</v>
      </c>
      <c r="R122" s="132">
        <v>731.50148850000005</v>
      </c>
      <c r="S122" s="132">
        <v>2190.3937193000002</v>
      </c>
      <c r="T122" s="132">
        <v>191.47652629999999</v>
      </c>
      <c r="U122" s="132">
        <v>1.6166039999999999</v>
      </c>
      <c r="V122" s="132">
        <v>0</v>
      </c>
      <c r="W122" s="132">
        <v>0</v>
      </c>
      <c r="X122" s="132">
        <v>6.2441385</v>
      </c>
      <c r="Y122" s="132">
        <v>3.2478322999999998</v>
      </c>
      <c r="Z122" s="132">
        <v>77.110201500000002</v>
      </c>
      <c r="AA122" s="132">
        <v>3562.5206355</v>
      </c>
    </row>
    <row r="123" spans="1:28" x14ac:dyDescent="0.35">
      <c r="A123" s="41">
        <v>42034</v>
      </c>
      <c r="B123" s="132">
        <v>1745.3530000000001</v>
      </c>
      <c r="C123" s="132">
        <v>136.70049599999999</v>
      </c>
      <c r="D123" s="132">
        <v>778.52630550000003</v>
      </c>
      <c r="E123" s="132">
        <v>443.05871999999999</v>
      </c>
      <c r="F123" s="132">
        <v>211.30065450000001</v>
      </c>
      <c r="G123" s="132">
        <v>0</v>
      </c>
      <c r="H123" s="132">
        <v>1.8093000000000001E-2</v>
      </c>
      <c r="I123" s="132">
        <v>175.74921380000001</v>
      </c>
      <c r="J123" s="132">
        <v>0</v>
      </c>
      <c r="K123" s="132">
        <v>161.47749970000001</v>
      </c>
      <c r="L123" s="132">
        <v>1382.0062215</v>
      </c>
      <c r="M123" s="132">
        <v>1330.6007895</v>
      </c>
      <c r="N123" s="132">
        <v>51.405431999999998</v>
      </c>
      <c r="O123" s="132">
        <v>3288.8372039999999</v>
      </c>
      <c r="P123" s="132">
        <v>3125.9158440000001</v>
      </c>
      <c r="Q123" s="132">
        <v>429.84497470000002</v>
      </c>
      <c r="R123" s="132">
        <v>600.34119680000003</v>
      </c>
      <c r="S123" s="132">
        <v>2095.7296725000001</v>
      </c>
      <c r="T123" s="132">
        <v>162.92135999999999</v>
      </c>
      <c r="U123" s="132">
        <v>1.6134405000000001</v>
      </c>
      <c r="V123" s="132">
        <v>0</v>
      </c>
      <c r="W123" s="132">
        <v>0</v>
      </c>
      <c r="X123" s="132">
        <v>6.1598617999999998</v>
      </c>
      <c r="Y123" s="132">
        <v>3.2803551999999998</v>
      </c>
      <c r="Z123" s="132">
        <v>73.776011199999999</v>
      </c>
      <c r="AA123" s="132">
        <v>3288.8372039999999</v>
      </c>
    </row>
    <row r="124" spans="1:28" x14ac:dyDescent="0.35">
      <c r="A124" s="159">
        <v>42035</v>
      </c>
      <c r="B124" s="160">
        <v>1699.961</v>
      </c>
      <c r="C124" s="160">
        <v>135.40101899999999</v>
      </c>
      <c r="D124" s="160">
        <v>813.58401830000003</v>
      </c>
      <c r="E124" s="160">
        <v>362.8136288</v>
      </c>
      <c r="F124" s="160">
        <v>211.82152199999999</v>
      </c>
      <c r="G124" s="160">
        <v>0</v>
      </c>
      <c r="H124" s="160">
        <v>0.51237600000000005</v>
      </c>
      <c r="I124" s="160">
        <v>175.82816249999999</v>
      </c>
      <c r="J124" s="160">
        <v>0</v>
      </c>
      <c r="K124" s="160">
        <v>159.81649580000001</v>
      </c>
      <c r="L124" s="160">
        <v>1000.2897923</v>
      </c>
      <c r="M124" s="160">
        <v>950.58204980000005</v>
      </c>
      <c r="N124" s="160">
        <v>49.707742500000002</v>
      </c>
      <c r="O124" s="160">
        <v>2860.0670144999999</v>
      </c>
      <c r="P124" s="160">
        <v>2780.4728828000002</v>
      </c>
      <c r="Q124" s="160">
        <v>374.33701050000002</v>
      </c>
      <c r="R124" s="160">
        <v>485.32843580000002</v>
      </c>
      <c r="S124" s="160">
        <v>1920.8074365</v>
      </c>
      <c r="T124" s="160">
        <v>79.594131700000005</v>
      </c>
      <c r="U124" s="160">
        <v>1.541568</v>
      </c>
      <c r="V124" s="160">
        <v>0</v>
      </c>
      <c r="W124" s="160">
        <v>0</v>
      </c>
      <c r="X124" s="160">
        <v>5.9569538</v>
      </c>
      <c r="Y124" s="160">
        <v>2.8631340000000001</v>
      </c>
      <c r="Z124" s="160">
        <v>62.234037000000001</v>
      </c>
      <c r="AA124" s="160">
        <v>2860.0670144999999</v>
      </c>
      <c r="AB124" s="161"/>
    </row>
    <row r="125" spans="1:28" x14ac:dyDescent="0.35">
      <c r="A125" s="41">
        <v>42036</v>
      </c>
      <c r="B125">
        <v>1650.663</v>
      </c>
      <c r="C125" s="132">
        <v>773.86519350000003</v>
      </c>
      <c r="D125" s="132">
        <v>222.88741719999999</v>
      </c>
      <c r="E125" s="132">
        <v>0</v>
      </c>
      <c r="F125" s="132">
        <v>153.41687400000001</v>
      </c>
      <c r="G125" s="132">
        <v>313.63163780000002</v>
      </c>
      <c r="H125" s="132">
        <v>186.86175679999999</v>
      </c>
      <c r="I125" s="132">
        <v>0</v>
      </c>
      <c r="J125" s="132">
        <v>0</v>
      </c>
      <c r="K125" s="132">
        <v>164.28568870000001</v>
      </c>
      <c r="L125" s="132">
        <v>891.77222400000005</v>
      </c>
      <c r="M125" s="132">
        <v>846.15843900000004</v>
      </c>
      <c r="N125" s="132">
        <v>45.613785</v>
      </c>
      <c r="O125" s="132">
        <v>2706.7207920000001</v>
      </c>
      <c r="P125" s="132">
        <v>2585.9496561999999</v>
      </c>
      <c r="Q125" s="132">
        <v>326.71129500000001</v>
      </c>
      <c r="R125" s="132">
        <v>404.62868850000001</v>
      </c>
      <c r="S125" s="132">
        <v>1854.6096726999999</v>
      </c>
      <c r="T125" s="132">
        <v>120.7711358</v>
      </c>
      <c r="U125" s="132">
        <v>5.6860027000000004</v>
      </c>
      <c r="V125" s="132">
        <v>1.7634570000000001</v>
      </c>
      <c r="W125" s="132">
        <v>0</v>
      </c>
      <c r="X125" s="132">
        <v>2.9085052999999998</v>
      </c>
      <c r="Y125" s="132">
        <v>0</v>
      </c>
      <c r="Z125" s="132">
        <v>57.484985299999998</v>
      </c>
      <c r="AA125" s="132">
        <v>2706.7207920000001</v>
      </c>
    </row>
    <row r="126" spans="1:28" x14ac:dyDescent="0.35">
      <c r="A126" s="41">
        <v>42037</v>
      </c>
      <c r="B126" s="132">
        <v>1977.396</v>
      </c>
      <c r="C126" s="132">
        <v>822.99803929999996</v>
      </c>
      <c r="D126" s="132">
        <v>229.1959358</v>
      </c>
      <c r="E126" s="132">
        <v>0</v>
      </c>
      <c r="F126" s="132">
        <v>157.62593849999999</v>
      </c>
      <c r="G126" s="132">
        <v>526.80577800000003</v>
      </c>
      <c r="H126" s="132">
        <v>240.56130899999999</v>
      </c>
      <c r="I126" s="132">
        <v>0</v>
      </c>
      <c r="J126" s="132">
        <v>0.20931830000000001</v>
      </c>
      <c r="K126" s="132">
        <v>164.59859779999999</v>
      </c>
      <c r="L126" s="132">
        <v>1263.5501572999999</v>
      </c>
      <c r="M126" s="132">
        <v>1218.06627</v>
      </c>
      <c r="N126" s="132">
        <v>45.483887299999999</v>
      </c>
      <c r="O126" s="132">
        <v>3405.5450738</v>
      </c>
      <c r="P126" s="132">
        <v>3260.2909733000001</v>
      </c>
      <c r="Q126" s="132">
        <v>445.64757300000002</v>
      </c>
      <c r="R126" s="132">
        <v>661.85123629999998</v>
      </c>
      <c r="S126" s="132">
        <v>2152.792164</v>
      </c>
      <c r="T126" s="132">
        <v>145.25410049999999</v>
      </c>
      <c r="U126" s="132">
        <v>6.3007485000000001</v>
      </c>
      <c r="V126" s="132">
        <v>1.8826155</v>
      </c>
      <c r="W126" s="132">
        <v>0</v>
      </c>
      <c r="X126" s="132">
        <v>3.2589044999999999</v>
      </c>
      <c r="Y126" s="132">
        <v>0</v>
      </c>
      <c r="Z126" s="132">
        <v>72.793938800000006</v>
      </c>
      <c r="AA126" s="132">
        <v>3405.5450738</v>
      </c>
    </row>
    <row r="127" spans="1:28" x14ac:dyDescent="0.35">
      <c r="A127" s="41">
        <v>42038</v>
      </c>
      <c r="B127" s="132">
        <v>1924.2080000000001</v>
      </c>
      <c r="C127" s="132">
        <v>826.61078399999997</v>
      </c>
      <c r="D127" s="132">
        <v>218.65232320000001</v>
      </c>
      <c r="E127" s="132">
        <v>0</v>
      </c>
      <c r="F127" s="132">
        <v>163.32556650000001</v>
      </c>
      <c r="G127" s="132">
        <v>583.54328929999997</v>
      </c>
      <c r="H127" s="132">
        <v>131.81544149999999</v>
      </c>
      <c r="I127" s="132">
        <v>0</v>
      </c>
      <c r="J127" s="132">
        <v>0.2610442</v>
      </c>
      <c r="K127" s="132">
        <v>164.5222297</v>
      </c>
      <c r="L127" s="132">
        <v>1501.8174015</v>
      </c>
      <c r="M127" s="132">
        <v>1460.4436777000001</v>
      </c>
      <c r="N127" s="132">
        <v>41.3737238</v>
      </c>
      <c r="O127" s="132">
        <v>3590.54808</v>
      </c>
      <c r="P127" s="132">
        <v>3449.9028938000001</v>
      </c>
      <c r="Q127" s="132">
        <v>442.14457950000002</v>
      </c>
      <c r="R127" s="132">
        <v>850.95463800000005</v>
      </c>
      <c r="S127" s="132">
        <v>2156.8036763</v>
      </c>
      <c r="T127" s="132">
        <v>140.64518620000001</v>
      </c>
      <c r="U127" s="132">
        <v>6.7212443000000004</v>
      </c>
      <c r="V127" s="132">
        <v>1.8009473</v>
      </c>
      <c r="W127" s="132">
        <v>0</v>
      </c>
      <c r="X127" s="132">
        <v>3.170493</v>
      </c>
      <c r="Y127" s="132">
        <v>0</v>
      </c>
      <c r="Z127" s="132">
        <v>76.890921000000006</v>
      </c>
      <c r="AA127" s="132">
        <v>3590.54808</v>
      </c>
    </row>
    <row r="128" spans="1:28" x14ac:dyDescent="0.35">
      <c r="A128" s="41">
        <v>42039</v>
      </c>
      <c r="B128" s="132">
        <v>1892.752</v>
      </c>
      <c r="C128" s="132">
        <v>824.33764269999995</v>
      </c>
      <c r="D128" s="132">
        <v>214.952721</v>
      </c>
      <c r="E128" s="132">
        <v>0</v>
      </c>
      <c r="F128" s="132">
        <v>165.75852</v>
      </c>
      <c r="G128" s="132">
        <v>555.52913699999999</v>
      </c>
      <c r="H128" s="132">
        <v>131.7950175</v>
      </c>
      <c r="I128" s="132">
        <v>0</v>
      </c>
      <c r="J128" s="132">
        <v>0.37859330000000002</v>
      </c>
      <c r="K128" s="132">
        <v>163.61857879999999</v>
      </c>
      <c r="L128" s="132">
        <v>1366.882971</v>
      </c>
      <c r="M128" s="132">
        <v>1324.2338018</v>
      </c>
      <c r="N128" s="132">
        <v>42.649169200000003</v>
      </c>
      <c r="O128" s="132">
        <v>3423.2531813000001</v>
      </c>
      <c r="P128" s="132">
        <v>3306.872484</v>
      </c>
      <c r="Q128" s="132">
        <v>455.1262792</v>
      </c>
      <c r="R128" s="132">
        <v>755.72737729999994</v>
      </c>
      <c r="S128" s="132">
        <v>2096.0188275</v>
      </c>
      <c r="T128" s="132">
        <v>116.38069729999999</v>
      </c>
      <c r="U128" s="132">
        <v>6.2195242000000004</v>
      </c>
      <c r="V128" s="132">
        <v>1.7995597999999999</v>
      </c>
      <c r="W128" s="132">
        <v>0</v>
      </c>
      <c r="X128" s="132">
        <v>2.8720140000000001</v>
      </c>
      <c r="Y128" s="132">
        <v>0</v>
      </c>
      <c r="Z128" s="132">
        <v>71.732750999999993</v>
      </c>
      <c r="AA128" s="132">
        <v>3423.2531813000001</v>
      </c>
    </row>
    <row r="129" spans="1:27" x14ac:dyDescent="0.35">
      <c r="A129" s="41">
        <v>42040</v>
      </c>
      <c r="B129" s="132">
        <v>1890.7660000000001</v>
      </c>
      <c r="C129" s="132">
        <v>848.70369679999999</v>
      </c>
      <c r="D129" s="132">
        <v>218.46082050000001</v>
      </c>
      <c r="E129" s="132">
        <v>0</v>
      </c>
      <c r="F129" s="132">
        <v>166.63150730000001</v>
      </c>
      <c r="G129" s="132">
        <v>557.71114729999999</v>
      </c>
      <c r="H129" s="132">
        <v>98.877523499999995</v>
      </c>
      <c r="I129" s="132">
        <v>0</v>
      </c>
      <c r="J129" s="132">
        <v>0.38134050000000003</v>
      </c>
      <c r="K129" s="132">
        <v>164.80944220000001</v>
      </c>
      <c r="L129" s="132">
        <v>1471.5734534999999</v>
      </c>
      <c r="M129" s="132">
        <v>1430.0553743</v>
      </c>
      <c r="N129" s="132">
        <v>41.518079299999997</v>
      </c>
      <c r="O129" s="132">
        <v>3527.1489314999999</v>
      </c>
      <c r="P129" s="132">
        <v>3312.5824072</v>
      </c>
      <c r="Q129" s="132">
        <v>479.91599250000002</v>
      </c>
      <c r="R129" s="132">
        <v>808.50005180000005</v>
      </c>
      <c r="S129" s="132">
        <v>2024.166363</v>
      </c>
      <c r="T129" s="132">
        <v>214.5665242</v>
      </c>
      <c r="U129" s="132">
        <v>6.5553825000000003</v>
      </c>
      <c r="V129" s="132">
        <v>1.8493987999999999</v>
      </c>
      <c r="W129" s="132">
        <v>0</v>
      </c>
      <c r="X129" s="132">
        <v>2.8382700000000001</v>
      </c>
      <c r="Y129" s="132">
        <v>0</v>
      </c>
      <c r="Z129" s="132">
        <v>74.557728800000007</v>
      </c>
      <c r="AA129" s="132">
        <v>3527.1489314999999</v>
      </c>
    </row>
    <row r="130" spans="1:27" x14ac:dyDescent="0.35">
      <c r="A130" s="41">
        <v>42041</v>
      </c>
      <c r="B130" s="132">
        <v>2041.4639999999999</v>
      </c>
      <c r="C130" s="132">
        <v>883.36333579999996</v>
      </c>
      <c r="D130" s="132">
        <v>216.2310525</v>
      </c>
      <c r="E130" s="132">
        <v>5.9411363000000001</v>
      </c>
      <c r="F130" s="132">
        <v>167.1074753</v>
      </c>
      <c r="G130" s="132">
        <v>592.94060479999996</v>
      </c>
      <c r="H130" s="132">
        <v>175.61043599999999</v>
      </c>
      <c r="I130" s="132">
        <v>0</v>
      </c>
      <c r="J130" s="132">
        <v>0.26997979999999999</v>
      </c>
      <c r="K130" s="132">
        <v>164.8611683</v>
      </c>
      <c r="L130" s="132">
        <v>1154.6718668000001</v>
      </c>
      <c r="M130" s="132">
        <v>1113.1420215000001</v>
      </c>
      <c r="N130" s="132">
        <v>41.529845299999998</v>
      </c>
      <c r="O130" s="132">
        <v>3360.9970552999998</v>
      </c>
      <c r="P130" s="132">
        <v>3039.6655973000002</v>
      </c>
      <c r="Q130" s="132">
        <v>456.94393200000002</v>
      </c>
      <c r="R130" s="132">
        <v>686.40618449999999</v>
      </c>
      <c r="S130" s="132">
        <v>1896.3154807999999</v>
      </c>
      <c r="T130" s="132">
        <v>321.331458</v>
      </c>
      <c r="U130" s="132">
        <v>6.3091013</v>
      </c>
      <c r="V130" s="132">
        <v>0</v>
      </c>
      <c r="W130" s="132">
        <v>0</v>
      </c>
      <c r="X130" s="132">
        <v>1.3336927999999999</v>
      </c>
      <c r="Y130" s="132">
        <v>0</v>
      </c>
      <c r="Z130" s="132">
        <v>73.394504299999994</v>
      </c>
      <c r="AA130" s="132">
        <v>3360.9970552999998</v>
      </c>
    </row>
    <row r="131" spans="1:27" x14ac:dyDescent="0.35">
      <c r="A131" s="41">
        <v>42042</v>
      </c>
      <c r="B131" s="132">
        <v>1664.22</v>
      </c>
      <c r="C131" s="132">
        <v>673.89135080000005</v>
      </c>
      <c r="D131" s="132">
        <v>211.9807515</v>
      </c>
      <c r="E131" s="132">
        <v>0</v>
      </c>
      <c r="F131" s="132">
        <v>165.287769</v>
      </c>
      <c r="G131" s="132">
        <v>574.47811349999995</v>
      </c>
      <c r="H131" s="132">
        <v>38.382773299999997</v>
      </c>
      <c r="I131" s="132">
        <v>0</v>
      </c>
      <c r="J131" s="132">
        <v>0.19943930000000001</v>
      </c>
      <c r="K131" s="132">
        <v>168.89315999999999</v>
      </c>
      <c r="L131" s="132">
        <v>1198.9676655000001</v>
      </c>
      <c r="M131" s="132">
        <v>1157.5709925000001</v>
      </c>
      <c r="N131" s="132">
        <v>41.396673</v>
      </c>
      <c r="O131" s="132">
        <v>3032.0810228</v>
      </c>
      <c r="P131" s="132">
        <v>2868.7958880000001</v>
      </c>
      <c r="Q131" s="132">
        <v>376.8897053</v>
      </c>
      <c r="R131" s="132">
        <v>525.37382249999996</v>
      </c>
      <c r="S131" s="132">
        <v>1966.5323602000001</v>
      </c>
      <c r="T131" s="132">
        <v>163.28513480000001</v>
      </c>
      <c r="U131" s="132">
        <v>5.9632529999999999</v>
      </c>
      <c r="V131" s="132">
        <v>1.7568248</v>
      </c>
      <c r="W131" s="132">
        <v>0</v>
      </c>
      <c r="X131" s="132">
        <v>3.1754603000000001</v>
      </c>
      <c r="Y131" s="132">
        <v>0</v>
      </c>
      <c r="Z131" s="132">
        <v>63.934029799999998</v>
      </c>
      <c r="AA131" s="132">
        <v>3032.0810228</v>
      </c>
    </row>
    <row r="132" spans="1:27" x14ac:dyDescent="0.35">
      <c r="A132" s="41">
        <v>42043</v>
      </c>
      <c r="B132" s="132">
        <v>1667.078</v>
      </c>
      <c r="C132" s="132">
        <v>669.80985299999998</v>
      </c>
      <c r="D132" s="132">
        <v>218.16997280000001</v>
      </c>
      <c r="E132" s="132">
        <v>0</v>
      </c>
      <c r="F132" s="132">
        <v>165.84251929999999</v>
      </c>
      <c r="G132" s="132">
        <v>574.72639270000002</v>
      </c>
      <c r="H132" s="132">
        <v>38.322333700000001</v>
      </c>
      <c r="I132" s="132">
        <v>0</v>
      </c>
      <c r="J132" s="132">
        <v>0.20665430000000001</v>
      </c>
      <c r="K132" s="132">
        <v>169.7351505</v>
      </c>
      <c r="L132" s="132">
        <v>1104.4557165000001</v>
      </c>
      <c r="M132" s="132">
        <v>1063.0226078000001</v>
      </c>
      <c r="N132" s="132">
        <v>41.433108799999999</v>
      </c>
      <c r="O132" s="132">
        <v>2941.2685928000001</v>
      </c>
      <c r="P132" s="132">
        <v>2670.5302409999999</v>
      </c>
      <c r="Q132" s="132">
        <v>345.34439320000001</v>
      </c>
      <c r="R132" s="132">
        <v>402.1293015</v>
      </c>
      <c r="S132" s="132">
        <v>1923.0565463</v>
      </c>
      <c r="T132" s="132">
        <v>270.73835170000001</v>
      </c>
      <c r="U132" s="132">
        <v>5.4397492999999999</v>
      </c>
      <c r="V132" s="132">
        <v>1.681095</v>
      </c>
      <c r="W132" s="132">
        <v>0</v>
      </c>
      <c r="X132" s="132">
        <v>2.4284302000000002</v>
      </c>
      <c r="Y132" s="132">
        <v>0</v>
      </c>
      <c r="Z132" s="132">
        <v>62.8651275</v>
      </c>
      <c r="AA132" s="132">
        <v>2941.2685928000001</v>
      </c>
    </row>
    <row r="133" spans="1:27" x14ac:dyDescent="0.35">
      <c r="A133" s="41">
        <v>42044</v>
      </c>
      <c r="B133" s="132">
        <v>2055.9250000000002</v>
      </c>
      <c r="C133" s="132">
        <v>922.63460850000001</v>
      </c>
      <c r="D133" s="132">
        <v>223.85411629999999</v>
      </c>
      <c r="E133" s="132">
        <v>0</v>
      </c>
      <c r="F133" s="132">
        <v>271.51118919999999</v>
      </c>
      <c r="G133" s="132">
        <v>571.871667</v>
      </c>
      <c r="H133" s="132">
        <v>65.860656700000007</v>
      </c>
      <c r="I133" s="132">
        <v>0</v>
      </c>
      <c r="J133" s="132">
        <v>0.19233529999999999</v>
      </c>
      <c r="K133" s="132">
        <v>190.25616450000001</v>
      </c>
      <c r="L133" s="132">
        <v>1262.8073175</v>
      </c>
      <c r="M133" s="132">
        <v>1222.0347975</v>
      </c>
      <c r="N133" s="132">
        <v>40.77252</v>
      </c>
      <c r="O133" s="132">
        <v>3508.9880549999998</v>
      </c>
      <c r="P133" s="132">
        <v>3370.7594774999998</v>
      </c>
      <c r="Q133" s="132">
        <v>464.21124070000002</v>
      </c>
      <c r="R133" s="132">
        <v>680.80637330000002</v>
      </c>
      <c r="S133" s="132">
        <v>2225.7418634999999</v>
      </c>
      <c r="T133" s="132">
        <v>138.2285775</v>
      </c>
      <c r="U133" s="132">
        <v>5.4492120000000002</v>
      </c>
      <c r="V133" s="132">
        <v>2.0530005</v>
      </c>
      <c r="W133" s="132">
        <v>0</v>
      </c>
      <c r="X133" s="132">
        <v>3.5116792000000001</v>
      </c>
      <c r="Y133" s="132">
        <v>0</v>
      </c>
      <c r="Z133" s="132">
        <v>76.5566168</v>
      </c>
      <c r="AA133" s="132">
        <v>3508.9880549999998</v>
      </c>
    </row>
    <row r="134" spans="1:27" x14ac:dyDescent="0.35">
      <c r="A134" s="41">
        <v>42045</v>
      </c>
      <c r="B134" s="132">
        <v>1970.54</v>
      </c>
      <c r="C134" s="132">
        <v>806.36263570000006</v>
      </c>
      <c r="D134" s="132">
        <v>218.4995318</v>
      </c>
      <c r="E134" s="132">
        <v>0</v>
      </c>
      <c r="F134" s="132">
        <v>212.70294530000001</v>
      </c>
      <c r="G134" s="132">
        <v>492.1699208</v>
      </c>
      <c r="H134" s="132">
        <v>240.59693999999999</v>
      </c>
      <c r="I134" s="132">
        <v>0</v>
      </c>
      <c r="J134" s="132">
        <v>0.20784749999999999</v>
      </c>
      <c r="K134" s="132">
        <v>198.20884280000001</v>
      </c>
      <c r="L134" s="132">
        <v>1175.2380023000001</v>
      </c>
      <c r="M134" s="132">
        <v>1133.9423948000001</v>
      </c>
      <c r="N134" s="132">
        <v>41.295607500000003</v>
      </c>
      <c r="O134" s="132">
        <v>3343.9866659999998</v>
      </c>
      <c r="P134" s="132">
        <v>3215.4689512999998</v>
      </c>
      <c r="Q134" s="132">
        <v>444.19838479999999</v>
      </c>
      <c r="R134" s="132">
        <v>672.45764699999995</v>
      </c>
      <c r="S134" s="132">
        <v>2098.8129195000001</v>
      </c>
      <c r="T134" s="132">
        <v>128.5177147</v>
      </c>
      <c r="U134" s="132">
        <v>5.4057000000000004</v>
      </c>
      <c r="V134" s="132">
        <v>1.8313613</v>
      </c>
      <c r="W134" s="132">
        <v>0</v>
      </c>
      <c r="X134" s="132">
        <v>2.6638613000000002</v>
      </c>
      <c r="Y134" s="132">
        <v>0</v>
      </c>
      <c r="Z134" s="132">
        <v>77.445532499999999</v>
      </c>
      <c r="AA134" s="132">
        <v>3343.9866659999998</v>
      </c>
    </row>
    <row r="135" spans="1:27" x14ac:dyDescent="0.35">
      <c r="A135" s="41">
        <v>42046</v>
      </c>
      <c r="B135" s="132">
        <v>1871.847</v>
      </c>
      <c r="C135" s="132">
        <v>776.46334279999996</v>
      </c>
      <c r="D135" s="132">
        <v>218.64030750000001</v>
      </c>
      <c r="E135" s="132">
        <v>0</v>
      </c>
      <c r="F135" s="132">
        <v>159.973311</v>
      </c>
      <c r="G135" s="132">
        <v>476.1012278</v>
      </c>
      <c r="H135" s="132">
        <v>240.4604933</v>
      </c>
      <c r="I135" s="132">
        <v>0</v>
      </c>
      <c r="J135" s="132">
        <v>0.20831920000000001</v>
      </c>
      <c r="K135" s="132">
        <v>204.8486408</v>
      </c>
      <c r="L135" s="132">
        <v>1188.9024907999999</v>
      </c>
      <c r="M135" s="132">
        <v>1147.3905443000001</v>
      </c>
      <c r="N135" s="132">
        <v>41.511946500000001</v>
      </c>
      <c r="O135" s="132">
        <v>3265.598133</v>
      </c>
      <c r="P135" s="132">
        <v>3125.1687308</v>
      </c>
      <c r="Q135" s="132">
        <v>432.509613</v>
      </c>
      <c r="R135" s="132">
        <v>693.08744100000001</v>
      </c>
      <c r="S135" s="132">
        <v>1999.5716768</v>
      </c>
      <c r="T135" s="132">
        <v>140.42940229999999</v>
      </c>
      <c r="U135" s="132">
        <v>5.4759074999999999</v>
      </c>
      <c r="V135" s="132">
        <v>1.7605154999999999</v>
      </c>
      <c r="W135" s="132">
        <v>0</v>
      </c>
      <c r="X135" s="132">
        <v>2.8963230000000002</v>
      </c>
      <c r="Y135" s="132">
        <v>0</v>
      </c>
      <c r="Z135" s="132">
        <v>74.888897299999996</v>
      </c>
      <c r="AA135" s="132">
        <v>3265.598133</v>
      </c>
    </row>
    <row r="136" spans="1:27" x14ac:dyDescent="0.35">
      <c r="A136" s="41">
        <v>42047</v>
      </c>
      <c r="B136" s="132">
        <v>1852.636</v>
      </c>
      <c r="C136" s="132">
        <v>716.080647</v>
      </c>
      <c r="D136" s="132">
        <v>222.40739780000001</v>
      </c>
      <c r="E136" s="132">
        <v>0</v>
      </c>
      <c r="F136" s="132">
        <v>139.9128638</v>
      </c>
      <c r="G136" s="132">
        <v>533.43644629999994</v>
      </c>
      <c r="H136" s="132">
        <v>240.5876992</v>
      </c>
      <c r="I136" s="132">
        <v>0</v>
      </c>
      <c r="J136" s="132">
        <v>0.2109</v>
      </c>
      <c r="K136" s="132">
        <v>194.2849928</v>
      </c>
      <c r="L136" s="132">
        <v>1300.6042328000001</v>
      </c>
      <c r="M136" s="132">
        <v>1259.0862090000001</v>
      </c>
      <c r="N136" s="132">
        <v>41.518023700000001</v>
      </c>
      <c r="O136" s="132">
        <v>3347.5251794999999</v>
      </c>
      <c r="P136" s="132">
        <v>3019.3511543</v>
      </c>
      <c r="Q136" s="132">
        <v>463.17153150000001</v>
      </c>
      <c r="R136" s="132">
        <v>770.53497149999998</v>
      </c>
      <c r="S136" s="132">
        <v>1785.6446513000001</v>
      </c>
      <c r="T136" s="132">
        <v>328.17402520000002</v>
      </c>
      <c r="U136" s="132">
        <v>5.6270062999999997</v>
      </c>
      <c r="V136" s="132">
        <v>1.82484</v>
      </c>
      <c r="W136" s="132">
        <v>0</v>
      </c>
      <c r="X136" s="132">
        <v>2.9732183000000001</v>
      </c>
      <c r="Y136" s="132">
        <v>0</v>
      </c>
      <c r="Z136" s="132">
        <v>73.724535000000003</v>
      </c>
      <c r="AA136" s="132">
        <v>3347.5251794999999</v>
      </c>
    </row>
    <row r="137" spans="1:27" x14ac:dyDescent="0.35">
      <c r="A137" s="41">
        <v>42048</v>
      </c>
      <c r="B137" s="132">
        <v>1692.585</v>
      </c>
      <c r="C137" s="132">
        <v>673.30721329999994</v>
      </c>
      <c r="D137" s="132">
        <v>218.68914749999999</v>
      </c>
      <c r="E137" s="132">
        <v>0</v>
      </c>
      <c r="F137" s="132">
        <v>115.2383408</v>
      </c>
      <c r="G137" s="132">
        <v>498.26853829999999</v>
      </c>
      <c r="H137" s="132">
        <v>186.6886245</v>
      </c>
      <c r="I137" s="132">
        <v>0</v>
      </c>
      <c r="J137" s="132">
        <v>0.39294000000000001</v>
      </c>
      <c r="K137" s="132">
        <v>197.1347513</v>
      </c>
      <c r="L137" s="132">
        <v>1305.6284813</v>
      </c>
      <c r="M137" s="132">
        <v>1264.380576</v>
      </c>
      <c r="N137" s="132">
        <v>41.247905299999999</v>
      </c>
      <c r="O137" s="132">
        <v>3195.3480368</v>
      </c>
      <c r="P137" s="132">
        <v>2808.7635915000001</v>
      </c>
      <c r="Q137" s="132">
        <v>448.92504229999997</v>
      </c>
      <c r="R137" s="132">
        <v>712.49304380000001</v>
      </c>
      <c r="S137" s="132">
        <v>1647.3455054999999</v>
      </c>
      <c r="T137" s="132">
        <v>386.5844452</v>
      </c>
      <c r="U137" s="132">
        <v>5.5760016999999999</v>
      </c>
      <c r="V137" s="132">
        <v>1.7296853000000001</v>
      </c>
      <c r="W137" s="132">
        <v>0</v>
      </c>
      <c r="X137" s="132">
        <v>2.8945192999999998</v>
      </c>
      <c r="Y137" s="132">
        <v>0</v>
      </c>
      <c r="Z137" s="132">
        <v>71.925724500000001</v>
      </c>
      <c r="AA137" s="132">
        <v>3195.3480368</v>
      </c>
    </row>
    <row r="138" spans="1:27" x14ac:dyDescent="0.35">
      <c r="A138" s="41">
        <v>42049</v>
      </c>
      <c r="B138" s="132">
        <v>1631.79</v>
      </c>
      <c r="C138" s="132">
        <v>673.25126920000002</v>
      </c>
      <c r="D138" s="132">
        <v>218.58783220000001</v>
      </c>
      <c r="E138" s="132">
        <v>0</v>
      </c>
      <c r="F138" s="132">
        <v>153.38768099999999</v>
      </c>
      <c r="G138" s="132">
        <v>487.30517930000002</v>
      </c>
      <c r="H138" s="132">
        <v>98.7433245</v>
      </c>
      <c r="I138" s="132">
        <v>0</v>
      </c>
      <c r="J138" s="132">
        <v>0.51465150000000004</v>
      </c>
      <c r="K138" s="132">
        <v>199.23492680000001</v>
      </c>
      <c r="L138" s="132">
        <v>1017.6836865</v>
      </c>
      <c r="M138" s="132">
        <v>976.54236900000001</v>
      </c>
      <c r="N138" s="132">
        <v>41.1413175</v>
      </c>
      <c r="O138" s="132">
        <v>2848.7085510000002</v>
      </c>
      <c r="P138" s="132">
        <v>2666.9693054999998</v>
      </c>
      <c r="Q138" s="132">
        <v>356.638893</v>
      </c>
      <c r="R138" s="132">
        <v>577.01193820000003</v>
      </c>
      <c r="S138" s="132">
        <v>1733.3184742999999</v>
      </c>
      <c r="T138" s="132">
        <v>181.73924550000001</v>
      </c>
      <c r="U138" s="132">
        <v>5.7145853000000004</v>
      </c>
      <c r="V138" s="132">
        <v>1.7142008</v>
      </c>
      <c r="W138" s="132">
        <v>0</v>
      </c>
      <c r="X138" s="132">
        <v>2.3497313000000002</v>
      </c>
      <c r="Y138" s="132">
        <v>0</v>
      </c>
      <c r="Z138" s="132">
        <v>75.011524499999993</v>
      </c>
      <c r="AA138" s="132">
        <v>2848.7085510000002</v>
      </c>
    </row>
    <row r="139" spans="1:27" x14ac:dyDescent="0.35">
      <c r="A139" s="41">
        <v>42050</v>
      </c>
      <c r="B139" s="132">
        <v>1541.6089999999999</v>
      </c>
      <c r="C139" s="132">
        <v>671.42171180000003</v>
      </c>
      <c r="D139" s="132">
        <v>214.6992803</v>
      </c>
      <c r="E139" s="132">
        <v>0</v>
      </c>
      <c r="F139" s="132">
        <v>156.8680583</v>
      </c>
      <c r="G139" s="132">
        <v>432.27798380000002</v>
      </c>
      <c r="H139" s="132">
        <v>65.824248699999998</v>
      </c>
      <c r="I139" s="132">
        <v>0</v>
      </c>
      <c r="J139" s="132">
        <v>0.51803699999999997</v>
      </c>
      <c r="K139" s="132">
        <v>201.12772649999999</v>
      </c>
      <c r="L139" s="132">
        <v>908.16481499999998</v>
      </c>
      <c r="M139" s="132">
        <v>867.04561420000005</v>
      </c>
      <c r="N139" s="132">
        <v>41.119200800000002</v>
      </c>
      <c r="O139" s="132">
        <v>2650.9018612999998</v>
      </c>
      <c r="P139" s="132">
        <v>2526.3611655</v>
      </c>
      <c r="Q139" s="132">
        <v>344.29136399999999</v>
      </c>
      <c r="R139" s="132">
        <v>510.90774750000003</v>
      </c>
      <c r="S139" s="132">
        <v>1671.1620539999999</v>
      </c>
      <c r="T139" s="132">
        <v>124.5406957</v>
      </c>
      <c r="U139" s="132">
        <v>5.9918354999999996</v>
      </c>
      <c r="V139" s="132">
        <v>1.6983832000000001</v>
      </c>
      <c r="W139" s="132">
        <v>0</v>
      </c>
      <c r="X139" s="132">
        <v>2.3035551999999999</v>
      </c>
      <c r="Y139" s="132">
        <v>0</v>
      </c>
      <c r="Z139" s="132">
        <v>71.222817000000006</v>
      </c>
      <c r="AA139" s="132">
        <v>2650.9018612999998</v>
      </c>
    </row>
    <row r="140" spans="1:27" x14ac:dyDescent="0.35">
      <c r="A140" s="41">
        <v>42051</v>
      </c>
      <c r="B140" s="132">
        <v>1770.117</v>
      </c>
      <c r="C140" s="132">
        <v>711.94539750000001</v>
      </c>
      <c r="D140" s="132">
        <v>203.81412080000001</v>
      </c>
      <c r="E140" s="132">
        <v>0</v>
      </c>
      <c r="F140" s="132">
        <v>129.58944750000001</v>
      </c>
      <c r="G140" s="132">
        <v>512.20314529999996</v>
      </c>
      <c r="H140" s="132">
        <v>212.10823500000001</v>
      </c>
      <c r="I140" s="132">
        <v>0</v>
      </c>
      <c r="J140" s="132">
        <v>0.45670949999999999</v>
      </c>
      <c r="K140" s="132">
        <v>202.10133529999999</v>
      </c>
      <c r="L140" s="132">
        <v>1139.0841645</v>
      </c>
      <c r="M140" s="132">
        <v>1097.878134</v>
      </c>
      <c r="N140" s="132">
        <v>41.206030499999997</v>
      </c>
      <c r="O140" s="132">
        <v>3111.3025553000002</v>
      </c>
      <c r="P140" s="132">
        <v>2959.8331763000001</v>
      </c>
      <c r="Q140" s="132">
        <v>423.78071180000001</v>
      </c>
      <c r="R140" s="132">
        <v>723.64293829999997</v>
      </c>
      <c r="S140" s="132">
        <v>1812.4095262000001</v>
      </c>
      <c r="T140" s="132">
        <v>151.469379</v>
      </c>
      <c r="U140" s="132">
        <v>5.9351145000000001</v>
      </c>
      <c r="V140" s="132">
        <v>1.7400914999999999</v>
      </c>
      <c r="W140" s="132">
        <v>0</v>
      </c>
      <c r="X140" s="132">
        <v>2.696634</v>
      </c>
      <c r="Y140" s="132">
        <v>0</v>
      </c>
      <c r="Z140" s="132">
        <v>69.913155799999998</v>
      </c>
      <c r="AA140" s="132">
        <v>3111.3025553000002</v>
      </c>
    </row>
    <row r="141" spans="1:27" x14ac:dyDescent="0.35">
      <c r="A141" s="41">
        <v>42052</v>
      </c>
      <c r="B141" s="132">
        <v>1695.6310000000001</v>
      </c>
      <c r="C141" s="132">
        <v>733.96552199999996</v>
      </c>
      <c r="D141" s="132">
        <v>207.6631568</v>
      </c>
      <c r="E141" s="132">
        <v>0</v>
      </c>
      <c r="F141" s="132">
        <v>163.7118188</v>
      </c>
      <c r="G141" s="132">
        <v>387.8172945</v>
      </c>
      <c r="H141" s="132">
        <v>202.24968680000001</v>
      </c>
      <c r="I141" s="132">
        <v>0</v>
      </c>
      <c r="J141" s="132">
        <v>0.22349849999999999</v>
      </c>
      <c r="K141" s="132">
        <v>197.6322533</v>
      </c>
      <c r="L141" s="132">
        <v>930.3141435</v>
      </c>
      <c r="M141" s="132">
        <v>889.01359649999995</v>
      </c>
      <c r="N141" s="132">
        <v>41.300547000000002</v>
      </c>
      <c r="O141" s="132">
        <v>2823.577374</v>
      </c>
      <c r="P141" s="132">
        <v>2810.3458687000002</v>
      </c>
      <c r="Q141" s="132">
        <v>451.22243700000001</v>
      </c>
      <c r="R141" s="132">
        <v>633.95832380000002</v>
      </c>
      <c r="S141" s="132">
        <v>1725.1651079999999</v>
      </c>
      <c r="T141" s="132">
        <v>13.2315053</v>
      </c>
      <c r="U141" s="132">
        <v>5.4479077</v>
      </c>
      <c r="V141" s="132">
        <v>1.7411460000000001</v>
      </c>
      <c r="W141" s="132">
        <v>0</v>
      </c>
      <c r="X141" s="132">
        <v>2.7880702999999998</v>
      </c>
      <c r="Y141" s="132">
        <v>0</v>
      </c>
      <c r="Z141" s="132">
        <v>65.6694593</v>
      </c>
      <c r="AA141" s="132">
        <v>2823.577374</v>
      </c>
    </row>
    <row r="142" spans="1:27" x14ac:dyDescent="0.35">
      <c r="A142" s="41">
        <v>42053</v>
      </c>
      <c r="B142" s="132">
        <v>1698.0909999999999</v>
      </c>
      <c r="C142" s="132">
        <v>843.9546173</v>
      </c>
      <c r="D142" s="132">
        <v>185.8753275</v>
      </c>
      <c r="E142" s="132">
        <v>0</v>
      </c>
      <c r="F142" s="132">
        <v>163.3945252</v>
      </c>
      <c r="G142" s="132">
        <v>391.41702450000003</v>
      </c>
      <c r="H142" s="132">
        <v>113.2422555</v>
      </c>
      <c r="I142" s="132">
        <v>0</v>
      </c>
      <c r="J142" s="132">
        <v>0.20698730000000001</v>
      </c>
      <c r="K142" s="132">
        <v>201.7374495</v>
      </c>
      <c r="L142" s="132">
        <v>1118.3829975000001</v>
      </c>
      <c r="M142" s="132">
        <v>1077.6306795</v>
      </c>
      <c r="N142" s="132">
        <v>40.752318000000002</v>
      </c>
      <c r="O142" s="132">
        <v>3018.2111842999998</v>
      </c>
      <c r="P142" s="132">
        <v>2890.4602574999999</v>
      </c>
      <c r="Q142" s="132">
        <v>444.8059988</v>
      </c>
      <c r="R142" s="132">
        <v>629.12321929999996</v>
      </c>
      <c r="S142" s="132">
        <v>1816.5310394999999</v>
      </c>
      <c r="T142" s="132">
        <v>127.75092669999999</v>
      </c>
      <c r="U142" s="132">
        <v>5.6211510000000002</v>
      </c>
      <c r="V142" s="132">
        <v>1.7370945</v>
      </c>
      <c r="W142" s="132">
        <v>0</v>
      </c>
      <c r="X142" s="132">
        <v>2.9813212999999998</v>
      </c>
      <c r="Y142" s="132">
        <v>0</v>
      </c>
      <c r="Z142" s="132">
        <v>67.659134199999997</v>
      </c>
      <c r="AA142" s="132">
        <v>3018.2111842999998</v>
      </c>
    </row>
    <row r="143" spans="1:27" x14ac:dyDescent="0.35">
      <c r="A143" s="41">
        <v>42054</v>
      </c>
      <c r="B143" s="132">
        <v>1774.2809999999999</v>
      </c>
      <c r="C143" s="132">
        <v>745.77464550000002</v>
      </c>
      <c r="D143" s="132">
        <v>207.7244287</v>
      </c>
      <c r="E143" s="132">
        <v>0</v>
      </c>
      <c r="F143" s="132">
        <v>164.4303218</v>
      </c>
      <c r="G143" s="132">
        <v>447.38050500000003</v>
      </c>
      <c r="H143" s="132">
        <v>208.76782879999999</v>
      </c>
      <c r="I143" s="132">
        <v>0</v>
      </c>
      <c r="J143" s="132">
        <v>0.20329649999999999</v>
      </c>
      <c r="K143" s="132">
        <v>204.02402169999999</v>
      </c>
      <c r="L143" s="132">
        <v>1156.4407905</v>
      </c>
      <c r="M143" s="132">
        <v>1115.128422</v>
      </c>
      <c r="N143" s="132">
        <v>41.312368499999998</v>
      </c>
      <c r="O143" s="132">
        <v>3134.7458385</v>
      </c>
      <c r="P143" s="132">
        <v>2907.7630208</v>
      </c>
      <c r="Q143" s="132">
        <v>470.12498770000002</v>
      </c>
      <c r="R143" s="132">
        <v>726.80818650000003</v>
      </c>
      <c r="S143" s="132">
        <v>1710.8298465</v>
      </c>
      <c r="T143" s="132">
        <v>226.9828177</v>
      </c>
      <c r="U143" s="132">
        <v>5.7631755</v>
      </c>
      <c r="V143" s="132">
        <v>1.7306565</v>
      </c>
      <c r="W143" s="132">
        <v>0</v>
      </c>
      <c r="X143" s="132">
        <v>2.9633669999999999</v>
      </c>
      <c r="Y143" s="132">
        <v>0</v>
      </c>
      <c r="Z143" s="132">
        <v>68.823246699999999</v>
      </c>
      <c r="AA143" s="132">
        <v>3134.7458385</v>
      </c>
    </row>
    <row r="144" spans="1:27" x14ac:dyDescent="0.35">
      <c r="A144" s="41">
        <v>42055</v>
      </c>
      <c r="B144" s="132">
        <v>1696.0409999999999</v>
      </c>
      <c r="C144" s="132">
        <v>701.83121630000005</v>
      </c>
      <c r="D144" s="132">
        <v>211.01230430000001</v>
      </c>
      <c r="E144" s="132">
        <v>0</v>
      </c>
      <c r="F144" s="132">
        <v>162.524091</v>
      </c>
      <c r="G144" s="132">
        <v>432.1494735</v>
      </c>
      <c r="H144" s="132">
        <v>175.7108355</v>
      </c>
      <c r="I144" s="132">
        <v>12.370700299999999</v>
      </c>
      <c r="J144" s="132">
        <v>0.44219629999999999</v>
      </c>
      <c r="K144" s="132">
        <v>201.81523279999999</v>
      </c>
      <c r="L144" s="132">
        <v>1171.8306908</v>
      </c>
      <c r="M144" s="132">
        <v>1130.5512060000001</v>
      </c>
      <c r="N144" s="132">
        <v>41.279484799999999</v>
      </c>
      <c r="O144" s="132">
        <v>3069.6867404999998</v>
      </c>
      <c r="P144" s="132">
        <v>2911.4142824999999</v>
      </c>
      <c r="Q144" s="132">
        <v>426.89811900000001</v>
      </c>
      <c r="R144" s="132">
        <v>699.12153980000005</v>
      </c>
      <c r="S144" s="132">
        <v>1785.3946238000001</v>
      </c>
      <c r="T144" s="132">
        <v>158.272458</v>
      </c>
      <c r="U144" s="132">
        <v>5.3644080000000001</v>
      </c>
      <c r="V144" s="132">
        <v>1.7242185000000001</v>
      </c>
      <c r="W144" s="132">
        <v>0</v>
      </c>
      <c r="X144" s="132">
        <v>2.599065</v>
      </c>
      <c r="Y144" s="132">
        <v>0</v>
      </c>
      <c r="Z144" s="132">
        <v>66.722322000000005</v>
      </c>
      <c r="AA144" s="132">
        <v>3069.6867404999998</v>
      </c>
    </row>
    <row r="145" spans="1:27" x14ac:dyDescent="0.35">
      <c r="A145" s="41">
        <v>42056</v>
      </c>
      <c r="B145" s="132">
        <v>1405.059</v>
      </c>
      <c r="C145" s="132">
        <v>643.96350299999995</v>
      </c>
      <c r="D145" s="132">
        <v>211.09488830000001</v>
      </c>
      <c r="E145" s="132">
        <v>0</v>
      </c>
      <c r="F145" s="132">
        <v>159.83234100000001</v>
      </c>
      <c r="G145" s="132">
        <v>323.62152680000003</v>
      </c>
      <c r="H145" s="132">
        <v>65.885076799999993</v>
      </c>
      <c r="I145" s="132">
        <v>0</v>
      </c>
      <c r="J145" s="132">
        <v>0.66205950000000002</v>
      </c>
      <c r="K145" s="132">
        <v>202.8099315</v>
      </c>
      <c r="L145" s="132">
        <v>1103.6454165</v>
      </c>
      <c r="M145" s="132">
        <v>1062.776826</v>
      </c>
      <c r="N145" s="132">
        <v>40.868590500000003</v>
      </c>
      <c r="O145" s="132">
        <v>2711.5147431999999</v>
      </c>
      <c r="P145" s="132">
        <v>2613.0458107999998</v>
      </c>
      <c r="Q145" s="132">
        <v>372.33545850000002</v>
      </c>
      <c r="R145" s="132">
        <v>541.27937329999997</v>
      </c>
      <c r="S145" s="132">
        <v>1699.430979</v>
      </c>
      <c r="T145" s="132">
        <v>98.468932499999994</v>
      </c>
      <c r="U145" s="132">
        <v>5.6876677999999998</v>
      </c>
      <c r="V145" s="132">
        <v>1.6256505000000001</v>
      </c>
      <c r="W145" s="132">
        <v>0</v>
      </c>
      <c r="X145" s="132">
        <v>2.348538</v>
      </c>
      <c r="Y145" s="132">
        <v>0</v>
      </c>
      <c r="Z145" s="132">
        <v>59.184395299999998</v>
      </c>
      <c r="AA145" s="132">
        <v>2711.5147431999999</v>
      </c>
    </row>
    <row r="146" spans="1:27" x14ac:dyDescent="0.35">
      <c r="A146" s="41">
        <v>42057</v>
      </c>
      <c r="B146" s="132">
        <v>1428.819</v>
      </c>
      <c r="C146" s="132">
        <v>663.70962599999996</v>
      </c>
      <c r="D146" s="132">
        <v>211.09896749999999</v>
      </c>
      <c r="E146" s="132">
        <v>0</v>
      </c>
      <c r="F146" s="132">
        <v>159.892503</v>
      </c>
      <c r="G146" s="132">
        <v>316.56986330000001</v>
      </c>
      <c r="H146" s="132">
        <v>76.928771999999995</v>
      </c>
      <c r="I146" s="132">
        <v>0</v>
      </c>
      <c r="J146" s="132">
        <v>0.61929679999999998</v>
      </c>
      <c r="K146" s="132">
        <v>202.21189129999999</v>
      </c>
      <c r="L146" s="132">
        <v>918.99419699999999</v>
      </c>
      <c r="M146" s="132">
        <v>878.89097930000003</v>
      </c>
      <c r="N146" s="132">
        <v>40.103217800000003</v>
      </c>
      <c r="O146" s="132">
        <v>2550.0251168</v>
      </c>
      <c r="P146" s="132">
        <v>2417.0923769999999</v>
      </c>
      <c r="Q146" s="132">
        <v>338.06814900000001</v>
      </c>
      <c r="R146" s="132">
        <v>493.6983353</v>
      </c>
      <c r="S146" s="132">
        <v>1585.3258928</v>
      </c>
      <c r="T146" s="132">
        <v>132.93273980000001</v>
      </c>
      <c r="U146" s="132">
        <v>5.3319405</v>
      </c>
      <c r="V146" s="132">
        <v>1.7028787999999999</v>
      </c>
      <c r="W146" s="132">
        <v>0</v>
      </c>
      <c r="X146" s="132">
        <v>2.5466175</v>
      </c>
      <c r="Y146" s="132">
        <v>0</v>
      </c>
      <c r="Z146" s="132">
        <v>55.893855799999997</v>
      </c>
      <c r="AA146" s="132">
        <v>2550.0251168</v>
      </c>
    </row>
    <row r="147" spans="1:27" x14ac:dyDescent="0.35">
      <c r="A147" s="41">
        <v>42058</v>
      </c>
      <c r="B147" s="132">
        <v>1748.8920000000001</v>
      </c>
      <c r="C147" s="132">
        <v>741.8131942</v>
      </c>
      <c r="D147" s="132">
        <v>224.45440429999999</v>
      </c>
      <c r="E147" s="132">
        <v>0</v>
      </c>
      <c r="F147" s="132">
        <v>154.59178130000001</v>
      </c>
      <c r="G147" s="132">
        <v>425.24627249999998</v>
      </c>
      <c r="H147" s="132">
        <v>202.26786300000001</v>
      </c>
      <c r="I147" s="132">
        <v>0</v>
      </c>
      <c r="J147" s="132">
        <v>0.51834219999999998</v>
      </c>
      <c r="K147" s="132">
        <v>199.1820075</v>
      </c>
      <c r="L147" s="132">
        <v>965.92088999999999</v>
      </c>
      <c r="M147" s="132">
        <v>924.62916749999999</v>
      </c>
      <c r="N147" s="132">
        <v>41.291722499999999</v>
      </c>
      <c r="O147" s="132">
        <v>2913.9947550000002</v>
      </c>
      <c r="P147" s="132">
        <v>2824.2139867999999</v>
      </c>
      <c r="Q147" s="132">
        <v>432.79468880000002</v>
      </c>
      <c r="R147" s="132">
        <v>655.38187879999998</v>
      </c>
      <c r="S147" s="132">
        <v>1736.0374191999999</v>
      </c>
      <c r="T147" s="132">
        <v>89.780768300000005</v>
      </c>
      <c r="U147" s="132">
        <v>5.7294314999999996</v>
      </c>
      <c r="V147" s="132">
        <v>1.6596998000000001</v>
      </c>
      <c r="W147" s="132">
        <v>0</v>
      </c>
      <c r="X147" s="132">
        <v>2.9188005000000001</v>
      </c>
      <c r="Y147" s="132">
        <v>0</v>
      </c>
      <c r="Z147" s="132">
        <v>68.782731699999999</v>
      </c>
      <c r="AA147" s="132">
        <v>2913.9947550000002</v>
      </c>
    </row>
    <row r="148" spans="1:27" x14ac:dyDescent="0.35">
      <c r="A148" s="41">
        <v>42059</v>
      </c>
      <c r="B148" s="132">
        <v>1670.4549999999999</v>
      </c>
      <c r="C148" s="132">
        <v>758.18993999999998</v>
      </c>
      <c r="D148" s="132">
        <v>220.02672530000001</v>
      </c>
      <c r="E148" s="132">
        <v>0</v>
      </c>
      <c r="F148" s="132">
        <v>142.03102129999999</v>
      </c>
      <c r="G148" s="132">
        <v>395.68253249999998</v>
      </c>
      <c r="H148" s="132">
        <v>154.03009349999999</v>
      </c>
      <c r="I148" s="132">
        <v>0</v>
      </c>
      <c r="J148" s="132">
        <v>0.49428299999999997</v>
      </c>
      <c r="K148" s="132">
        <v>198.81848249999999</v>
      </c>
      <c r="L148" s="132">
        <v>1150.3084845000001</v>
      </c>
      <c r="M148" s="132">
        <v>1108.9170563</v>
      </c>
      <c r="N148" s="132">
        <v>41.391428300000001</v>
      </c>
      <c r="O148" s="132">
        <v>3019.5815625</v>
      </c>
      <c r="P148" s="132">
        <v>2907.5673000000002</v>
      </c>
      <c r="Q148" s="132">
        <v>445.42296449999998</v>
      </c>
      <c r="R148" s="132">
        <v>695.0178975</v>
      </c>
      <c r="S148" s="132">
        <v>1767.126438</v>
      </c>
      <c r="T148" s="132">
        <v>112.0142625</v>
      </c>
      <c r="U148" s="132">
        <v>5.3836387999999999</v>
      </c>
      <c r="V148" s="132">
        <v>1.7330152999999999</v>
      </c>
      <c r="W148" s="132">
        <v>0</v>
      </c>
      <c r="X148" s="132">
        <v>2.7337357999999998</v>
      </c>
      <c r="Y148" s="132">
        <v>0</v>
      </c>
      <c r="Z148" s="132">
        <v>65.691853499999993</v>
      </c>
      <c r="AA148" s="132">
        <v>3019.5815625</v>
      </c>
    </row>
    <row r="149" spans="1:27" x14ac:dyDescent="0.35">
      <c r="A149" s="41">
        <v>42060</v>
      </c>
      <c r="B149" s="132">
        <v>1706.7950000000001</v>
      </c>
      <c r="C149" s="132">
        <v>735.48364119999997</v>
      </c>
      <c r="D149" s="132">
        <v>218.4995318</v>
      </c>
      <c r="E149" s="132">
        <v>0</v>
      </c>
      <c r="F149" s="132">
        <v>142.01553680000001</v>
      </c>
      <c r="G149" s="132">
        <v>381.73399499999999</v>
      </c>
      <c r="H149" s="132">
        <v>228.78903750000001</v>
      </c>
      <c r="I149" s="132">
        <v>2.7800000000000001E-5</v>
      </c>
      <c r="J149" s="132">
        <v>0.27306000000000002</v>
      </c>
      <c r="K149" s="132">
        <v>199.96613919999999</v>
      </c>
      <c r="L149" s="132">
        <v>967.35895049999999</v>
      </c>
      <c r="M149" s="132">
        <v>926.34039900000005</v>
      </c>
      <c r="N149" s="132">
        <v>41.018551500000001</v>
      </c>
      <c r="O149" s="132">
        <v>2874.1199197999999</v>
      </c>
      <c r="P149" s="132">
        <v>2803.3901092999999</v>
      </c>
      <c r="Q149" s="132">
        <v>430.37064299999997</v>
      </c>
      <c r="R149" s="132">
        <v>653.19265350000001</v>
      </c>
      <c r="S149" s="132">
        <v>1719.8268126999999</v>
      </c>
      <c r="T149" s="132">
        <v>70.729810499999999</v>
      </c>
      <c r="U149" s="132">
        <v>5.1156848000000004</v>
      </c>
      <c r="V149" s="132">
        <v>1.5535281999999999</v>
      </c>
      <c r="W149" s="132">
        <v>0</v>
      </c>
      <c r="X149" s="132">
        <v>2.9777692999999998</v>
      </c>
      <c r="Y149" s="132">
        <v>0</v>
      </c>
      <c r="Z149" s="132">
        <v>65.119953699999996</v>
      </c>
      <c r="AA149" s="132">
        <v>2874.1199197999999</v>
      </c>
    </row>
    <row r="150" spans="1:27" x14ac:dyDescent="0.35">
      <c r="A150" s="41">
        <v>42061</v>
      </c>
      <c r="B150" s="132">
        <v>1724.7380000000001</v>
      </c>
      <c r="C150" s="132">
        <v>770.74714800000004</v>
      </c>
      <c r="D150" s="132">
        <v>218.48798780000001</v>
      </c>
      <c r="E150" s="132">
        <v>0</v>
      </c>
      <c r="F150" s="132">
        <v>135.7493925</v>
      </c>
      <c r="G150" s="132">
        <v>428.44698529999999</v>
      </c>
      <c r="H150" s="132">
        <v>162.67088849999999</v>
      </c>
      <c r="I150" s="132">
        <v>8.4294788</v>
      </c>
      <c r="J150" s="132">
        <v>0.206016</v>
      </c>
      <c r="K150" s="132">
        <v>197.7014063</v>
      </c>
      <c r="L150" s="132">
        <v>954.27038549999997</v>
      </c>
      <c r="M150" s="132">
        <v>912.94719450000002</v>
      </c>
      <c r="N150" s="132">
        <v>41.323191000000001</v>
      </c>
      <c r="O150" s="132">
        <v>2876.7096885000001</v>
      </c>
      <c r="P150" s="132">
        <v>2728.0472497999999</v>
      </c>
      <c r="Q150" s="132">
        <v>436.2717083</v>
      </c>
      <c r="R150" s="132">
        <v>601.49212799999998</v>
      </c>
      <c r="S150" s="132">
        <v>1690.2834135000001</v>
      </c>
      <c r="T150" s="132">
        <v>148.66243879999999</v>
      </c>
      <c r="U150" s="132">
        <v>5.3667389999999999</v>
      </c>
      <c r="V150" s="132">
        <v>1.4894813</v>
      </c>
      <c r="W150" s="132">
        <v>0</v>
      </c>
      <c r="X150" s="132">
        <v>2.8860277999999999</v>
      </c>
      <c r="Y150" s="132">
        <v>0</v>
      </c>
      <c r="Z150" s="132">
        <v>65.586680999999999</v>
      </c>
      <c r="AA150" s="132">
        <v>2876.7096885000001</v>
      </c>
    </row>
    <row r="151" spans="1:27" x14ac:dyDescent="0.35">
      <c r="A151" s="41">
        <v>42062</v>
      </c>
      <c r="B151" s="132">
        <v>1649.403</v>
      </c>
      <c r="C151" s="132">
        <v>708.59849780000002</v>
      </c>
      <c r="D151" s="132">
        <v>218.2839975</v>
      </c>
      <c r="E151" s="132">
        <v>0</v>
      </c>
      <c r="F151" s="132">
        <v>146.12164870000001</v>
      </c>
      <c r="G151" s="132">
        <v>356.52262050000002</v>
      </c>
      <c r="H151" s="132">
        <v>219.74828170000001</v>
      </c>
      <c r="I151" s="132">
        <v>0</v>
      </c>
      <c r="J151" s="132">
        <v>0.1275945</v>
      </c>
      <c r="K151" s="132">
        <v>198.45828750000001</v>
      </c>
      <c r="L151" s="132">
        <v>893.57885999999996</v>
      </c>
      <c r="M151" s="132">
        <v>852.66900529999998</v>
      </c>
      <c r="N151" s="132">
        <v>40.909854799999998</v>
      </c>
      <c r="O151" s="132">
        <v>2741.4397883000001</v>
      </c>
      <c r="P151" s="132">
        <v>2671.4865060000002</v>
      </c>
      <c r="Q151" s="132">
        <v>399.35538380000003</v>
      </c>
      <c r="R151" s="132">
        <v>582.22008600000004</v>
      </c>
      <c r="S151" s="132">
        <v>1689.9110361999999</v>
      </c>
      <c r="T151" s="132">
        <v>69.953282299999998</v>
      </c>
      <c r="U151" s="132">
        <v>4.9812915000000002</v>
      </c>
      <c r="V151" s="132">
        <v>1.4408909999999999</v>
      </c>
      <c r="W151" s="132">
        <v>0</v>
      </c>
      <c r="X151" s="132">
        <v>2.6654152999999998</v>
      </c>
      <c r="Y151" s="132">
        <v>0</v>
      </c>
      <c r="Z151" s="132">
        <v>62.676982500000001</v>
      </c>
      <c r="AA151" s="132">
        <v>2741.4397883000001</v>
      </c>
    </row>
    <row r="152" spans="1:27" x14ac:dyDescent="0.35">
      <c r="A152" s="41">
        <v>42063</v>
      </c>
      <c r="B152" s="132">
        <v>1308.768</v>
      </c>
      <c r="C152" s="132">
        <v>641.24719430000005</v>
      </c>
      <c r="D152" s="132">
        <v>218.290491</v>
      </c>
      <c r="E152" s="132">
        <v>0</v>
      </c>
      <c r="F152" s="132">
        <v>145.81270799999999</v>
      </c>
      <c r="G152" s="132">
        <v>234.06126</v>
      </c>
      <c r="H152" s="132">
        <v>65.782540499999996</v>
      </c>
      <c r="I152" s="132">
        <v>0</v>
      </c>
      <c r="J152" s="132">
        <v>3.5733397999999998</v>
      </c>
      <c r="K152" s="132">
        <v>191.92088699999999</v>
      </c>
      <c r="L152" s="132">
        <v>823.36253550000004</v>
      </c>
      <c r="M152" s="132">
        <v>783.37048430000004</v>
      </c>
      <c r="N152" s="132">
        <v>39.9920513</v>
      </c>
      <c r="O152" s="132">
        <v>2324.050956</v>
      </c>
      <c r="P152" s="132">
        <v>2239.1496923</v>
      </c>
      <c r="Q152" s="132">
        <v>350.02054579999998</v>
      </c>
      <c r="R152" s="132">
        <v>457.192905</v>
      </c>
      <c r="S152" s="132">
        <v>1431.9362415000001</v>
      </c>
      <c r="T152" s="132">
        <v>84.901263799999995</v>
      </c>
      <c r="U152" s="132">
        <v>4.3418482000000003</v>
      </c>
      <c r="V152" s="132">
        <v>1.4140013</v>
      </c>
      <c r="W152" s="132">
        <v>0</v>
      </c>
      <c r="X152" s="132">
        <v>2.3987932999999999</v>
      </c>
      <c r="Y152" s="132">
        <v>0</v>
      </c>
      <c r="Z152" s="132">
        <v>56.652790500000002</v>
      </c>
      <c r="AA152" s="132">
        <v>2324.050956</v>
      </c>
    </row>
    <row r="153" spans="1:27" x14ac:dyDescent="0.35">
      <c r="A153" s="41">
        <v>42064</v>
      </c>
      <c r="B153">
        <v>1490.944</v>
      </c>
      <c r="C153" s="132">
        <v>692.74633800000004</v>
      </c>
      <c r="D153" s="132">
        <v>200.89296150000001</v>
      </c>
      <c r="E153" s="132">
        <v>0</v>
      </c>
      <c r="F153" s="132">
        <v>155.619336</v>
      </c>
      <c r="G153" s="132">
        <v>375.717018</v>
      </c>
      <c r="H153" s="132">
        <v>65.737779799999998</v>
      </c>
      <c r="I153" s="132">
        <v>0</v>
      </c>
      <c r="J153" s="132">
        <v>0.23018630000000001</v>
      </c>
      <c r="K153" s="132">
        <v>195.4374225</v>
      </c>
      <c r="L153" s="132">
        <v>582.13938900000005</v>
      </c>
      <c r="M153" s="132">
        <v>545.87152649999996</v>
      </c>
      <c r="N153" s="132">
        <v>36.2678625</v>
      </c>
      <c r="O153" s="132">
        <v>2268.5204309999999</v>
      </c>
      <c r="P153" s="132">
        <v>2137.6074749999998</v>
      </c>
      <c r="Q153" s="132">
        <v>336.7470548</v>
      </c>
      <c r="R153" s="132">
        <v>409.11211730000002</v>
      </c>
      <c r="S153" s="132">
        <v>1391.7483030000001</v>
      </c>
      <c r="T153" s="132">
        <v>130.91295600000001</v>
      </c>
      <c r="U153" s="132">
        <v>4.1883629999999998</v>
      </c>
      <c r="V153" s="132">
        <v>1.5467295000000001</v>
      </c>
      <c r="W153" s="132">
        <v>0</v>
      </c>
      <c r="X153" s="132">
        <v>2.1964679999999999</v>
      </c>
      <c r="Y153" s="132">
        <v>0</v>
      </c>
      <c r="Z153" s="132">
        <v>50.373465000000003</v>
      </c>
      <c r="AA153" s="132">
        <v>2268.5204309999999</v>
      </c>
    </row>
    <row r="154" spans="1:27" x14ac:dyDescent="0.35">
      <c r="A154" s="41">
        <v>42065</v>
      </c>
      <c r="B154" s="132">
        <v>1755.5039999999999</v>
      </c>
      <c r="C154" s="132">
        <v>731.99538299999995</v>
      </c>
      <c r="D154" s="132">
        <v>228.71444550000001</v>
      </c>
      <c r="E154" s="132">
        <v>0</v>
      </c>
      <c r="F154" s="132">
        <v>150.3819675</v>
      </c>
      <c r="G154" s="132">
        <v>407.99176649999998</v>
      </c>
      <c r="H154" s="132">
        <v>236.0387528</v>
      </c>
      <c r="I154" s="132">
        <v>0</v>
      </c>
      <c r="J154" s="132">
        <v>0.38156250000000003</v>
      </c>
      <c r="K154" s="132">
        <v>196.5567743</v>
      </c>
      <c r="L154" s="132">
        <v>703.37242349999997</v>
      </c>
      <c r="M154" s="132">
        <v>666.83619080000005</v>
      </c>
      <c r="N154" s="132">
        <v>36.536232800000001</v>
      </c>
      <c r="O154" s="132">
        <v>2655.4330755000001</v>
      </c>
      <c r="P154" s="132">
        <v>2571.385929</v>
      </c>
      <c r="Q154" s="132">
        <v>424.9005353</v>
      </c>
      <c r="R154" s="132">
        <v>587.244057</v>
      </c>
      <c r="S154" s="132">
        <v>1559.2413368</v>
      </c>
      <c r="T154" s="132">
        <v>84.047146499999997</v>
      </c>
      <c r="U154" s="132">
        <v>4.5473924999999999</v>
      </c>
      <c r="V154" s="132">
        <v>1.6231253000000001</v>
      </c>
      <c r="W154" s="132">
        <v>0</v>
      </c>
      <c r="X154" s="132">
        <v>2.3344687999999998</v>
      </c>
      <c r="Y154" s="132">
        <v>0</v>
      </c>
      <c r="Z154" s="132">
        <v>59.771723999999999</v>
      </c>
      <c r="AA154" s="132">
        <v>2655.4330755000001</v>
      </c>
    </row>
    <row r="155" spans="1:27" x14ac:dyDescent="0.35">
      <c r="A155" s="41">
        <v>42066</v>
      </c>
      <c r="B155" s="132">
        <v>1761.021</v>
      </c>
      <c r="C155" s="132">
        <v>720.4444178</v>
      </c>
      <c r="D155" s="132">
        <v>226.74191999999999</v>
      </c>
      <c r="E155" s="132">
        <v>0</v>
      </c>
      <c r="F155" s="132">
        <v>148.82144629999999</v>
      </c>
      <c r="G155" s="132">
        <v>428.45844599999998</v>
      </c>
      <c r="H155" s="132">
        <v>236.24185499999999</v>
      </c>
      <c r="I155" s="132">
        <v>0</v>
      </c>
      <c r="J155" s="132">
        <v>0.31315880000000001</v>
      </c>
      <c r="K155" s="132">
        <v>193.39455079999999</v>
      </c>
      <c r="L155" s="132">
        <v>579.7353233</v>
      </c>
      <c r="M155" s="132">
        <v>543.24990079999998</v>
      </c>
      <c r="N155" s="132">
        <v>36.485422499999999</v>
      </c>
      <c r="O155" s="132">
        <v>2534.1511178000001</v>
      </c>
      <c r="P155" s="132">
        <v>2455.253733</v>
      </c>
      <c r="Q155" s="132">
        <v>447.2547697</v>
      </c>
      <c r="R155" s="132">
        <v>595.75578680000001</v>
      </c>
      <c r="S155" s="132">
        <v>1412.2431764999999</v>
      </c>
      <c r="T155" s="132">
        <v>78.897384799999998</v>
      </c>
      <c r="U155" s="132">
        <v>4.3115730000000001</v>
      </c>
      <c r="V155" s="132">
        <v>1.5858293000000001</v>
      </c>
      <c r="W155" s="132">
        <v>0</v>
      </c>
      <c r="X155" s="132">
        <v>2.2139783</v>
      </c>
      <c r="Y155" s="132">
        <v>0</v>
      </c>
      <c r="Z155" s="132">
        <v>57.319206800000003</v>
      </c>
      <c r="AA155" s="132">
        <v>2534.1511178000001</v>
      </c>
    </row>
    <row r="156" spans="1:27" x14ac:dyDescent="0.35">
      <c r="A156" s="41">
        <v>42067</v>
      </c>
      <c r="B156" s="132">
        <v>1740.615</v>
      </c>
      <c r="C156" s="132">
        <v>711.60887330000003</v>
      </c>
      <c r="D156" s="132">
        <v>221.63403299999999</v>
      </c>
      <c r="E156" s="132">
        <v>0</v>
      </c>
      <c r="F156" s="132">
        <v>150.3533295</v>
      </c>
      <c r="G156" s="132">
        <v>420.32145229999998</v>
      </c>
      <c r="H156" s="132">
        <v>236.39681100000001</v>
      </c>
      <c r="I156" s="132">
        <v>0</v>
      </c>
      <c r="J156" s="132">
        <v>0.30014400000000002</v>
      </c>
      <c r="K156" s="132">
        <v>192.99109350000001</v>
      </c>
      <c r="L156" s="132">
        <v>740.90443730000004</v>
      </c>
      <c r="M156" s="132">
        <v>706.45594800000003</v>
      </c>
      <c r="N156" s="132">
        <v>34.448489299999999</v>
      </c>
      <c r="O156" s="132">
        <v>2674.5101737999998</v>
      </c>
      <c r="P156" s="132">
        <v>2547.4360695</v>
      </c>
      <c r="Q156" s="132">
        <v>438.06288749999999</v>
      </c>
      <c r="R156" s="132">
        <v>618.12683779999998</v>
      </c>
      <c r="S156" s="132">
        <v>1491.2463442999999</v>
      </c>
      <c r="T156" s="132">
        <v>127.07410419999999</v>
      </c>
      <c r="U156" s="132">
        <v>4.7343443000000001</v>
      </c>
      <c r="V156" s="132">
        <v>1.4466352</v>
      </c>
      <c r="W156" s="132">
        <v>0</v>
      </c>
      <c r="X156" s="132">
        <v>2.4463012000000002</v>
      </c>
      <c r="Y156" s="132">
        <v>0</v>
      </c>
      <c r="Z156" s="132">
        <v>58.333774499999997</v>
      </c>
      <c r="AA156" s="132">
        <v>2674.5101737999998</v>
      </c>
    </row>
    <row r="157" spans="1:27" x14ac:dyDescent="0.35">
      <c r="A157" s="41">
        <v>42068</v>
      </c>
      <c r="B157" s="132">
        <v>1659.8140000000001</v>
      </c>
      <c r="C157" s="132">
        <v>671.99200199999996</v>
      </c>
      <c r="D157" s="132">
        <v>222.24758550000001</v>
      </c>
      <c r="E157" s="132">
        <v>0</v>
      </c>
      <c r="F157" s="132">
        <v>146.60613599999999</v>
      </c>
      <c r="G157" s="132">
        <v>382.27389899999997</v>
      </c>
      <c r="H157" s="132">
        <v>236.31042529999999</v>
      </c>
      <c r="I157" s="132">
        <v>0</v>
      </c>
      <c r="J157" s="132">
        <v>0.38372699999999998</v>
      </c>
      <c r="K157" s="132">
        <v>189.94314449999999</v>
      </c>
      <c r="L157" s="132">
        <v>863.81923280000001</v>
      </c>
      <c r="M157" s="132">
        <v>829.33575080000003</v>
      </c>
      <c r="N157" s="132">
        <v>34.483482000000002</v>
      </c>
      <c r="O157" s="132">
        <v>2713.5761520000001</v>
      </c>
      <c r="P157" s="132">
        <v>2677.5165532999999</v>
      </c>
      <c r="Q157" s="132">
        <v>437.69658750000002</v>
      </c>
      <c r="R157" s="132">
        <v>609.31768350000004</v>
      </c>
      <c r="S157" s="132">
        <v>1630.5022822999999</v>
      </c>
      <c r="T157" s="132">
        <v>36.059598800000003</v>
      </c>
      <c r="U157" s="132">
        <v>4.8682657999999996</v>
      </c>
      <c r="V157" s="132">
        <v>1.5509752999999999</v>
      </c>
      <c r="W157" s="132">
        <v>0</v>
      </c>
      <c r="X157" s="132">
        <v>3.0421493000000002</v>
      </c>
      <c r="Y157" s="132">
        <v>0</v>
      </c>
      <c r="Z157" s="132">
        <v>59.144463000000002</v>
      </c>
      <c r="AA157" s="132">
        <v>2713.5761520000001</v>
      </c>
    </row>
    <row r="158" spans="1:27" x14ac:dyDescent="0.35">
      <c r="A158" s="41">
        <v>42069</v>
      </c>
      <c r="B158" s="132">
        <v>1900.9680000000001</v>
      </c>
      <c r="C158" s="132">
        <v>1033.203651</v>
      </c>
      <c r="D158" s="132">
        <v>240.78142199999999</v>
      </c>
      <c r="E158" s="132">
        <v>0</v>
      </c>
      <c r="F158" s="132">
        <v>143.6478195</v>
      </c>
      <c r="G158" s="132">
        <v>263.22534450000001</v>
      </c>
      <c r="H158" s="132">
        <v>219.8967165</v>
      </c>
      <c r="I158" s="132">
        <v>0</v>
      </c>
      <c r="J158" s="132">
        <v>0.212787</v>
      </c>
      <c r="K158" s="132">
        <v>189.82212680000001</v>
      </c>
      <c r="L158" s="132">
        <v>671.37831080000001</v>
      </c>
      <c r="M158" s="132">
        <v>636.93864599999995</v>
      </c>
      <c r="N158" s="132">
        <v>34.439664800000003</v>
      </c>
      <c r="O158" s="132">
        <v>2762.1681779999999</v>
      </c>
      <c r="P158" s="132">
        <v>2631.1890105000002</v>
      </c>
      <c r="Q158" s="132">
        <v>434.76735300000001</v>
      </c>
      <c r="R158" s="132">
        <v>583.87581750000004</v>
      </c>
      <c r="S158" s="132">
        <v>1612.54584</v>
      </c>
      <c r="T158" s="132">
        <v>130.97916749999999</v>
      </c>
      <c r="U158" s="132">
        <v>4.8552787000000004</v>
      </c>
      <c r="V158" s="132">
        <v>1.5156772000000001</v>
      </c>
      <c r="W158" s="132">
        <v>0</v>
      </c>
      <c r="X158" s="132">
        <v>3.0125677999999998</v>
      </c>
      <c r="Y158" s="132">
        <v>0</v>
      </c>
      <c r="Z158" s="132">
        <v>57.439974800000002</v>
      </c>
      <c r="AA158" s="132">
        <v>2762.1681779999999</v>
      </c>
    </row>
    <row r="159" spans="1:27" x14ac:dyDescent="0.35">
      <c r="A159" s="41">
        <v>42070</v>
      </c>
      <c r="B159" s="132">
        <v>1507.008</v>
      </c>
      <c r="C159" s="132">
        <v>972.55863450000004</v>
      </c>
      <c r="D159" s="132">
        <v>240.07152149999999</v>
      </c>
      <c r="E159" s="132">
        <v>0</v>
      </c>
      <c r="F159" s="132">
        <v>143.61898729999999</v>
      </c>
      <c r="G159" s="132">
        <v>106.4975903</v>
      </c>
      <c r="H159" s="132">
        <v>43.892702300000003</v>
      </c>
      <c r="I159" s="132">
        <v>0</v>
      </c>
      <c r="J159" s="132">
        <v>0.36840899999999999</v>
      </c>
      <c r="K159" s="132">
        <v>175.94315850000001</v>
      </c>
      <c r="L159" s="132">
        <v>667.04226229999995</v>
      </c>
      <c r="M159" s="132">
        <v>633.17680050000001</v>
      </c>
      <c r="N159" s="132">
        <v>33.865461799999999</v>
      </c>
      <c r="O159" s="132">
        <v>2349.9932654999998</v>
      </c>
      <c r="P159" s="132">
        <v>2282.8832204999999</v>
      </c>
      <c r="Q159" s="132">
        <v>370.23569930000002</v>
      </c>
      <c r="R159" s="132">
        <v>414.77281199999999</v>
      </c>
      <c r="S159" s="132">
        <v>1497.8747092999999</v>
      </c>
      <c r="T159" s="132">
        <v>67.110045</v>
      </c>
      <c r="U159" s="132">
        <v>4.6967984999999999</v>
      </c>
      <c r="V159" s="132">
        <v>1.4973345</v>
      </c>
      <c r="W159" s="132">
        <v>0</v>
      </c>
      <c r="X159" s="132">
        <v>2.5934317999999998</v>
      </c>
      <c r="Y159" s="132">
        <v>0</v>
      </c>
      <c r="Z159" s="132">
        <v>48.864503200000001</v>
      </c>
      <c r="AA159" s="132">
        <v>2349.9932654999998</v>
      </c>
    </row>
    <row r="160" spans="1:27" x14ac:dyDescent="0.35">
      <c r="A160" s="41">
        <v>42071</v>
      </c>
      <c r="B160" s="132">
        <v>1494.864</v>
      </c>
      <c r="C160" s="132">
        <v>970.62876080000001</v>
      </c>
      <c r="D160" s="132">
        <v>236.1851063</v>
      </c>
      <c r="E160" s="132">
        <v>0</v>
      </c>
      <c r="F160" s="132">
        <v>136.0060245</v>
      </c>
      <c r="G160" s="132">
        <v>107.85770100000001</v>
      </c>
      <c r="H160" s="132">
        <v>43.797269999999997</v>
      </c>
      <c r="I160" s="132">
        <v>0</v>
      </c>
      <c r="J160" s="132">
        <v>0.38930480000000001</v>
      </c>
      <c r="K160" s="132">
        <v>180.836871</v>
      </c>
      <c r="L160" s="132">
        <v>613.06018730000005</v>
      </c>
      <c r="M160" s="132">
        <v>579.44530799999995</v>
      </c>
      <c r="N160" s="132">
        <v>33.614879299999998</v>
      </c>
      <c r="O160" s="132">
        <v>2288.7612254999999</v>
      </c>
      <c r="P160" s="132">
        <v>2202.4546463000001</v>
      </c>
      <c r="Q160" s="132">
        <v>348.758781</v>
      </c>
      <c r="R160" s="132">
        <v>453.06176249999999</v>
      </c>
      <c r="S160" s="132">
        <v>1400.6341027999999</v>
      </c>
      <c r="T160" s="132">
        <v>86.306579200000002</v>
      </c>
      <c r="U160" s="132">
        <v>4.3411822999999998</v>
      </c>
      <c r="V160" s="132">
        <v>1.5139290000000001</v>
      </c>
      <c r="W160" s="132">
        <v>0</v>
      </c>
      <c r="X160" s="132">
        <v>2.4398078000000001</v>
      </c>
      <c r="Y160" s="132">
        <v>0</v>
      </c>
      <c r="Z160" s="132">
        <v>47.1872933</v>
      </c>
      <c r="AA160" s="132">
        <v>2288.7612254999999</v>
      </c>
    </row>
    <row r="161" spans="1:27" x14ac:dyDescent="0.35">
      <c r="A161" s="41">
        <v>42072</v>
      </c>
      <c r="B161" s="132">
        <v>1641.6489999999999</v>
      </c>
      <c r="C161" s="132">
        <v>1022.8454917</v>
      </c>
      <c r="D161" s="132">
        <v>196.66205780000001</v>
      </c>
      <c r="E161" s="132">
        <v>0</v>
      </c>
      <c r="F161" s="132">
        <v>138.72888230000001</v>
      </c>
      <c r="G161" s="132">
        <v>151.10738029999999</v>
      </c>
      <c r="H161" s="132">
        <v>131.9119005</v>
      </c>
      <c r="I161" s="132">
        <v>0</v>
      </c>
      <c r="J161" s="132">
        <v>0.39346730000000002</v>
      </c>
      <c r="K161" s="132">
        <v>185.23186050000001</v>
      </c>
      <c r="L161" s="132">
        <v>872.4877778</v>
      </c>
      <c r="M161" s="132">
        <v>838.58138480000002</v>
      </c>
      <c r="N161" s="132">
        <v>33.906393000000001</v>
      </c>
      <c r="O161" s="132">
        <v>2699.3688179999999</v>
      </c>
      <c r="P161" s="132">
        <v>2683.2401295</v>
      </c>
      <c r="Q161" s="132">
        <v>447.24963600000001</v>
      </c>
      <c r="R161" s="132">
        <v>598.54616020000003</v>
      </c>
      <c r="S161" s="132">
        <v>1637.4443332999999</v>
      </c>
      <c r="T161" s="132">
        <v>16.128688499999999</v>
      </c>
      <c r="U161" s="132">
        <v>4.9854263000000003</v>
      </c>
      <c r="V161" s="132">
        <v>1.5891869999999999</v>
      </c>
      <c r="W161" s="132">
        <v>0</v>
      </c>
      <c r="X161" s="132">
        <v>3.0291622999999999</v>
      </c>
      <c r="Y161" s="132">
        <v>0</v>
      </c>
      <c r="Z161" s="132">
        <v>58.587797999999999</v>
      </c>
      <c r="AA161" s="132">
        <v>2699.3688179999999</v>
      </c>
    </row>
    <row r="162" spans="1:27" x14ac:dyDescent="0.35">
      <c r="A162" s="41">
        <v>42073</v>
      </c>
      <c r="B162" s="132">
        <v>1907.16</v>
      </c>
      <c r="C162" s="132">
        <v>1049.8276215000001</v>
      </c>
      <c r="D162" s="132">
        <v>228.164163</v>
      </c>
      <c r="E162" s="132">
        <v>0</v>
      </c>
      <c r="F162" s="132">
        <v>149.67592429999999</v>
      </c>
      <c r="G162" s="132">
        <v>303.13345199999998</v>
      </c>
      <c r="H162" s="132">
        <v>175.96638530000001</v>
      </c>
      <c r="I162" s="132">
        <v>0</v>
      </c>
      <c r="J162" s="132">
        <v>0.39221850000000003</v>
      </c>
      <c r="K162" s="132">
        <v>185.95832780000001</v>
      </c>
      <c r="L162" s="132">
        <v>551.17166550000002</v>
      </c>
      <c r="M162" s="132">
        <v>517.28314350000005</v>
      </c>
      <c r="N162" s="132">
        <v>33.888522000000002</v>
      </c>
      <c r="O162" s="132">
        <v>2644.2897578000002</v>
      </c>
      <c r="P162" s="132">
        <v>2561.8922932999999</v>
      </c>
      <c r="Q162" s="132">
        <v>445.432344</v>
      </c>
      <c r="R162" s="132">
        <v>588.96094949999997</v>
      </c>
      <c r="S162" s="132">
        <v>1527.4989997</v>
      </c>
      <c r="T162" s="132">
        <v>82.397464499999998</v>
      </c>
      <c r="U162" s="132">
        <v>4.9517654999999996</v>
      </c>
      <c r="V162" s="132">
        <v>1.5722039999999999</v>
      </c>
      <c r="W162" s="132">
        <v>0</v>
      </c>
      <c r="X162" s="132">
        <v>2.7217755000000001</v>
      </c>
      <c r="Y162" s="132">
        <v>0</v>
      </c>
      <c r="Z162" s="132">
        <v>58.090268299999998</v>
      </c>
      <c r="AA162" s="132">
        <v>2644.2897578000002</v>
      </c>
    </row>
    <row r="163" spans="1:27" x14ac:dyDescent="0.35">
      <c r="A163" s="41">
        <v>42074</v>
      </c>
      <c r="B163" s="132">
        <v>1759.9659999999999</v>
      </c>
      <c r="C163" s="132">
        <v>1063.0366214999999</v>
      </c>
      <c r="D163" s="132">
        <v>229.93774880000001</v>
      </c>
      <c r="E163" s="132">
        <v>0</v>
      </c>
      <c r="F163" s="132">
        <v>146.68522350000001</v>
      </c>
      <c r="G163" s="132">
        <v>144.13932750000001</v>
      </c>
      <c r="H163" s="132">
        <v>175.77424429999999</v>
      </c>
      <c r="I163" s="132">
        <v>0</v>
      </c>
      <c r="J163" s="132">
        <v>0.3930787</v>
      </c>
      <c r="K163" s="132">
        <v>182.94989469999999</v>
      </c>
      <c r="L163" s="132">
        <v>564.29994079999994</v>
      </c>
      <c r="M163" s="132">
        <v>530.38941299999999</v>
      </c>
      <c r="N163" s="132">
        <v>33.910527799999997</v>
      </c>
      <c r="O163" s="132">
        <v>2507.2160798</v>
      </c>
      <c r="P163" s="132">
        <v>2412.7640984999998</v>
      </c>
      <c r="Q163" s="132">
        <v>434.69486999999998</v>
      </c>
      <c r="R163" s="132">
        <v>577.98188400000004</v>
      </c>
      <c r="S163" s="132">
        <v>1400.0873445</v>
      </c>
      <c r="T163" s="132">
        <v>94.4519813</v>
      </c>
      <c r="U163" s="132">
        <v>4.9181048000000001</v>
      </c>
      <c r="V163" s="132">
        <v>1.560549</v>
      </c>
      <c r="W163" s="132">
        <v>0</v>
      </c>
      <c r="X163" s="132">
        <v>2.3435153</v>
      </c>
      <c r="Y163" s="132">
        <v>0</v>
      </c>
      <c r="Z163" s="132">
        <v>56.985069000000003</v>
      </c>
      <c r="AA163" s="132">
        <v>2507.2160798</v>
      </c>
    </row>
    <row r="164" spans="1:27" x14ac:dyDescent="0.35">
      <c r="A164" s="41">
        <v>42075</v>
      </c>
      <c r="B164" s="132">
        <v>1602.424</v>
      </c>
      <c r="C164" s="132">
        <v>972.35364530000004</v>
      </c>
      <c r="D164" s="132">
        <v>231.42401100000001</v>
      </c>
      <c r="E164" s="132">
        <v>0</v>
      </c>
      <c r="F164" s="132">
        <v>144.82453050000001</v>
      </c>
      <c r="G164" s="132">
        <v>110.6664727</v>
      </c>
      <c r="H164" s="132">
        <v>142.7656193</v>
      </c>
      <c r="I164" s="132">
        <v>0</v>
      </c>
      <c r="J164" s="132">
        <v>0.38985979999999998</v>
      </c>
      <c r="K164" s="132">
        <v>183.69320630000001</v>
      </c>
      <c r="L164" s="132">
        <v>688.25333550000005</v>
      </c>
      <c r="M164" s="132">
        <v>654.36720000000003</v>
      </c>
      <c r="N164" s="132">
        <v>33.886135500000002</v>
      </c>
      <c r="O164" s="132">
        <v>2474.3706803</v>
      </c>
      <c r="P164" s="132">
        <v>2416.7339025000001</v>
      </c>
      <c r="Q164" s="132">
        <v>440.33366999999998</v>
      </c>
      <c r="R164" s="132">
        <v>547.29995780000002</v>
      </c>
      <c r="S164" s="132">
        <v>1429.1002748000001</v>
      </c>
      <c r="T164" s="132">
        <v>57.636777700000003</v>
      </c>
      <c r="U164" s="132">
        <v>4.8844440000000002</v>
      </c>
      <c r="V164" s="132">
        <v>1.5432330000000001</v>
      </c>
      <c r="W164" s="132">
        <v>0</v>
      </c>
      <c r="X164" s="132">
        <v>2.6409953000000002</v>
      </c>
      <c r="Y164" s="132">
        <v>0</v>
      </c>
      <c r="Z164" s="132">
        <v>54.97719</v>
      </c>
      <c r="AA164" s="132">
        <v>2474.3706803</v>
      </c>
    </row>
    <row r="165" spans="1:27" x14ac:dyDescent="0.35">
      <c r="A165" s="41">
        <v>42076</v>
      </c>
      <c r="B165" s="132">
        <v>1540.8050000000001</v>
      </c>
      <c r="C165" s="132">
        <v>948.08713049999994</v>
      </c>
      <c r="D165" s="132">
        <v>207.67775320000001</v>
      </c>
      <c r="E165" s="132">
        <v>0</v>
      </c>
      <c r="F165" s="132">
        <v>144.8338823</v>
      </c>
      <c r="G165" s="132">
        <v>96.958638699999995</v>
      </c>
      <c r="H165" s="132">
        <v>142.85480770000001</v>
      </c>
      <c r="I165" s="132">
        <v>0</v>
      </c>
      <c r="J165" s="132">
        <v>0.39282899999999998</v>
      </c>
      <c r="K165" s="132">
        <v>185.72020499999999</v>
      </c>
      <c r="L165" s="132">
        <v>761.47948050000002</v>
      </c>
      <c r="M165" s="132">
        <v>727.70947880000006</v>
      </c>
      <c r="N165" s="132">
        <v>33.770001800000003</v>
      </c>
      <c r="O165" s="132">
        <v>2488.004727</v>
      </c>
      <c r="P165" s="132">
        <v>2420.5304077999999</v>
      </c>
      <c r="Q165" s="132">
        <v>428.75001529999997</v>
      </c>
      <c r="R165" s="132">
        <v>557.74139479999997</v>
      </c>
      <c r="S165" s="132">
        <v>1434.0389978000001</v>
      </c>
      <c r="T165" s="132">
        <v>67.474319300000005</v>
      </c>
      <c r="U165" s="132">
        <v>4.1108018</v>
      </c>
      <c r="V165" s="132">
        <v>1.5493657000000001</v>
      </c>
      <c r="W165" s="132">
        <v>0</v>
      </c>
      <c r="X165" s="132">
        <v>2.506491</v>
      </c>
      <c r="Y165" s="132">
        <v>0</v>
      </c>
      <c r="Z165" s="132">
        <v>55.128594</v>
      </c>
      <c r="AA165" s="132">
        <v>2488.004727</v>
      </c>
    </row>
    <row r="166" spans="1:27" x14ac:dyDescent="0.35">
      <c r="A166" s="41">
        <v>42077</v>
      </c>
      <c r="B166" s="132">
        <v>1488.0519999999999</v>
      </c>
      <c r="C166" s="132">
        <v>946.02810820000002</v>
      </c>
      <c r="D166" s="132">
        <v>224.277387</v>
      </c>
      <c r="E166" s="132">
        <v>0</v>
      </c>
      <c r="F166" s="132">
        <v>144.988089</v>
      </c>
      <c r="G166" s="132">
        <v>106.434237</v>
      </c>
      <c r="H166" s="132">
        <v>65.932695800000005</v>
      </c>
      <c r="I166" s="132">
        <v>0</v>
      </c>
      <c r="J166" s="132">
        <v>0.39171899999999998</v>
      </c>
      <c r="K166" s="132">
        <v>185.12446800000001</v>
      </c>
      <c r="L166" s="132">
        <v>567.63365929999998</v>
      </c>
      <c r="M166" s="132">
        <v>534.09445430000005</v>
      </c>
      <c r="N166" s="132">
        <v>33.539205000000003</v>
      </c>
      <c r="O166" s="132">
        <v>2240.8103633000001</v>
      </c>
      <c r="P166" s="132">
        <v>2162.3041702</v>
      </c>
      <c r="Q166" s="132">
        <v>361.6546778</v>
      </c>
      <c r="R166" s="132">
        <v>492.6166958</v>
      </c>
      <c r="S166" s="132">
        <v>1308.0327967999999</v>
      </c>
      <c r="T166" s="132">
        <v>78.506192999999996</v>
      </c>
      <c r="U166" s="132">
        <v>3.878673</v>
      </c>
      <c r="V166" s="132">
        <v>1.5166763000000001</v>
      </c>
      <c r="W166" s="132">
        <v>0</v>
      </c>
      <c r="X166" s="132">
        <v>2.2711709999999998</v>
      </c>
      <c r="Y166" s="132">
        <v>0</v>
      </c>
      <c r="Z166" s="132">
        <v>49.160012999999999</v>
      </c>
      <c r="AA166" s="132">
        <v>2240.8103633000001</v>
      </c>
    </row>
    <row r="167" spans="1:27" x14ac:dyDescent="0.35">
      <c r="A167" s="41">
        <v>42078</v>
      </c>
      <c r="B167" s="132">
        <v>1464.145</v>
      </c>
      <c r="C167" s="132">
        <v>950.20331769999996</v>
      </c>
      <c r="D167" s="132">
        <v>227.48256749999999</v>
      </c>
      <c r="E167" s="132">
        <v>0</v>
      </c>
      <c r="F167" s="132">
        <v>123.64820020000001</v>
      </c>
      <c r="G167" s="132">
        <v>96.591506300000006</v>
      </c>
      <c r="H167" s="132">
        <v>65.827412300000006</v>
      </c>
      <c r="I167" s="132">
        <v>0</v>
      </c>
      <c r="J167" s="132">
        <v>0.39205200000000001</v>
      </c>
      <c r="K167" s="132">
        <v>185.4097658</v>
      </c>
      <c r="L167" s="132">
        <v>627.60498900000005</v>
      </c>
      <c r="M167" s="132">
        <v>594.07466399999998</v>
      </c>
      <c r="N167" s="132">
        <v>33.530324999999998</v>
      </c>
      <c r="O167" s="132">
        <v>2277.1598107999998</v>
      </c>
      <c r="P167" s="132">
        <v>2148.2453541999998</v>
      </c>
      <c r="Q167" s="132">
        <v>347.2328918</v>
      </c>
      <c r="R167" s="132">
        <v>468.32689870000002</v>
      </c>
      <c r="S167" s="132">
        <v>1332.6855638</v>
      </c>
      <c r="T167" s="132">
        <v>128.9144565</v>
      </c>
      <c r="U167" s="132">
        <v>3.9437745</v>
      </c>
      <c r="V167" s="132">
        <v>1.5038834999999999</v>
      </c>
      <c r="W167" s="132">
        <v>0</v>
      </c>
      <c r="X167" s="132">
        <v>2.2587666999999998</v>
      </c>
      <c r="Y167" s="132">
        <v>0</v>
      </c>
      <c r="Z167" s="132">
        <v>47.573684299999996</v>
      </c>
      <c r="AA167" s="132">
        <v>2277.1598107999998</v>
      </c>
    </row>
    <row r="168" spans="1:27" x14ac:dyDescent="0.35">
      <c r="A168" s="41">
        <v>42079</v>
      </c>
      <c r="B168" s="132">
        <v>1870.3050000000001</v>
      </c>
      <c r="C168" s="132">
        <v>990.73033350000003</v>
      </c>
      <c r="D168" s="132">
        <v>228.2142518</v>
      </c>
      <c r="E168" s="132">
        <v>0</v>
      </c>
      <c r="F168" s="132">
        <v>125.33429030000001</v>
      </c>
      <c r="G168" s="132">
        <v>290.58273750000001</v>
      </c>
      <c r="H168" s="132">
        <v>235.05201829999999</v>
      </c>
      <c r="I168" s="132">
        <v>0</v>
      </c>
      <c r="J168" s="132">
        <v>0.39158029999999999</v>
      </c>
      <c r="K168" s="132">
        <v>187.9753643</v>
      </c>
      <c r="L168" s="132">
        <v>717.49331629999995</v>
      </c>
      <c r="M168" s="132">
        <v>689.42494050000005</v>
      </c>
      <c r="N168" s="132">
        <v>28.068375799999998</v>
      </c>
      <c r="O168" s="132">
        <v>2775.7738920000002</v>
      </c>
      <c r="P168" s="132">
        <v>2735.8746922999999</v>
      </c>
      <c r="Q168" s="132">
        <v>440.2673752</v>
      </c>
      <c r="R168" s="132">
        <v>668.879007</v>
      </c>
      <c r="S168" s="132">
        <v>1626.72831</v>
      </c>
      <c r="T168" s="132">
        <v>39.899199799999998</v>
      </c>
      <c r="U168" s="132">
        <v>5.0024093000000001</v>
      </c>
      <c r="V168" s="132">
        <v>1.5879938</v>
      </c>
      <c r="W168" s="132">
        <v>0</v>
      </c>
      <c r="X168" s="132">
        <v>2.6277862999999999</v>
      </c>
      <c r="Y168" s="132">
        <v>0</v>
      </c>
      <c r="Z168" s="132">
        <v>57.947300200000001</v>
      </c>
      <c r="AA168" s="132">
        <v>2775.7738920000002</v>
      </c>
    </row>
    <row r="169" spans="1:27" x14ac:dyDescent="0.35">
      <c r="A169" s="41">
        <v>42080</v>
      </c>
      <c r="B169" s="132">
        <v>1982.675</v>
      </c>
      <c r="C169" s="132">
        <v>1147.1367150000001</v>
      </c>
      <c r="D169" s="132">
        <v>238.8598178</v>
      </c>
      <c r="E169" s="132">
        <v>0</v>
      </c>
      <c r="F169" s="132">
        <v>146.56070930000001</v>
      </c>
      <c r="G169" s="132">
        <v>291.44723329999999</v>
      </c>
      <c r="H169" s="132">
        <v>158.2782023</v>
      </c>
      <c r="I169" s="132">
        <v>0</v>
      </c>
      <c r="J169" s="132">
        <v>0.39221850000000003</v>
      </c>
      <c r="K169" s="132">
        <v>186.10848300000001</v>
      </c>
      <c r="L169" s="132">
        <v>526.16619600000001</v>
      </c>
      <c r="M169" s="132">
        <v>492.44875280000002</v>
      </c>
      <c r="N169" s="132">
        <v>33.717443299999999</v>
      </c>
      <c r="O169" s="132">
        <v>2694.9495750000001</v>
      </c>
      <c r="P169" s="132">
        <v>2653.7139630000001</v>
      </c>
      <c r="Q169" s="132">
        <v>448.31112899999999</v>
      </c>
      <c r="R169" s="132">
        <v>666.340326</v>
      </c>
      <c r="S169" s="132">
        <v>1539.062508</v>
      </c>
      <c r="T169" s="132">
        <v>41.235612000000003</v>
      </c>
      <c r="U169" s="132">
        <v>4.6654964999999997</v>
      </c>
      <c r="V169" s="132">
        <v>1.4968071999999999</v>
      </c>
      <c r="W169" s="132">
        <v>0</v>
      </c>
      <c r="X169" s="132">
        <v>2.4506025</v>
      </c>
      <c r="Y169" s="132">
        <v>0</v>
      </c>
      <c r="Z169" s="132">
        <v>58.653621000000001</v>
      </c>
      <c r="AA169" s="132">
        <v>2694.9495750000001</v>
      </c>
    </row>
    <row r="170" spans="1:27" x14ac:dyDescent="0.35">
      <c r="A170" s="41">
        <v>42081</v>
      </c>
      <c r="B170" s="132">
        <v>1804.575</v>
      </c>
      <c r="C170" s="132">
        <v>1075.4791941999999</v>
      </c>
      <c r="D170" s="132">
        <v>240.6591555</v>
      </c>
      <c r="E170" s="132">
        <v>0</v>
      </c>
      <c r="F170" s="132">
        <v>145.0500825</v>
      </c>
      <c r="G170" s="132">
        <v>215.64619350000001</v>
      </c>
      <c r="H170" s="132">
        <v>127.35141</v>
      </c>
      <c r="I170" s="132">
        <v>0</v>
      </c>
      <c r="J170" s="132">
        <v>0.38897179999999998</v>
      </c>
      <c r="K170" s="132">
        <v>185.7506467</v>
      </c>
      <c r="L170" s="132">
        <v>460.82407569999998</v>
      </c>
      <c r="M170" s="132">
        <v>427.11265429999997</v>
      </c>
      <c r="N170" s="132">
        <v>33.7114215</v>
      </c>
      <c r="O170" s="132">
        <v>2451.1497300000001</v>
      </c>
      <c r="P170" s="132">
        <v>2425.7229600000001</v>
      </c>
      <c r="Q170" s="132">
        <v>431.76793880000002</v>
      </c>
      <c r="R170" s="132">
        <v>556.9029008</v>
      </c>
      <c r="S170" s="132">
        <v>1437.0521205</v>
      </c>
      <c r="T170" s="132">
        <v>25.426770000000001</v>
      </c>
      <c r="U170" s="132">
        <v>16.434215999999999</v>
      </c>
      <c r="V170" s="132">
        <v>1.5336038000000001</v>
      </c>
      <c r="W170" s="132">
        <v>0</v>
      </c>
      <c r="X170" s="132">
        <v>2.2511355000000002</v>
      </c>
      <c r="Y170" s="132">
        <v>0</v>
      </c>
      <c r="Z170" s="132">
        <v>55.729298300000004</v>
      </c>
      <c r="AA170" s="132">
        <v>2451.1497300000001</v>
      </c>
    </row>
    <row r="171" spans="1:27" x14ac:dyDescent="0.35">
      <c r="A171" s="41">
        <v>42082</v>
      </c>
      <c r="B171" s="132">
        <v>1706.2339999999999</v>
      </c>
      <c r="C171" s="132">
        <v>1012.8546315</v>
      </c>
      <c r="D171" s="132">
        <v>234.36279149999999</v>
      </c>
      <c r="E171" s="132">
        <v>0</v>
      </c>
      <c r="F171" s="132">
        <v>147.40009130000001</v>
      </c>
      <c r="G171" s="132">
        <v>181.54149899999999</v>
      </c>
      <c r="H171" s="132">
        <v>129.68679449999999</v>
      </c>
      <c r="I171" s="132">
        <v>0</v>
      </c>
      <c r="J171" s="132">
        <v>0.38777850000000003</v>
      </c>
      <c r="K171" s="132">
        <v>188.7845265</v>
      </c>
      <c r="L171" s="132">
        <v>480.7318148</v>
      </c>
      <c r="M171" s="132">
        <v>450.49938300000002</v>
      </c>
      <c r="N171" s="132">
        <v>30.232431800000001</v>
      </c>
      <c r="O171" s="132">
        <v>2375.7499275</v>
      </c>
      <c r="P171" s="132">
        <v>2289.0887865</v>
      </c>
      <c r="Q171" s="132">
        <v>428.16754279999998</v>
      </c>
      <c r="R171" s="132">
        <v>602.11278449999998</v>
      </c>
      <c r="S171" s="132">
        <v>1258.8084593000001</v>
      </c>
      <c r="T171" s="132">
        <v>86.661141000000001</v>
      </c>
      <c r="U171" s="132">
        <v>3.4240170000000001</v>
      </c>
      <c r="V171" s="132">
        <v>1.5163432999999999</v>
      </c>
      <c r="W171" s="132">
        <v>0</v>
      </c>
      <c r="X171" s="132">
        <v>2.1833144999999998</v>
      </c>
      <c r="Y171" s="132">
        <v>0</v>
      </c>
      <c r="Z171" s="132">
        <v>54.7398442</v>
      </c>
      <c r="AA171" s="132">
        <v>2375.7499275</v>
      </c>
    </row>
    <row r="172" spans="1:27" x14ac:dyDescent="0.35">
      <c r="A172" s="41">
        <v>42083</v>
      </c>
      <c r="B172" s="132">
        <v>1700.0540000000001</v>
      </c>
      <c r="C172" s="132">
        <v>1007.5449465</v>
      </c>
      <c r="D172" s="132">
        <v>234.12575100000001</v>
      </c>
      <c r="E172" s="132">
        <v>0</v>
      </c>
      <c r="F172" s="132">
        <v>143.88136349999999</v>
      </c>
      <c r="G172" s="132">
        <v>184.49820600000001</v>
      </c>
      <c r="H172" s="132">
        <v>129.6171975</v>
      </c>
      <c r="I172" s="132">
        <v>0</v>
      </c>
      <c r="J172" s="132">
        <v>0.38614130000000002</v>
      </c>
      <c r="K172" s="132">
        <v>190.77128780000001</v>
      </c>
      <c r="L172" s="132">
        <v>633.45860170000003</v>
      </c>
      <c r="M172" s="132">
        <v>615.25621120000005</v>
      </c>
      <c r="N172" s="132">
        <v>18.2023905</v>
      </c>
      <c r="O172" s="132">
        <v>2524.2834953000001</v>
      </c>
      <c r="P172" s="132">
        <v>2386.3931069999999</v>
      </c>
      <c r="Q172" s="132">
        <v>437.591859</v>
      </c>
      <c r="R172" s="132">
        <v>678.9713213</v>
      </c>
      <c r="S172" s="132">
        <v>1269.8299267</v>
      </c>
      <c r="T172" s="132">
        <v>137.89038830000001</v>
      </c>
      <c r="U172" s="132">
        <v>14.077935800000001</v>
      </c>
      <c r="V172" s="132">
        <v>1.4688908000000001</v>
      </c>
      <c r="W172" s="132">
        <v>0</v>
      </c>
      <c r="X172" s="132">
        <v>2.1002865000000002</v>
      </c>
      <c r="Y172" s="132">
        <v>0</v>
      </c>
      <c r="Z172" s="132">
        <v>53.187037500000002</v>
      </c>
      <c r="AA172" s="132">
        <v>2524.2834953000001</v>
      </c>
    </row>
    <row r="173" spans="1:27" x14ac:dyDescent="0.35">
      <c r="A173" s="41">
        <v>42084</v>
      </c>
      <c r="B173" s="132">
        <v>1509.81</v>
      </c>
      <c r="C173" s="132">
        <v>887.22630230000004</v>
      </c>
      <c r="D173" s="132">
        <v>223.50502130000001</v>
      </c>
      <c r="E173" s="132">
        <v>0</v>
      </c>
      <c r="F173" s="132">
        <v>143.22332779999999</v>
      </c>
      <c r="G173" s="132">
        <v>79.717286299999998</v>
      </c>
      <c r="H173" s="132">
        <v>175.74535650000001</v>
      </c>
      <c r="I173" s="132">
        <v>0</v>
      </c>
      <c r="J173" s="132">
        <v>0.39241280000000001</v>
      </c>
      <c r="K173" s="132">
        <v>192.36014180000001</v>
      </c>
      <c r="L173" s="132">
        <v>275.73915149999999</v>
      </c>
      <c r="M173" s="132">
        <v>261.06764329999999</v>
      </c>
      <c r="N173" s="132">
        <v>14.671508299999999</v>
      </c>
      <c r="O173" s="132">
        <v>1977.9090000000001</v>
      </c>
      <c r="P173" s="132">
        <v>1925.8459763000001</v>
      </c>
      <c r="Q173" s="132">
        <v>350.29213499999997</v>
      </c>
      <c r="R173" s="132">
        <v>426.91338150000001</v>
      </c>
      <c r="S173" s="132">
        <v>1148.6404597999999</v>
      </c>
      <c r="T173" s="132">
        <v>52.063023700000002</v>
      </c>
      <c r="U173" s="132">
        <v>3.6584767999999999</v>
      </c>
      <c r="V173" s="132">
        <v>1.4201618</v>
      </c>
      <c r="W173" s="132">
        <v>0</v>
      </c>
      <c r="X173" s="132">
        <v>1.8942705</v>
      </c>
      <c r="Y173" s="132">
        <v>0</v>
      </c>
      <c r="Z173" s="132">
        <v>44.244711000000002</v>
      </c>
      <c r="AA173" s="132">
        <v>1977.9090000000001</v>
      </c>
    </row>
    <row r="174" spans="1:27" x14ac:dyDescent="0.35">
      <c r="A174" s="41">
        <v>42085</v>
      </c>
      <c r="B174" s="132">
        <v>1495.5239999999999</v>
      </c>
      <c r="C174" s="132">
        <v>858.65712229999997</v>
      </c>
      <c r="D174" s="132">
        <v>234.91707</v>
      </c>
      <c r="E174" s="132">
        <v>0</v>
      </c>
      <c r="F174" s="132">
        <v>145.15445030000001</v>
      </c>
      <c r="G174" s="132">
        <v>80.652045000000001</v>
      </c>
      <c r="H174" s="132">
        <v>175.63321869999999</v>
      </c>
      <c r="I174" s="132">
        <v>0</v>
      </c>
      <c r="J174" s="132">
        <v>0.5097952</v>
      </c>
      <c r="K174" s="132">
        <v>189.51071630000001</v>
      </c>
      <c r="L174" s="132">
        <v>433.20547199999999</v>
      </c>
      <c r="M174" s="132">
        <v>421.81112780000001</v>
      </c>
      <c r="N174" s="132">
        <v>11.394344200000001</v>
      </c>
      <c r="O174" s="132">
        <v>2118.2398898000001</v>
      </c>
      <c r="P174" s="132">
        <v>2024.0220629999999</v>
      </c>
      <c r="Q174" s="132">
        <v>332.85259200000002</v>
      </c>
      <c r="R174" s="132">
        <v>480.97040929999997</v>
      </c>
      <c r="S174" s="132">
        <v>1210.1990618</v>
      </c>
      <c r="T174" s="132">
        <v>94.217826799999997</v>
      </c>
      <c r="U174" s="132">
        <v>3.9958057999999999</v>
      </c>
      <c r="V174" s="132">
        <v>1.455654</v>
      </c>
      <c r="W174" s="132">
        <v>0</v>
      </c>
      <c r="X174" s="132">
        <v>1.9198005</v>
      </c>
      <c r="Y174" s="132">
        <v>0</v>
      </c>
      <c r="Z174" s="132">
        <v>44.227617000000002</v>
      </c>
      <c r="AA174" s="132">
        <v>2118.2398898000001</v>
      </c>
    </row>
    <row r="175" spans="1:27" x14ac:dyDescent="0.35">
      <c r="A175" s="41">
        <v>42086</v>
      </c>
      <c r="B175" s="132">
        <v>1903.5509999999999</v>
      </c>
      <c r="C175" s="132">
        <v>1009.9363028</v>
      </c>
      <c r="D175" s="132">
        <v>229.89185029999999</v>
      </c>
      <c r="E175" s="132">
        <v>0</v>
      </c>
      <c r="F175" s="132">
        <v>146.07433499999999</v>
      </c>
      <c r="G175" s="132">
        <v>280.94494049999997</v>
      </c>
      <c r="H175" s="132">
        <v>236.18940749999999</v>
      </c>
      <c r="I175" s="132">
        <v>0</v>
      </c>
      <c r="J175" s="132">
        <v>0.51393</v>
      </c>
      <c r="K175" s="132">
        <v>191.72253000000001</v>
      </c>
      <c r="L175" s="132">
        <v>247.51845599999999</v>
      </c>
      <c r="M175" s="132">
        <v>237.79743669999999</v>
      </c>
      <c r="N175" s="132">
        <v>9.7210193</v>
      </c>
      <c r="O175" s="132">
        <v>2342.7917520000001</v>
      </c>
      <c r="P175" s="132">
        <v>2147.3456160000001</v>
      </c>
      <c r="Q175" s="132">
        <v>412.38070649999997</v>
      </c>
      <c r="R175" s="132">
        <v>598.59366829999999</v>
      </c>
      <c r="S175" s="132">
        <v>1136.3712413000001</v>
      </c>
      <c r="T175" s="132">
        <v>195.446136</v>
      </c>
      <c r="U175" s="132">
        <v>3.9100583000000002</v>
      </c>
      <c r="V175" s="132">
        <v>1.551669</v>
      </c>
      <c r="W175" s="132">
        <v>0</v>
      </c>
      <c r="X175" s="132">
        <v>2.1206550000000002</v>
      </c>
      <c r="Y175" s="132">
        <v>0</v>
      </c>
      <c r="Z175" s="132">
        <v>0</v>
      </c>
      <c r="AA175" s="132">
        <v>2342.7917520000001</v>
      </c>
    </row>
    <row r="176" spans="1:27" x14ac:dyDescent="0.35">
      <c r="A176" s="41">
        <v>42087</v>
      </c>
      <c r="B176" s="132">
        <v>1716.837</v>
      </c>
      <c r="C176" s="132">
        <v>1018.905963</v>
      </c>
      <c r="D176" s="132">
        <v>221.32742329999999</v>
      </c>
      <c r="E176" s="132">
        <v>0</v>
      </c>
      <c r="F176" s="132">
        <v>137.36030769999999</v>
      </c>
      <c r="G176" s="132">
        <v>113.52500019999999</v>
      </c>
      <c r="H176" s="132">
        <v>225.20703979999999</v>
      </c>
      <c r="I176" s="132">
        <v>0</v>
      </c>
      <c r="J176" s="132">
        <v>0.51076650000000001</v>
      </c>
      <c r="K176" s="132">
        <v>192.7772243</v>
      </c>
      <c r="L176" s="132">
        <v>429.0767993</v>
      </c>
      <c r="M176" s="132">
        <v>427.7326448</v>
      </c>
      <c r="N176" s="132">
        <v>1.3441544999999999</v>
      </c>
      <c r="O176" s="132">
        <v>2338.6905240000001</v>
      </c>
      <c r="P176" s="132">
        <v>2292.6561323000001</v>
      </c>
      <c r="Q176" s="132">
        <v>431.59261429999998</v>
      </c>
      <c r="R176" s="132">
        <v>639.21722620000003</v>
      </c>
      <c r="S176" s="132">
        <v>1221.8462918</v>
      </c>
      <c r="T176" s="132">
        <v>46.0343917</v>
      </c>
      <c r="U176" s="132">
        <v>4.3349108000000003</v>
      </c>
      <c r="V176" s="132">
        <v>1.4697788000000001</v>
      </c>
      <c r="W176" s="132">
        <v>0</v>
      </c>
      <c r="X176" s="132">
        <v>1.9961408</v>
      </c>
      <c r="Y176" s="132">
        <v>0</v>
      </c>
      <c r="Z176" s="132">
        <v>53.692670300000003</v>
      </c>
      <c r="AA176" s="132">
        <v>2338.6905240000001</v>
      </c>
    </row>
    <row r="177" spans="1:27" x14ac:dyDescent="0.35">
      <c r="A177" s="41">
        <v>42088</v>
      </c>
      <c r="B177" s="132">
        <v>1656.556</v>
      </c>
      <c r="C177" s="132">
        <v>942.95818129999998</v>
      </c>
      <c r="D177" s="132">
        <v>238.8676155</v>
      </c>
      <c r="E177" s="132">
        <v>0</v>
      </c>
      <c r="F177" s="132">
        <v>133.33428219999999</v>
      </c>
      <c r="G177" s="132">
        <v>110.1444398</v>
      </c>
      <c r="H177" s="132">
        <v>230.6854725</v>
      </c>
      <c r="I177" s="132">
        <v>0</v>
      </c>
      <c r="J177" s="132">
        <v>0.56573929999999995</v>
      </c>
      <c r="K177" s="132">
        <v>192.55505779999999</v>
      </c>
      <c r="L177" s="132">
        <v>640.704432</v>
      </c>
      <c r="M177" s="132">
        <v>640.15667480000002</v>
      </c>
      <c r="N177" s="132">
        <v>0.5477573</v>
      </c>
      <c r="O177" s="132">
        <v>2489.8152203</v>
      </c>
      <c r="P177" s="132">
        <v>2408.0752087999999</v>
      </c>
      <c r="Q177" s="132">
        <v>432.86850379999998</v>
      </c>
      <c r="R177" s="132">
        <v>661.76124300000004</v>
      </c>
      <c r="S177" s="132">
        <v>1313.4454619999999</v>
      </c>
      <c r="T177" s="132">
        <v>81.740011499999994</v>
      </c>
      <c r="U177" s="132">
        <v>4.2300712999999996</v>
      </c>
      <c r="V177" s="132">
        <v>1.4814893</v>
      </c>
      <c r="W177" s="132">
        <v>0</v>
      </c>
      <c r="X177" s="132">
        <v>1.9109482</v>
      </c>
      <c r="Y177" s="132">
        <v>0</v>
      </c>
      <c r="Z177" s="132">
        <v>51.127654499999998</v>
      </c>
      <c r="AA177" s="132">
        <v>2489.8152203</v>
      </c>
    </row>
    <row r="178" spans="1:27" x14ac:dyDescent="0.35">
      <c r="A178" s="41">
        <v>42089</v>
      </c>
      <c r="B178" s="132">
        <v>1662.9380000000001</v>
      </c>
      <c r="C178" s="132">
        <v>946.67973380000001</v>
      </c>
      <c r="D178" s="132">
        <v>242.64441830000001</v>
      </c>
      <c r="E178" s="132">
        <v>0</v>
      </c>
      <c r="F178" s="132">
        <v>143.09256980000001</v>
      </c>
      <c r="G178" s="132">
        <v>154.31511380000001</v>
      </c>
      <c r="H178" s="132">
        <v>175.73339630000001</v>
      </c>
      <c r="I178" s="132">
        <v>0</v>
      </c>
      <c r="J178" s="132">
        <v>0.47313749999999999</v>
      </c>
      <c r="K178" s="132">
        <v>189.5658555</v>
      </c>
      <c r="L178" s="132">
        <v>505.36257599999999</v>
      </c>
      <c r="M178" s="132">
        <v>504.846315</v>
      </c>
      <c r="N178" s="132">
        <v>0.51626099999999997</v>
      </c>
      <c r="O178" s="132">
        <v>2357.8668008</v>
      </c>
      <c r="P178" s="132">
        <v>2206.7598367999999</v>
      </c>
      <c r="Q178" s="132">
        <v>418.44580200000001</v>
      </c>
      <c r="R178" s="132">
        <v>609.13381200000003</v>
      </c>
      <c r="S178" s="132">
        <v>1179.1802227999999</v>
      </c>
      <c r="T178" s="132">
        <v>151.106964</v>
      </c>
      <c r="U178" s="132">
        <v>3.9097807000000002</v>
      </c>
      <c r="V178" s="132">
        <v>1.5080738</v>
      </c>
      <c r="W178" s="132">
        <v>0</v>
      </c>
      <c r="X178" s="132">
        <v>1.8200670000000001</v>
      </c>
      <c r="Y178" s="132">
        <v>0</v>
      </c>
      <c r="Z178" s="132">
        <v>50.835530300000002</v>
      </c>
      <c r="AA178" s="132">
        <v>2357.8668008</v>
      </c>
    </row>
    <row r="179" spans="1:27" x14ac:dyDescent="0.35">
      <c r="A179" s="41">
        <v>42090</v>
      </c>
      <c r="B179" s="132">
        <v>1660.6690000000001</v>
      </c>
      <c r="C179" s="132">
        <v>942.41455870000004</v>
      </c>
      <c r="D179" s="132">
        <v>241.66487100000001</v>
      </c>
      <c r="E179" s="132">
        <v>0</v>
      </c>
      <c r="F179" s="132">
        <v>140.30128049999999</v>
      </c>
      <c r="G179" s="132">
        <v>105.3570375</v>
      </c>
      <c r="H179" s="132">
        <v>230.58657149999999</v>
      </c>
      <c r="I179" s="132">
        <v>0</v>
      </c>
      <c r="J179" s="132">
        <v>0.34423880000000001</v>
      </c>
      <c r="K179" s="132">
        <v>188.982384</v>
      </c>
      <c r="L179" s="132">
        <v>274.85736750000001</v>
      </c>
      <c r="M179" s="132">
        <v>274.33647230000003</v>
      </c>
      <c r="N179" s="132">
        <v>0.52089529999999995</v>
      </c>
      <c r="O179" s="132">
        <v>2124.5083095</v>
      </c>
      <c r="P179" s="132">
        <v>2072.5201553000002</v>
      </c>
      <c r="Q179" s="132">
        <v>411.65171400000003</v>
      </c>
      <c r="R179" s="132">
        <v>544.58797800000002</v>
      </c>
      <c r="S179" s="132">
        <v>1116.2804633000001</v>
      </c>
      <c r="T179" s="132">
        <v>51.988154199999997</v>
      </c>
      <c r="U179" s="132">
        <v>3.3402120000000002</v>
      </c>
      <c r="V179" s="132">
        <v>1.5681803000000001</v>
      </c>
      <c r="W179" s="132">
        <v>0</v>
      </c>
      <c r="X179" s="132">
        <v>2.1311168</v>
      </c>
      <c r="Y179" s="132">
        <v>0</v>
      </c>
      <c r="Z179" s="132">
        <v>48.3684443</v>
      </c>
      <c r="AA179" s="132">
        <v>2124.5083095</v>
      </c>
    </row>
    <row r="180" spans="1:27" x14ac:dyDescent="0.35">
      <c r="A180" s="41">
        <v>42091</v>
      </c>
      <c r="B180" s="132">
        <v>1449.9659999999999</v>
      </c>
      <c r="C180" s="132">
        <v>826.48138570000003</v>
      </c>
      <c r="D180" s="132">
        <v>235.55035280000001</v>
      </c>
      <c r="E180" s="132">
        <v>0</v>
      </c>
      <c r="F180" s="132">
        <v>134.90998279999999</v>
      </c>
      <c r="G180" s="132">
        <v>76.974975799999996</v>
      </c>
      <c r="H180" s="132">
        <v>175.84303650000001</v>
      </c>
      <c r="I180" s="132">
        <v>0</v>
      </c>
      <c r="J180" s="132">
        <v>0.20646</v>
      </c>
      <c r="K180" s="132">
        <v>195.96714230000001</v>
      </c>
      <c r="L180" s="132">
        <v>50.507885999999999</v>
      </c>
      <c r="M180" s="132">
        <v>49.990376300000001</v>
      </c>
      <c r="N180" s="132">
        <v>0.51750980000000002</v>
      </c>
      <c r="O180" s="132">
        <v>1696.4412218</v>
      </c>
      <c r="P180" s="132">
        <v>1615.8621593</v>
      </c>
      <c r="Q180" s="132">
        <v>340.43958079999999</v>
      </c>
      <c r="R180" s="132">
        <v>332.8388003</v>
      </c>
      <c r="S180" s="132">
        <v>942.58377819999998</v>
      </c>
      <c r="T180" s="132">
        <v>80.579062500000006</v>
      </c>
      <c r="U180" s="132">
        <v>2.8893023000000002</v>
      </c>
      <c r="V180" s="132">
        <v>1.6345305000000001</v>
      </c>
      <c r="W180" s="132">
        <v>0</v>
      </c>
      <c r="X180" s="132">
        <v>1.8465128</v>
      </c>
      <c r="Y180" s="132">
        <v>0</v>
      </c>
      <c r="Z180" s="132">
        <v>39.566727</v>
      </c>
      <c r="AA180" s="132">
        <v>1696.4412218</v>
      </c>
    </row>
    <row r="181" spans="1:27" x14ac:dyDescent="0.35">
      <c r="A181" s="41">
        <v>42092</v>
      </c>
      <c r="B181" s="132">
        <v>1457.93</v>
      </c>
      <c r="C181" s="132">
        <v>845.98416899999995</v>
      </c>
      <c r="D181" s="132">
        <v>225.02572129999999</v>
      </c>
      <c r="E181" s="132">
        <v>0</v>
      </c>
      <c r="F181" s="132">
        <v>134.37057830000001</v>
      </c>
      <c r="G181" s="132">
        <v>76.417755799999995</v>
      </c>
      <c r="H181" s="132">
        <v>175.85519099999999</v>
      </c>
      <c r="I181" s="132">
        <v>0</v>
      </c>
      <c r="J181" s="132">
        <v>0.27608480000000002</v>
      </c>
      <c r="K181" s="132">
        <v>195.48559650000001</v>
      </c>
      <c r="L181" s="132">
        <v>-79.899104199999996</v>
      </c>
      <c r="M181" s="132">
        <v>-80.4135615</v>
      </c>
      <c r="N181" s="132">
        <v>0.51445719999999995</v>
      </c>
      <c r="O181" s="132">
        <v>1573.5159923000001</v>
      </c>
      <c r="P181" s="132">
        <v>1531.6098847999999</v>
      </c>
      <c r="Q181" s="132">
        <v>319.4503133</v>
      </c>
      <c r="R181" s="132">
        <v>352.67441700000001</v>
      </c>
      <c r="S181" s="132">
        <v>859.48515450000002</v>
      </c>
      <c r="T181" s="132">
        <v>41.906107499999997</v>
      </c>
      <c r="U181" s="132">
        <v>2.7232185000000002</v>
      </c>
      <c r="V181" s="132">
        <v>1.5455639999999999</v>
      </c>
      <c r="W181" s="132">
        <v>0</v>
      </c>
      <c r="X181" s="132">
        <v>1.4728867999999999</v>
      </c>
      <c r="Y181" s="132">
        <v>0</v>
      </c>
      <c r="Z181" s="132">
        <v>38.576440499999997</v>
      </c>
      <c r="AA181" s="132">
        <v>1573.5159923000001</v>
      </c>
    </row>
    <row r="182" spans="1:27" x14ac:dyDescent="0.35">
      <c r="A182" s="41">
        <v>42093</v>
      </c>
      <c r="B182" s="132">
        <v>1578.683</v>
      </c>
      <c r="C182" s="132">
        <v>884.828397</v>
      </c>
      <c r="D182" s="132">
        <v>225.51550879999999</v>
      </c>
      <c r="E182" s="132">
        <v>0</v>
      </c>
      <c r="F182" s="132">
        <v>132.97203379999999</v>
      </c>
      <c r="G182" s="132">
        <v>104.2612733</v>
      </c>
      <c r="H182" s="132">
        <v>230.7277358</v>
      </c>
      <c r="I182" s="132">
        <v>0</v>
      </c>
      <c r="J182" s="132">
        <v>0.37756650000000003</v>
      </c>
      <c r="K182" s="132">
        <v>188.6829615</v>
      </c>
      <c r="L182" s="132">
        <v>60.226824000000001</v>
      </c>
      <c r="M182" s="132">
        <v>59.856527999999997</v>
      </c>
      <c r="N182" s="132">
        <v>0.37029600000000001</v>
      </c>
      <c r="O182" s="132">
        <v>1827.5923005</v>
      </c>
      <c r="P182" s="132">
        <v>1796.7722624999999</v>
      </c>
      <c r="Q182" s="132">
        <v>399.29913449999998</v>
      </c>
      <c r="R182" s="132">
        <v>455.44126949999998</v>
      </c>
      <c r="S182" s="132">
        <v>942.0318585</v>
      </c>
      <c r="T182" s="132">
        <v>30.820038</v>
      </c>
      <c r="U182" s="132">
        <v>3.0617684999999999</v>
      </c>
      <c r="V182" s="132">
        <v>1.6061422000000001</v>
      </c>
      <c r="W182" s="132">
        <v>0</v>
      </c>
      <c r="X182" s="132">
        <v>1.4670315</v>
      </c>
      <c r="Y182" s="132">
        <v>0</v>
      </c>
      <c r="Z182" s="132">
        <v>45.400415299999999</v>
      </c>
      <c r="AA182" s="132">
        <v>1827.5923005</v>
      </c>
    </row>
    <row r="183" spans="1:27" x14ac:dyDescent="0.35">
      <c r="A183" s="41">
        <v>42094</v>
      </c>
      <c r="B183" s="132">
        <v>1542.7919999999999</v>
      </c>
      <c r="C183" s="132">
        <v>869.18411249999997</v>
      </c>
      <c r="D183" s="132">
        <v>229.07236499999999</v>
      </c>
      <c r="E183" s="132">
        <v>0</v>
      </c>
      <c r="F183" s="132">
        <v>113.0849685</v>
      </c>
      <c r="G183" s="132">
        <v>100.3001828</v>
      </c>
      <c r="H183" s="132">
        <v>230.77060950000001</v>
      </c>
      <c r="I183" s="132">
        <v>0</v>
      </c>
      <c r="J183" s="132">
        <v>0.37942579999999998</v>
      </c>
      <c r="K183" s="132">
        <v>189.1940055</v>
      </c>
      <c r="L183" s="132">
        <v>21.504002199999999</v>
      </c>
      <c r="M183" s="132">
        <v>21.504002199999999</v>
      </c>
      <c r="N183" s="132">
        <v>0</v>
      </c>
      <c r="O183" s="132">
        <v>1753.4896718</v>
      </c>
      <c r="P183" s="132">
        <v>1724.3686553</v>
      </c>
      <c r="Q183" s="132">
        <v>404.84466680000003</v>
      </c>
      <c r="R183" s="132">
        <v>474.84798219999999</v>
      </c>
      <c r="S183" s="132">
        <v>844.67600619999996</v>
      </c>
      <c r="T183" s="132">
        <v>29.1210165</v>
      </c>
      <c r="U183" s="132">
        <v>2.6835081999999999</v>
      </c>
      <c r="V183" s="132">
        <v>1.4462744999999999</v>
      </c>
      <c r="W183" s="132">
        <v>0</v>
      </c>
      <c r="X183" s="132">
        <v>1.2282150000000001</v>
      </c>
      <c r="Y183" s="132">
        <v>0</v>
      </c>
      <c r="Z183" s="132">
        <v>43.895366299999999</v>
      </c>
      <c r="AA183" s="132">
        <v>1753.4896718</v>
      </c>
    </row>
    <row r="184" spans="1:27" x14ac:dyDescent="0.35">
      <c r="A184" s="41">
        <v>42095</v>
      </c>
      <c r="B184">
        <v>1807.086</v>
      </c>
      <c r="C184" s="132">
        <v>878.79421500000001</v>
      </c>
      <c r="D184" s="132">
        <v>221.9888168</v>
      </c>
      <c r="E184" s="132">
        <v>0</v>
      </c>
      <c r="F184" s="132">
        <v>232.06781100000001</v>
      </c>
      <c r="G184" s="132">
        <v>254.0726453</v>
      </c>
      <c r="H184" s="132">
        <v>219.7832745</v>
      </c>
      <c r="I184" s="132">
        <v>0</v>
      </c>
      <c r="J184" s="132">
        <v>0.37931480000000001</v>
      </c>
      <c r="K184" s="132">
        <v>188.2011937</v>
      </c>
      <c r="L184" s="132">
        <v>-311.40347930000001</v>
      </c>
      <c r="M184" s="132">
        <v>-303.781137</v>
      </c>
      <c r="N184" s="132">
        <v>-7.6223422999999997</v>
      </c>
      <c r="O184" s="132">
        <v>1683.8837917999999</v>
      </c>
      <c r="P184" s="132">
        <v>1710.3552105000001</v>
      </c>
      <c r="Q184" s="132">
        <v>412.08167250000002</v>
      </c>
      <c r="R184" s="132">
        <v>451.50396080000002</v>
      </c>
      <c r="S184" s="132">
        <v>846.76957730000004</v>
      </c>
      <c r="T184" s="132">
        <v>-26.471418700000001</v>
      </c>
      <c r="U184" s="132">
        <v>3.3827250000000002</v>
      </c>
      <c r="V184" s="132">
        <v>1.8637732</v>
      </c>
      <c r="W184" s="132">
        <v>0</v>
      </c>
      <c r="X184" s="132">
        <v>1.2004927999999999</v>
      </c>
      <c r="Y184" s="132">
        <v>0</v>
      </c>
      <c r="Z184" s="132">
        <v>40.2651945</v>
      </c>
      <c r="AA184" s="132">
        <v>1683.8837917999999</v>
      </c>
    </row>
    <row r="185" spans="1:27" x14ac:dyDescent="0.35">
      <c r="A185" s="41">
        <v>42096</v>
      </c>
      <c r="B185" s="132">
        <v>1779.809</v>
      </c>
      <c r="C185" s="132">
        <v>857.14785529999995</v>
      </c>
      <c r="D185" s="132">
        <v>233.10374630000001</v>
      </c>
      <c r="E185" s="132">
        <v>0</v>
      </c>
      <c r="F185" s="132">
        <v>248.9876242</v>
      </c>
      <c r="G185" s="132">
        <v>220.30258799999999</v>
      </c>
      <c r="H185" s="132">
        <v>219.88744800000001</v>
      </c>
      <c r="I185" s="132">
        <v>0</v>
      </c>
      <c r="J185" s="132">
        <v>0.38017499999999999</v>
      </c>
      <c r="K185" s="132">
        <v>188.11813799999999</v>
      </c>
      <c r="L185" s="132">
        <v>-148.7819858</v>
      </c>
      <c r="M185" s="132">
        <v>-139.78227229999999</v>
      </c>
      <c r="N185" s="132">
        <v>-8.9997135000000004</v>
      </c>
      <c r="O185" s="132">
        <v>1819.145589</v>
      </c>
      <c r="P185" s="132">
        <v>1712.8423597999999</v>
      </c>
      <c r="Q185" s="132">
        <v>412.76701430000003</v>
      </c>
      <c r="R185" s="132">
        <v>443.6724668</v>
      </c>
      <c r="S185" s="132">
        <v>856.40287880000005</v>
      </c>
      <c r="T185" s="132">
        <v>106.3032292</v>
      </c>
      <c r="U185" s="132">
        <v>3.1689113</v>
      </c>
      <c r="V185" s="132">
        <v>1.9775205</v>
      </c>
      <c r="W185" s="132">
        <v>0</v>
      </c>
      <c r="X185" s="132">
        <v>1.312908</v>
      </c>
      <c r="Y185" s="132">
        <v>0</v>
      </c>
      <c r="Z185" s="132">
        <v>40.494881300000003</v>
      </c>
      <c r="AA185" s="132">
        <v>1819.145589</v>
      </c>
    </row>
    <row r="186" spans="1:27" x14ac:dyDescent="0.35">
      <c r="A186" s="41">
        <v>42097</v>
      </c>
      <c r="B186" s="132">
        <v>1760.1769999999999</v>
      </c>
      <c r="C186" s="132">
        <v>877.78655700000002</v>
      </c>
      <c r="D186" s="132">
        <v>234.76963420000001</v>
      </c>
      <c r="E186" s="132">
        <v>0</v>
      </c>
      <c r="F186" s="132">
        <v>249.3718508</v>
      </c>
      <c r="G186" s="132">
        <v>194.70437849999999</v>
      </c>
      <c r="H186" s="132">
        <v>203.32111420000001</v>
      </c>
      <c r="I186" s="132">
        <v>0</v>
      </c>
      <c r="J186" s="132">
        <v>0.22316549999999999</v>
      </c>
      <c r="K186" s="132">
        <v>190.22605580000001</v>
      </c>
      <c r="L186" s="132">
        <v>-254.65334179999999</v>
      </c>
      <c r="M186" s="132">
        <v>-245.36597180000001</v>
      </c>
      <c r="N186" s="132">
        <v>-9.2873699999999992</v>
      </c>
      <c r="O186" s="132">
        <v>1695.7494142</v>
      </c>
      <c r="P186" s="132">
        <v>1657.5583102999999</v>
      </c>
      <c r="Q186" s="132">
        <v>378.33295500000003</v>
      </c>
      <c r="R186" s="132">
        <v>409.90612800000002</v>
      </c>
      <c r="S186" s="132">
        <v>869.31922729999997</v>
      </c>
      <c r="T186" s="132">
        <v>38.191104000000003</v>
      </c>
      <c r="U186" s="132">
        <v>2.7831307999999999</v>
      </c>
      <c r="V186" s="132">
        <v>2.0766711999999998</v>
      </c>
      <c r="W186" s="132">
        <v>0</v>
      </c>
      <c r="X186" s="132">
        <v>1.5131797</v>
      </c>
      <c r="Y186" s="132">
        <v>0</v>
      </c>
      <c r="Z186" s="132">
        <v>42.995766799999998</v>
      </c>
      <c r="AA186" s="132">
        <v>1695.7494142</v>
      </c>
    </row>
    <row r="187" spans="1:27" x14ac:dyDescent="0.35">
      <c r="A187" s="41">
        <v>42098</v>
      </c>
      <c r="B187" s="132">
        <v>1622.336</v>
      </c>
      <c r="C187" s="132">
        <v>864.31806670000003</v>
      </c>
      <c r="D187" s="132">
        <v>234.77468479999999</v>
      </c>
      <c r="E187" s="132">
        <v>0</v>
      </c>
      <c r="F187" s="132">
        <v>226.53434999999999</v>
      </c>
      <c r="G187" s="132">
        <v>153.52254600000001</v>
      </c>
      <c r="H187" s="132">
        <v>142.83374549999999</v>
      </c>
      <c r="I187" s="132">
        <v>0</v>
      </c>
      <c r="J187" s="132">
        <v>0.35245270000000001</v>
      </c>
      <c r="K187" s="132">
        <v>191.12371279999999</v>
      </c>
      <c r="L187" s="132">
        <v>-122.08329449999999</v>
      </c>
      <c r="M187" s="132">
        <v>-114.5001908</v>
      </c>
      <c r="N187" s="132">
        <v>-7.5831037999999999</v>
      </c>
      <c r="O187" s="132">
        <v>1691.376264</v>
      </c>
      <c r="P187" s="132">
        <v>1678.3458908</v>
      </c>
      <c r="Q187" s="132">
        <v>278.7772215</v>
      </c>
      <c r="R187" s="132">
        <v>462.93635019999999</v>
      </c>
      <c r="S187" s="132">
        <v>936.63231900000005</v>
      </c>
      <c r="T187" s="132">
        <v>13.0303732</v>
      </c>
      <c r="U187" s="132">
        <v>2.9617019999999998</v>
      </c>
      <c r="V187" s="132">
        <v>1.9285418000000001</v>
      </c>
      <c r="W187" s="132">
        <v>0</v>
      </c>
      <c r="X187" s="132">
        <v>1.6403025</v>
      </c>
      <c r="Y187" s="132">
        <v>0</v>
      </c>
      <c r="Z187" s="132">
        <v>33.398595800000002</v>
      </c>
      <c r="AA187" s="132">
        <v>1691.376264</v>
      </c>
    </row>
    <row r="188" spans="1:27" x14ac:dyDescent="0.35">
      <c r="A188" s="41">
        <v>42099</v>
      </c>
      <c r="B188" s="132">
        <v>1601.7339999999999</v>
      </c>
      <c r="C188" s="132">
        <v>859.66616780000004</v>
      </c>
      <c r="D188" s="132">
        <v>234.92076080000001</v>
      </c>
      <c r="E188" s="132">
        <v>0</v>
      </c>
      <c r="F188" s="132">
        <v>243.61550170000001</v>
      </c>
      <c r="G188" s="132">
        <v>131.3380305</v>
      </c>
      <c r="H188" s="132">
        <v>131.8125833</v>
      </c>
      <c r="I188" s="132">
        <v>0</v>
      </c>
      <c r="J188" s="132">
        <v>0.38070229999999999</v>
      </c>
      <c r="K188" s="132">
        <v>190.895802</v>
      </c>
      <c r="L188" s="132">
        <v>-80.778945800000002</v>
      </c>
      <c r="M188" s="132">
        <v>-71.176085999999998</v>
      </c>
      <c r="N188" s="132">
        <v>-9.6028597999999992</v>
      </c>
      <c r="O188" s="132">
        <v>1711.8506024999999</v>
      </c>
      <c r="P188" s="132">
        <v>1609.0265850000001</v>
      </c>
      <c r="Q188" s="132">
        <v>241.09521899999999</v>
      </c>
      <c r="R188" s="132">
        <v>380.904492</v>
      </c>
      <c r="S188" s="132">
        <v>987.02687400000002</v>
      </c>
      <c r="T188" s="132">
        <v>102.8240175</v>
      </c>
      <c r="U188" s="132">
        <v>3.5551913000000002</v>
      </c>
      <c r="V188" s="132">
        <v>1.8203168000000001</v>
      </c>
      <c r="W188" s="132">
        <v>0</v>
      </c>
      <c r="X188" s="132">
        <v>1.9919228</v>
      </c>
      <c r="Y188" s="132">
        <v>0</v>
      </c>
      <c r="Z188" s="132">
        <v>33.5067375</v>
      </c>
      <c r="AA188" s="132">
        <v>1711.8506024999999</v>
      </c>
    </row>
    <row r="189" spans="1:27" x14ac:dyDescent="0.35">
      <c r="A189" s="41">
        <v>42100</v>
      </c>
      <c r="B189" s="132">
        <v>1674.7239999999999</v>
      </c>
      <c r="C189" s="132">
        <v>871.88279999999997</v>
      </c>
      <c r="D189" s="132">
        <v>246.1278203</v>
      </c>
      <c r="E189" s="132">
        <v>0</v>
      </c>
      <c r="F189" s="132">
        <v>247.188231</v>
      </c>
      <c r="G189" s="132">
        <v>171.97995900000001</v>
      </c>
      <c r="H189" s="132">
        <v>137.3678835</v>
      </c>
      <c r="I189" s="132">
        <v>0</v>
      </c>
      <c r="J189" s="132">
        <v>0.17743349999999999</v>
      </c>
      <c r="K189" s="132">
        <v>189.843189</v>
      </c>
      <c r="L189" s="132">
        <v>-181.44945229999999</v>
      </c>
      <c r="M189" s="132">
        <v>-171.86354779999999</v>
      </c>
      <c r="N189" s="132">
        <v>-9.5859044999999998</v>
      </c>
      <c r="O189" s="132">
        <v>1683.1178640000001</v>
      </c>
      <c r="P189" s="132">
        <v>1681.0114725000001</v>
      </c>
      <c r="Q189" s="132">
        <v>269.05872749999997</v>
      </c>
      <c r="R189" s="132">
        <v>365.98237349999999</v>
      </c>
      <c r="S189" s="132">
        <v>1045.9703715000001</v>
      </c>
      <c r="T189" s="132">
        <v>2.1063915</v>
      </c>
      <c r="U189" s="132">
        <v>3.6409943</v>
      </c>
      <c r="V189" s="132">
        <v>1.8619973000000001</v>
      </c>
      <c r="W189" s="132">
        <v>0</v>
      </c>
      <c r="X189" s="132">
        <v>2.0859397</v>
      </c>
      <c r="Y189" s="132">
        <v>0</v>
      </c>
      <c r="Z189" s="132">
        <v>35.3736465</v>
      </c>
      <c r="AA189" s="132">
        <v>1683.1178640000001</v>
      </c>
    </row>
    <row r="190" spans="1:27" x14ac:dyDescent="0.35">
      <c r="A190" s="41">
        <v>42101</v>
      </c>
      <c r="B190" s="132">
        <v>1683.8910000000001</v>
      </c>
      <c r="C190" s="132">
        <v>870.88807350000002</v>
      </c>
      <c r="D190" s="132">
        <v>239.0081692</v>
      </c>
      <c r="E190" s="132">
        <v>0</v>
      </c>
      <c r="F190" s="132">
        <v>248.18803579999999</v>
      </c>
      <c r="G190" s="132">
        <v>182.46834899999999</v>
      </c>
      <c r="H190" s="132">
        <v>143.02760699999999</v>
      </c>
      <c r="I190" s="132">
        <v>0</v>
      </c>
      <c r="J190" s="132">
        <v>0.31027280000000002</v>
      </c>
      <c r="K190" s="132">
        <v>188.4601845</v>
      </c>
      <c r="L190" s="132">
        <v>437.47369950000001</v>
      </c>
      <c r="M190" s="132">
        <v>444.5491725</v>
      </c>
      <c r="N190" s="132">
        <v>-7.0754729999999997</v>
      </c>
      <c r="O190" s="132">
        <v>2309.8243913000001</v>
      </c>
      <c r="P190" s="132">
        <v>2202.9207074999999</v>
      </c>
      <c r="Q190" s="132">
        <v>401.38421399999999</v>
      </c>
      <c r="R190" s="132">
        <v>533.49366680000003</v>
      </c>
      <c r="S190" s="132">
        <v>1268.0428268000001</v>
      </c>
      <c r="T190" s="132">
        <v>106.9036838</v>
      </c>
      <c r="U190" s="132">
        <v>3.7824637999999999</v>
      </c>
      <c r="V190" s="132">
        <v>2.1387757999999999</v>
      </c>
      <c r="W190" s="132">
        <v>0</v>
      </c>
      <c r="X190" s="132">
        <v>2.6143551999999999</v>
      </c>
      <c r="Y190" s="132">
        <v>0</v>
      </c>
      <c r="Z190" s="132">
        <v>41.047411500000003</v>
      </c>
      <c r="AA190" s="132">
        <v>2309.8243913000001</v>
      </c>
    </row>
    <row r="191" spans="1:27" x14ac:dyDescent="0.35">
      <c r="A191" s="41">
        <v>42102</v>
      </c>
      <c r="B191" s="132">
        <v>1930.549</v>
      </c>
      <c r="C191" s="132">
        <v>876.86706079999999</v>
      </c>
      <c r="D191" s="132">
        <v>236.3862938</v>
      </c>
      <c r="E191" s="132">
        <v>0</v>
      </c>
      <c r="F191" s="132">
        <v>246.07426280000001</v>
      </c>
      <c r="G191" s="132">
        <v>362.06412899999998</v>
      </c>
      <c r="H191" s="132">
        <v>203.50953680000001</v>
      </c>
      <c r="I191" s="132">
        <v>0</v>
      </c>
      <c r="J191" s="132">
        <v>5.6473469999999999</v>
      </c>
      <c r="K191" s="132">
        <v>191.271537</v>
      </c>
      <c r="L191" s="132">
        <v>57.230101500000004</v>
      </c>
      <c r="M191" s="132">
        <v>66.79092</v>
      </c>
      <c r="N191" s="132">
        <v>-9.5608184999999999</v>
      </c>
      <c r="O191" s="132">
        <v>2179.0502685000001</v>
      </c>
      <c r="P191" s="132">
        <v>2058.6613057999998</v>
      </c>
      <c r="Q191" s="132">
        <v>393.91166629999998</v>
      </c>
      <c r="R191" s="132">
        <v>514.68127579999998</v>
      </c>
      <c r="S191" s="132">
        <v>1150.0683637</v>
      </c>
      <c r="T191" s="132">
        <v>120.38896269999999</v>
      </c>
      <c r="U191" s="132">
        <v>3.3879698</v>
      </c>
      <c r="V191" s="132">
        <v>2.055498</v>
      </c>
      <c r="W191" s="132">
        <v>0</v>
      </c>
      <c r="X191" s="132">
        <v>2.2150604999999999</v>
      </c>
      <c r="Y191" s="132">
        <v>0</v>
      </c>
      <c r="Z191" s="132">
        <v>40.480978499999999</v>
      </c>
      <c r="AA191" s="132">
        <v>2179.0502685000001</v>
      </c>
    </row>
    <row r="192" spans="1:27" x14ac:dyDescent="0.35">
      <c r="A192" s="41">
        <v>42103</v>
      </c>
      <c r="B192" s="132">
        <v>1987.712</v>
      </c>
      <c r="C192" s="132">
        <v>925.191327</v>
      </c>
      <c r="D192" s="132">
        <v>236.35704530000001</v>
      </c>
      <c r="E192" s="132">
        <v>0</v>
      </c>
      <c r="F192" s="132">
        <v>246.93997949999999</v>
      </c>
      <c r="G192" s="132">
        <v>347.37516599999998</v>
      </c>
      <c r="H192" s="132">
        <v>203.60194419999999</v>
      </c>
      <c r="I192" s="132">
        <v>0</v>
      </c>
      <c r="J192" s="132">
        <v>28.247002500000001</v>
      </c>
      <c r="K192" s="132">
        <v>193.86680029999999</v>
      </c>
      <c r="L192" s="132">
        <v>-222.00027750000001</v>
      </c>
      <c r="M192" s="132">
        <v>-215.16878249999999</v>
      </c>
      <c r="N192" s="132">
        <v>-6.8314950000000003</v>
      </c>
      <c r="O192" s="132">
        <v>1959.5789873000001</v>
      </c>
      <c r="P192" s="132">
        <v>1943.0355750000001</v>
      </c>
      <c r="Q192" s="132">
        <v>397.8157028</v>
      </c>
      <c r="R192" s="132">
        <v>542.20247700000004</v>
      </c>
      <c r="S192" s="132">
        <v>1003.0173953</v>
      </c>
      <c r="T192" s="132">
        <v>16.543412199999999</v>
      </c>
      <c r="U192" s="132">
        <v>2.9324257999999999</v>
      </c>
      <c r="V192" s="132">
        <v>1.8601380000000001</v>
      </c>
      <c r="W192" s="132">
        <v>0</v>
      </c>
      <c r="X192" s="132">
        <v>1.8108818</v>
      </c>
      <c r="Y192" s="132">
        <v>0</v>
      </c>
      <c r="Z192" s="132">
        <v>38.466744800000001</v>
      </c>
      <c r="AA192" s="132">
        <v>1959.5789873000001</v>
      </c>
    </row>
    <row r="193" spans="1:27" x14ac:dyDescent="0.35">
      <c r="A193" s="41">
        <v>42104</v>
      </c>
      <c r="B193" s="132">
        <v>1948.0619999999999</v>
      </c>
      <c r="C193" s="132">
        <v>968.54515200000003</v>
      </c>
      <c r="D193" s="132">
        <v>223.74963750000001</v>
      </c>
      <c r="E193" s="132">
        <v>0</v>
      </c>
      <c r="F193" s="132">
        <v>250.333305</v>
      </c>
      <c r="G193" s="132">
        <v>286.01619749999998</v>
      </c>
      <c r="H193" s="132">
        <v>203.55318750000001</v>
      </c>
      <c r="I193" s="132">
        <v>0</v>
      </c>
      <c r="J193" s="132">
        <v>15.8642033</v>
      </c>
      <c r="K193" s="132">
        <v>194.142774</v>
      </c>
      <c r="L193" s="132">
        <v>-273.16217549999999</v>
      </c>
      <c r="M193" s="132">
        <v>-265.62252819999998</v>
      </c>
      <c r="N193" s="132">
        <v>-7.5396473000000004</v>
      </c>
      <c r="O193" s="132">
        <v>1869.0422811999999</v>
      </c>
      <c r="P193" s="132">
        <v>1801.3013954999999</v>
      </c>
      <c r="Q193" s="132">
        <v>379.1389815</v>
      </c>
      <c r="R193" s="132">
        <v>551.50014229999999</v>
      </c>
      <c r="S193" s="132">
        <v>870.66227170000002</v>
      </c>
      <c r="T193" s="132">
        <v>67.740885700000007</v>
      </c>
      <c r="U193" s="132">
        <v>2.6372490000000002</v>
      </c>
      <c r="V193" s="132">
        <v>1.6827045</v>
      </c>
      <c r="W193" s="132">
        <v>0</v>
      </c>
      <c r="X193" s="132">
        <v>1.4316503</v>
      </c>
      <c r="Y193" s="132">
        <v>0</v>
      </c>
      <c r="Z193" s="132">
        <v>38.817920999999998</v>
      </c>
      <c r="AA193" s="132">
        <v>1869.0422811999999</v>
      </c>
    </row>
    <row r="194" spans="1:27" x14ac:dyDescent="0.35">
      <c r="A194" s="41">
        <v>42105</v>
      </c>
      <c r="B194" s="132">
        <v>1748.451</v>
      </c>
      <c r="C194" s="132">
        <v>904.16873180000005</v>
      </c>
      <c r="D194" s="132">
        <v>235.75278900000001</v>
      </c>
      <c r="E194" s="132">
        <v>0</v>
      </c>
      <c r="F194" s="132">
        <v>242.71212829999999</v>
      </c>
      <c r="G194" s="132">
        <v>173.94920999999999</v>
      </c>
      <c r="H194" s="132">
        <v>175.88377349999999</v>
      </c>
      <c r="I194" s="132">
        <v>0</v>
      </c>
      <c r="J194" s="132">
        <v>15.9845828</v>
      </c>
      <c r="K194" s="132">
        <v>196.2428108</v>
      </c>
      <c r="L194" s="132">
        <v>-348.04327499999999</v>
      </c>
      <c r="M194" s="132">
        <v>-339.27860399999997</v>
      </c>
      <c r="N194" s="132">
        <v>-8.7646709999999999</v>
      </c>
      <c r="O194" s="132">
        <v>1596.6507509999999</v>
      </c>
      <c r="P194" s="132">
        <v>1486.3517715</v>
      </c>
      <c r="Q194" s="132">
        <v>309.57886130000003</v>
      </c>
      <c r="R194" s="132">
        <v>443.79897899999997</v>
      </c>
      <c r="S194" s="132">
        <v>732.9739313</v>
      </c>
      <c r="T194" s="132">
        <v>110.2989795</v>
      </c>
      <c r="U194" s="132">
        <v>2.1294240000000002</v>
      </c>
      <c r="V194" s="132">
        <v>1.3091617</v>
      </c>
      <c r="W194" s="132">
        <v>0</v>
      </c>
      <c r="X194" s="132">
        <v>1.2651224999999999</v>
      </c>
      <c r="Y194" s="132">
        <v>0</v>
      </c>
      <c r="Z194" s="132">
        <v>28.419774</v>
      </c>
      <c r="AA194" s="132">
        <v>1596.6507509999999</v>
      </c>
    </row>
    <row r="195" spans="1:27" x14ac:dyDescent="0.35">
      <c r="A195" s="41">
        <v>42106</v>
      </c>
      <c r="B195" s="132">
        <v>1734.62</v>
      </c>
      <c r="C195" s="132">
        <v>901.41176929999995</v>
      </c>
      <c r="D195" s="132">
        <v>235.90064100000001</v>
      </c>
      <c r="E195" s="132">
        <v>0</v>
      </c>
      <c r="F195" s="132">
        <v>226.972578</v>
      </c>
      <c r="G195" s="132">
        <v>178.4736532</v>
      </c>
      <c r="H195" s="132">
        <v>175.78673180000001</v>
      </c>
      <c r="I195" s="132">
        <v>0</v>
      </c>
      <c r="J195" s="132">
        <v>16.075075500000001</v>
      </c>
      <c r="K195" s="132">
        <v>194.52605700000001</v>
      </c>
      <c r="L195" s="132">
        <v>-546.37621579999995</v>
      </c>
      <c r="M195" s="132">
        <v>-537.71005730000002</v>
      </c>
      <c r="N195" s="132">
        <v>-8.6661584999999999</v>
      </c>
      <c r="O195" s="132">
        <v>1382.7702899999999</v>
      </c>
      <c r="P195" s="132">
        <v>1319.8124775000001</v>
      </c>
      <c r="Q195" s="132">
        <v>286.56253950000001</v>
      </c>
      <c r="R195" s="132">
        <v>399.57347099999998</v>
      </c>
      <c r="S195" s="132">
        <v>633.676467</v>
      </c>
      <c r="T195" s="132">
        <v>62.957812500000003</v>
      </c>
      <c r="U195" s="132">
        <v>2.0835533000000002</v>
      </c>
      <c r="V195" s="132">
        <v>1.1771273</v>
      </c>
      <c r="W195" s="132">
        <v>0</v>
      </c>
      <c r="X195" s="132">
        <v>1.1817059999999999</v>
      </c>
      <c r="Y195" s="132">
        <v>0</v>
      </c>
      <c r="Z195" s="132">
        <v>27.114830300000001</v>
      </c>
      <c r="AA195" s="132">
        <v>1382.7702899999999</v>
      </c>
    </row>
    <row r="196" spans="1:27" x14ac:dyDescent="0.35">
      <c r="A196" s="41">
        <v>42107</v>
      </c>
      <c r="B196" s="132">
        <v>1904.16</v>
      </c>
      <c r="C196" s="132">
        <v>934.11109280000005</v>
      </c>
      <c r="D196" s="132">
        <v>231.91288280000001</v>
      </c>
      <c r="E196" s="132">
        <v>0</v>
      </c>
      <c r="F196" s="132">
        <v>245.2837485</v>
      </c>
      <c r="G196" s="132">
        <v>259.64318029999998</v>
      </c>
      <c r="H196" s="132">
        <v>203.1682395</v>
      </c>
      <c r="I196" s="132">
        <v>0</v>
      </c>
      <c r="J196" s="132">
        <v>30.040679300000001</v>
      </c>
      <c r="K196" s="132">
        <v>195.33954829999999</v>
      </c>
      <c r="L196" s="132">
        <v>-495.58436399999999</v>
      </c>
      <c r="M196" s="132">
        <v>-486.91554150000002</v>
      </c>
      <c r="N196" s="132">
        <v>-8.6688224999999992</v>
      </c>
      <c r="O196" s="132">
        <v>1603.9150072</v>
      </c>
      <c r="P196" s="132">
        <v>1561.8551646999999</v>
      </c>
      <c r="Q196" s="132">
        <v>378.92280899999997</v>
      </c>
      <c r="R196" s="132">
        <v>506.69726780000002</v>
      </c>
      <c r="S196" s="132">
        <v>676.23508800000002</v>
      </c>
      <c r="T196" s="132">
        <v>42.059842500000002</v>
      </c>
      <c r="U196" s="132">
        <v>2.0262772</v>
      </c>
      <c r="V196" s="132">
        <v>1.1602275</v>
      </c>
      <c r="W196" s="132">
        <v>0</v>
      </c>
      <c r="X196" s="132">
        <v>1.1698568</v>
      </c>
      <c r="Y196" s="132">
        <v>0</v>
      </c>
      <c r="Z196" s="132">
        <v>35.083326</v>
      </c>
      <c r="AA196" s="132">
        <v>1603.9150072</v>
      </c>
    </row>
    <row r="197" spans="1:27" x14ac:dyDescent="0.35">
      <c r="A197" s="41">
        <v>42108</v>
      </c>
      <c r="B197" s="132">
        <v>1819.174</v>
      </c>
      <c r="C197" s="132">
        <v>933.54879449999999</v>
      </c>
      <c r="D197" s="132">
        <v>237.58834049999999</v>
      </c>
      <c r="E197" s="132">
        <v>0</v>
      </c>
      <c r="F197" s="132">
        <v>252.847566</v>
      </c>
      <c r="G197" s="132">
        <v>174.58854220000001</v>
      </c>
      <c r="H197" s="132">
        <v>203.55318750000001</v>
      </c>
      <c r="I197" s="132">
        <v>0</v>
      </c>
      <c r="J197" s="132">
        <v>17.047213500000002</v>
      </c>
      <c r="K197" s="132">
        <v>196.8555308</v>
      </c>
      <c r="L197" s="132">
        <v>-544.17464180000002</v>
      </c>
      <c r="M197" s="132">
        <v>-533.0324895</v>
      </c>
      <c r="N197" s="132">
        <v>-11.142152299999999</v>
      </c>
      <c r="O197" s="132">
        <v>1471.8545333</v>
      </c>
      <c r="P197" s="132">
        <v>1506.9563963000001</v>
      </c>
      <c r="Q197" s="132">
        <v>379.2215655</v>
      </c>
      <c r="R197" s="132">
        <v>489.5708558</v>
      </c>
      <c r="S197" s="132">
        <v>638.16397500000005</v>
      </c>
      <c r="T197" s="132">
        <v>-35.101863000000002</v>
      </c>
      <c r="U197" s="132">
        <v>1.8802289999999999</v>
      </c>
      <c r="V197" s="132">
        <v>1.3913017999999999</v>
      </c>
      <c r="W197" s="132">
        <v>0</v>
      </c>
      <c r="X197" s="132">
        <v>1.0837207</v>
      </c>
      <c r="Y197" s="132">
        <v>0</v>
      </c>
      <c r="Z197" s="132">
        <v>32.890548799999998</v>
      </c>
      <c r="AA197" s="132">
        <v>1471.8545333</v>
      </c>
    </row>
    <row r="198" spans="1:27" x14ac:dyDescent="0.35">
      <c r="A198" s="41">
        <v>42109</v>
      </c>
      <c r="B198" s="132">
        <v>1883.3920000000001</v>
      </c>
      <c r="C198" s="132">
        <v>923.56795199999999</v>
      </c>
      <c r="D198" s="132">
        <v>238.4688203</v>
      </c>
      <c r="E198" s="132">
        <v>0</v>
      </c>
      <c r="F198" s="132">
        <v>252.42443399999999</v>
      </c>
      <c r="G198" s="132">
        <v>248.48876250000001</v>
      </c>
      <c r="H198" s="132">
        <v>203.30551879999999</v>
      </c>
      <c r="I198" s="132">
        <v>0</v>
      </c>
      <c r="J198" s="132">
        <v>17.136346499999998</v>
      </c>
      <c r="K198" s="132">
        <v>194.71719899999999</v>
      </c>
      <c r="L198" s="132">
        <v>-616.82908120000002</v>
      </c>
      <c r="M198" s="132">
        <v>-604.01027399999998</v>
      </c>
      <c r="N198" s="132">
        <v>-12.8188072</v>
      </c>
      <c r="O198" s="132">
        <v>1461.2799517999999</v>
      </c>
      <c r="P198" s="132">
        <v>1423.9464892000001</v>
      </c>
      <c r="Q198" s="132">
        <v>374.57277449999998</v>
      </c>
      <c r="R198" s="132">
        <v>466.89305619999999</v>
      </c>
      <c r="S198" s="132">
        <v>582.4806585</v>
      </c>
      <c r="T198" s="132">
        <v>37.333462500000003</v>
      </c>
      <c r="U198" s="132">
        <v>1.9453582</v>
      </c>
      <c r="V198" s="132">
        <v>0.75319049999999999</v>
      </c>
      <c r="W198" s="132">
        <v>0</v>
      </c>
      <c r="X198" s="132">
        <v>1.0129859999999999</v>
      </c>
      <c r="Y198" s="132">
        <v>0</v>
      </c>
      <c r="Z198" s="132">
        <v>34.511176499999998</v>
      </c>
      <c r="AA198" s="132">
        <v>1461.2799517999999</v>
      </c>
    </row>
    <row r="199" spans="1:27" x14ac:dyDescent="0.35">
      <c r="A199" s="41">
        <v>42110</v>
      </c>
      <c r="B199" s="132">
        <v>1834.5640000000001</v>
      </c>
      <c r="C199" s="132">
        <v>921.42265499999996</v>
      </c>
      <c r="D199" s="132">
        <v>245.76959550000001</v>
      </c>
      <c r="E199" s="132">
        <v>0</v>
      </c>
      <c r="F199" s="132">
        <v>251.01503930000001</v>
      </c>
      <c r="G199" s="132">
        <v>180.76732949999999</v>
      </c>
      <c r="H199" s="132">
        <v>203.2962503</v>
      </c>
      <c r="I199" s="132">
        <v>0</v>
      </c>
      <c r="J199" s="132">
        <v>32.293340999999998</v>
      </c>
      <c r="K199" s="132">
        <v>183.81378000000001</v>
      </c>
      <c r="L199" s="132">
        <v>-621.02818349999995</v>
      </c>
      <c r="M199" s="132">
        <v>-608.47516580000001</v>
      </c>
      <c r="N199" s="132">
        <v>-12.553017799999999</v>
      </c>
      <c r="O199" s="132">
        <v>1397.3498070000001</v>
      </c>
      <c r="P199" s="132">
        <v>1328.4632902000001</v>
      </c>
      <c r="Q199" s="132">
        <v>379.99584599999997</v>
      </c>
      <c r="R199" s="132">
        <v>397.904697</v>
      </c>
      <c r="S199" s="132">
        <v>550.56274729999996</v>
      </c>
      <c r="T199" s="132">
        <v>68.886516700000001</v>
      </c>
      <c r="U199" s="132">
        <v>2.0238352000000002</v>
      </c>
      <c r="V199" s="132">
        <v>1.0023299999999999</v>
      </c>
      <c r="W199" s="132">
        <v>0</v>
      </c>
      <c r="X199" s="132">
        <v>0.991896</v>
      </c>
      <c r="Y199" s="132">
        <v>0</v>
      </c>
      <c r="Z199" s="132">
        <v>32.088240800000001</v>
      </c>
      <c r="AA199" s="132">
        <v>1397.3498070000001</v>
      </c>
    </row>
    <row r="200" spans="1:27" x14ac:dyDescent="0.35">
      <c r="A200" s="41">
        <v>42111</v>
      </c>
      <c r="B200" s="132">
        <v>1753.741</v>
      </c>
      <c r="C200" s="132">
        <v>915.13292330000002</v>
      </c>
      <c r="D200" s="132">
        <v>247.098321</v>
      </c>
      <c r="E200" s="132">
        <v>0</v>
      </c>
      <c r="F200" s="132">
        <v>251.08638450000001</v>
      </c>
      <c r="G200" s="132">
        <v>136.45643480000001</v>
      </c>
      <c r="H200" s="132">
        <v>203.188275</v>
      </c>
      <c r="I200" s="132">
        <v>0</v>
      </c>
      <c r="J200" s="132">
        <v>0.7789703</v>
      </c>
      <c r="K200" s="132">
        <v>193.28432770000001</v>
      </c>
      <c r="L200" s="132">
        <v>-516.14544899999999</v>
      </c>
      <c r="M200" s="132">
        <v>-503.74103250000002</v>
      </c>
      <c r="N200" s="132">
        <v>-12.4044165</v>
      </c>
      <c r="O200" s="132">
        <v>1430.8801874999999</v>
      </c>
      <c r="P200" s="132">
        <v>1357.4706705000001</v>
      </c>
      <c r="Q200" s="132">
        <v>362.72025000000002</v>
      </c>
      <c r="R200" s="132">
        <v>442.94652680000002</v>
      </c>
      <c r="S200" s="132">
        <v>551.80389379999997</v>
      </c>
      <c r="T200" s="132">
        <v>73.409516999999994</v>
      </c>
      <c r="U200" s="132">
        <v>2.4020955000000002</v>
      </c>
      <c r="V200" s="132">
        <v>1.0967633000000001</v>
      </c>
      <c r="W200" s="132">
        <v>0</v>
      </c>
      <c r="X200" s="132">
        <v>0.98473650000000001</v>
      </c>
      <c r="Y200" s="132">
        <v>0</v>
      </c>
      <c r="Z200" s="132">
        <v>30.963422300000001</v>
      </c>
      <c r="AA200" s="132">
        <v>1430.8801874999999</v>
      </c>
    </row>
    <row r="201" spans="1:27" x14ac:dyDescent="0.35">
      <c r="A201" s="41">
        <v>42112</v>
      </c>
      <c r="B201" s="132">
        <v>1719.309</v>
      </c>
      <c r="C201" s="132">
        <v>898.91759930000001</v>
      </c>
      <c r="D201" s="132">
        <v>243.6852097</v>
      </c>
      <c r="E201" s="132">
        <v>0</v>
      </c>
      <c r="F201" s="132">
        <v>227.395488</v>
      </c>
      <c r="G201" s="132">
        <v>162.05561549999999</v>
      </c>
      <c r="H201" s="132">
        <v>186.75888749999999</v>
      </c>
      <c r="I201" s="132">
        <v>0</v>
      </c>
      <c r="J201" s="132">
        <v>0.49653079999999999</v>
      </c>
      <c r="K201" s="132">
        <v>191.26734680000001</v>
      </c>
      <c r="L201" s="132">
        <v>-685.6940085</v>
      </c>
      <c r="M201" s="132">
        <v>-642.32780700000001</v>
      </c>
      <c r="N201" s="132">
        <v>-43.366201500000003</v>
      </c>
      <c r="O201" s="132">
        <v>1224.8826690000001</v>
      </c>
      <c r="P201" s="132">
        <v>1171.6667437999999</v>
      </c>
      <c r="Q201" s="132">
        <v>304.4090918</v>
      </c>
      <c r="R201" s="132">
        <v>400.57396949999998</v>
      </c>
      <c r="S201" s="132">
        <v>466.68368249999997</v>
      </c>
      <c r="T201" s="132">
        <v>53.215925300000002</v>
      </c>
      <c r="U201" s="132">
        <v>2.0036887999999999</v>
      </c>
      <c r="V201" s="132">
        <v>1.3883048</v>
      </c>
      <c r="W201" s="132">
        <v>0</v>
      </c>
      <c r="X201" s="132">
        <v>0.95826299999999998</v>
      </c>
      <c r="Y201" s="132">
        <v>0</v>
      </c>
      <c r="Z201" s="132">
        <v>25.571292</v>
      </c>
      <c r="AA201" s="132">
        <v>1224.8826690000001</v>
      </c>
    </row>
    <row r="202" spans="1:27" x14ac:dyDescent="0.35">
      <c r="A202" s="41">
        <v>42113</v>
      </c>
      <c r="B202" s="132">
        <v>1707.74</v>
      </c>
      <c r="C202" s="132">
        <v>896.11437750000005</v>
      </c>
      <c r="D202" s="132">
        <v>242.66897700000001</v>
      </c>
      <c r="E202" s="132">
        <v>0</v>
      </c>
      <c r="F202" s="132">
        <v>223.9403355</v>
      </c>
      <c r="G202" s="132">
        <v>163.32162600000001</v>
      </c>
      <c r="H202" s="132">
        <v>181.31086880000001</v>
      </c>
      <c r="I202" s="132">
        <v>0</v>
      </c>
      <c r="J202" s="132">
        <v>0.38419880000000001</v>
      </c>
      <c r="K202" s="132">
        <v>193.95568349999999</v>
      </c>
      <c r="L202" s="132">
        <v>-728.63924250000002</v>
      </c>
      <c r="M202" s="132">
        <v>-683.93715599999996</v>
      </c>
      <c r="N202" s="132">
        <v>-44.7020865</v>
      </c>
      <c r="O202" s="132">
        <v>1173.0568244999999</v>
      </c>
      <c r="P202" s="132">
        <v>1182.3697523000001</v>
      </c>
      <c r="Q202" s="132">
        <v>292.82690780000001</v>
      </c>
      <c r="R202" s="132">
        <v>338.79669749999999</v>
      </c>
      <c r="S202" s="132">
        <v>550.74614699999995</v>
      </c>
      <c r="T202" s="132">
        <v>-9.3129276999999995</v>
      </c>
      <c r="U202" s="132">
        <v>2.5731742999999998</v>
      </c>
      <c r="V202" s="132">
        <v>1.4216047999999999</v>
      </c>
      <c r="W202" s="132">
        <v>0</v>
      </c>
      <c r="X202" s="132">
        <v>1.2494993000000001</v>
      </c>
      <c r="Y202" s="132">
        <v>0</v>
      </c>
      <c r="Z202" s="132">
        <v>26.426324999999999</v>
      </c>
      <c r="AA202" s="132">
        <v>1173.0568244999999</v>
      </c>
    </row>
    <row r="203" spans="1:27" x14ac:dyDescent="0.35">
      <c r="A203" s="41">
        <v>42114</v>
      </c>
      <c r="B203" s="132">
        <v>1753.1310000000001</v>
      </c>
      <c r="C203" s="132">
        <v>908.69456249999996</v>
      </c>
      <c r="D203" s="132">
        <v>245.48660100000001</v>
      </c>
      <c r="E203" s="132">
        <v>0</v>
      </c>
      <c r="F203" s="132">
        <v>244.76418530000001</v>
      </c>
      <c r="G203" s="132">
        <v>181.5015113</v>
      </c>
      <c r="H203" s="132">
        <v>142.81617969999999</v>
      </c>
      <c r="I203" s="132">
        <v>29.4827932</v>
      </c>
      <c r="J203" s="132">
        <v>0.3852255</v>
      </c>
      <c r="K203" s="132">
        <v>189.94231199999999</v>
      </c>
      <c r="L203" s="132">
        <v>-506.73470250000003</v>
      </c>
      <c r="M203" s="132">
        <v>-470.84801399999998</v>
      </c>
      <c r="N203" s="132">
        <v>-35.886688499999998</v>
      </c>
      <c r="O203" s="132">
        <v>1436.3386680000001</v>
      </c>
      <c r="P203" s="132">
        <v>1426.3406205000001</v>
      </c>
      <c r="Q203" s="132">
        <v>409.79718150000002</v>
      </c>
      <c r="R203" s="132">
        <v>389.4435555</v>
      </c>
      <c r="S203" s="132">
        <v>627.09988350000003</v>
      </c>
      <c r="T203" s="132">
        <v>9.9980475000000002</v>
      </c>
      <c r="U203" s="132">
        <v>2.6131343</v>
      </c>
      <c r="V203" s="132">
        <v>1.6557314999999999</v>
      </c>
      <c r="W203" s="132">
        <v>0</v>
      </c>
      <c r="X203" s="132">
        <v>1.4099219999999999</v>
      </c>
      <c r="Y203" s="132">
        <v>0</v>
      </c>
      <c r="Z203" s="132">
        <v>33.741502500000003</v>
      </c>
      <c r="AA203" s="132">
        <v>1436.3386680000001</v>
      </c>
    </row>
    <row r="204" spans="1:27" x14ac:dyDescent="0.35">
      <c r="A204" s="41">
        <v>42115</v>
      </c>
      <c r="B204" s="132">
        <v>1800.1849999999999</v>
      </c>
      <c r="C204" s="132">
        <v>908.99967379999998</v>
      </c>
      <c r="D204" s="132">
        <v>250.900182</v>
      </c>
      <c r="E204" s="132">
        <v>0</v>
      </c>
      <c r="F204" s="132">
        <v>246.47552780000001</v>
      </c>
      <c r="G204" s="132">
        <v>217.550343</v>
      </c>
      <c r="H204" s="132">
        <v>142.9141095</v>
      </c>
      <c r="I204" s="132">
        <v>33.019780500000003</v>
      </c>
      <c r="J204" s="132">
        <v>0.32489699999999999</v>
      </c>
      <c r="K204" s="132">
        <v>188.46384750000001</v>
      </c>
      <c r="L204" s="132">
        <v>-582.79612050000003</v>
      </c>
      <c r="M204" s="132">
        <v>-553.75474650000001</v>
      </c>
      <c r="N204" s="132">
        <v>-29.041374000000001</v>
      </c>
      <c r="O204" s="132">
        <v>1405.8522405000001</v>
      </c>
      <c r="P204" s="132">
        <v>1358.9445562999999</v>
      </c>
      <c r="Q204" s="132">
        <v>392.57075850000001</v>
      </c>
      <c r="R204" s="132">
        <v>390.4712212</v>
      </c>
      <c r="S204" s="132">
        <v>575.90257650000001</v>
      </c>
      <c r="T204" s="132">
        <v>46.907684199999998</v>
      </c>
      <c r="U204" s="132">
        <v>2.3149882000000002</v>
      </c>
      <c r="V204" s="132">
        <v>1.2588509999999999</v>
      </c>
      <c r="W204" s="132">
        <v>0</v>
      </c>
      <c r="X204" s="132">
        <v>1.1278432</v>
      </c>
      <c r="Y204" s="132">
        <v>0</v>
      </c>
      <c r="Z204" s="132">
        <v>32.592541500000003</v>
      </c>
      <c r="AA204" s="132">
        <v>1405.8522405000001</v>
      </c>
    </row>
    <row r="205" spans="1:27" x14ac:dyDescent="0.35">
      <c r="A205" s="41">
        <v>42116</v>
      </c>
      <c r="B205" s="132">
        <v>1752.662</v>
      </c>
      <c r="C205" s="132">
        <v>903.17092500000001</v>
      </c>
      <c r="D205" s="132">
        <v>245.65226849999999</v>
      </c>
      <c r="E205" s="132">
        <v>0</v>
      </c>
      <c r="F205" s="132">
        <v>246.4044322</v>
      </c>
      <c r="G205" s="132">
        <v>181.7658855</v>
      </c>
      <c r="H205" s="132">
        <v>142.76750630000001</v>
      </c>
      <c r="I205" s="132">
        <v>32.674626000000004</v>
      </c>
      <c r="J205" s="132">
        <v>0.2262458</v>
      </c>
      <c r="K205" s="132">
        <v>189.0359138</v>
      </c>
      <c r="L205" s="132">
        <v>-578.71132050000006</v>
      </c>
      <c r="M205" s="132">
        <v>-542.75803199999996</v>
      </c>
      <c r="N205" s="132">
        <v>-35.953288499999999</v>
      </c>
      <c r="O205" s="132">
        <v>1362.9864825</v>
      </c>
      <c r="P205" s="132">
        <v>1334.5488098000001</v>
      </c>
      <c r="Q205" s="132">
        <v>398.7130545</v>
      </c>
      <c r="R205" s="132">
        <v>400.92958579999998</v>
      </c>
      <c r="S205" s="132">
        <v>534.90616950000003</v>
      </c>
      <c r="T205" s="132">
        <v>28.4376727</v>
      </c>
      <c r="U205" s="132">
        <v>2.0379877999999998</v>
      </c>
      <c r="V205" s="132">
        <v>1.0651283</v>
      </c>
      <c r="W205" s="132">
        <v>0</v>
      </c>
      <c r="X205" s="132">
        <v>0.97951949999999999</v>
      </c>
      <c r="Y205" s="132">
        <v>0</v>
      </c>
      <c r="Z205" s="132">
        <v>30.642715500000001</v>
      </c>
      <c r="AA205" s="132">
        <v>1362.9864825</v>
      </c>
    </row>
    <row r="206" spans="1:27" x14ac:dyDescent="0.35">
      <c r="A206" s="41">
        <v>42117</v>
      </c>
      <c r="B206" s="132">
        <v>1779.6210000000001</v>
      </c>
      <c r="C206" s="132">
        <v>889.95404399999995</v>
      </c>
      <c r="D206" s="132">
        <v>252.34248830000001</v>
      </c>
      <c r="E206" s="132">
        <v>0</v>
      </c>
      <c r="F206" s="132">
        <v>245.31796420000001</v>
      </c>
      <c r="G206" s="132">
        <v>216.53277829999999</v>
      </c>
      <c r="H206" s="132">
        <v>142.74486229999999</v>
      </c>
      <c r="I206" s="132">
        <v>32.297559</v>
      </c>
      <c r="J206" s="132">
        <v>0.4310408</v>
      </c>
      <c r="K206" s="132">
        <v>189.4896818</v>
      </c>
      <c r="L206" s="132">
        <v>-542.45730530000003</v>
      </c>
      <c r="M206" s="132">
        <v>-513.97828500000003</v>
      </c>
      <c r="N206" s="132">
        <v>-28.479020299999998</v>
      </c>
      <c r="O206" s="132">
        <v>1426.6531133000001</v>
      </c>
      <c r="P206" s="132">
        <v>1380.0835072</v>
      </c>
      <c r="Q206" s="132">
        <v>403.06872229999999</v>
      </c>
      <c r="R206" s="132">
        <v>457.28170499999999</v>
      </c>
      <c r="S206" s="132">
        <v>519.73307999999997</v>
      </c>
      <c r="T206" s="132">
        <v>46.569606</v>
      </c>
      <c r="U206" s="132">
        <v>2.1464902000000001</v>
      </c>
      <c r="V206" s="132">
        <v>0.98526380000000002</v>
      </c>
      <c r="W206" s="132">
        <v>0</v>
      </c>
      <c r="X206" s="132">
        <v>1.0203120000000001</v>
      </c>
      <c r="Y206" s="132">
        <v>0</v>
      </c>
      <c r="Z206" s="132">
        <v>29.606475</v>
      </c>
      <c r="AA206" s="132">
        <v>1426.6531133000001</v>
      </c>
    </row>
    <row r="207" spans="1:27" x14ac:dyDescent="0.35">
      <c r="A207" s="41">
        <v>42118</v>
      </c>
      <c r="B207" s="132">
        <v>1834.145</v>
      </c>
      <c r="C207" s="132">
        <v>930.53447849999998</v>
      </c>
      <c r="D207" s="132">
        <v>258.2302613</v>
      </c>
      <c r="E207" s="132">
        <v>0</v>
      </c>
      <c r="F207" s="132">
        <v>236.52426679999999</v>
      </c>
      <c r="G207" s="132">
        <v>231.91640699999999</v>
      </c>
      <c r="H207" s="132">
        <v>142.8712635</v>
      </c>
      <c r="I207" s="132">
        <v>33.569619000000003</v>
      </c>
      <c r="J207" s="132">
        <v>0.49911149999999999</v>
      </c>
      <c r="K207" s="132">
        <v>188.67322129999999</v>
      </c>
      <c r="L207" s="132">
        <v>-649.17092930000001</v>
      </c>
      <c r="M207" s="132">
        <v>-612.61122</v>
      </c>
      <c r="N207" s="132">
        <v>-36.559709300000002</v>
      </c>
      <c r="O207" s="132">
        <v>1373.6476995</v>
      </c>
      <c r="P207" s="132">
        <v>1351.4531939999999</v>
      </c>
      <c r="Q207" s="132">
        <v>389.82966900000002</v>
      </c>
      <c r="R207" s="132">
        <v>469.83325200000002</v>
      </c>
      <c r="S207" s="132">
        <v>491.79027300000001</v>
      </c>
      <c r="T207" s="132">
        <v>22.194505500000002</v>
      </c>
      <c r="U207" s="132">
        <v>1.8295853</v>
      </c>
      <c r="V207" s="132">
        <v>1.0318282999999999</v>
      </c>
      <c r="W207" s="132">
        <v>0</v>
      </c>
      <c r="X207" s="132">
        <v>0.96150979999999997</v>
      </c>
      <c r="Y207" s="132">
        <v>0</v>
      </c>
      <c r="Z207" s="132">
        <v>30.208733299999999</v>
      </c>
      <c r="AA207" s="132">
        <v>1373.6476995</v>
      </c>
    </row>
    <row r="208" spans="1:27" x14ac:dyDescent="0.35">
      <c r="A208" s="41">
        <v>42119</v>
      </c>
      <c r="B208" s="132">
        <v>1667.829</v>
      </c>
      <c r="C208" s="132">
        <v>891.64354730000002</v>
      </c>
      <c r="D208" s="132">
        <v>264.47434420000002</v>
      </c>
      <c r="E208" s="132">
        <v>0</v>
      </c>
      <c r="F208" s="132">
        <v>207.4796738</v>
      </c>
      <c r="G208" s="132">
        <v>128.086119</v>
      </c>
      <c r="H208" s="132">
        <v>175.7322308</v>
      </c>
      <c r="I208" s="132">
        <v>0</v>
      </c>
      <c r="J208" s="132">
        <v>0.4126148</v>
      </c>
      <c r="K208" s="132">
        <v>189.9165323</v>
      </c>
      <c r="L208" s="132">
        <v>-691.39729950000003</v>
      </c>
      <c r="M208" s="132">
        <v>-650.83687280000004</v>
      </c>
      <c r="N208" s="132">
        <v>-40.560426800000002</v>
      </c>
      <c r="O208" s="132">
        <v>1166.3477625</v>
      </c>
      <c r="P208" s="132">
        <v>1114.8037469999999</v>
      </c>
      <c r="Q208" s="132">
        <v>297.64874780000002</v>
      </c>
      <c r="R208" s="132">
        <v>401.0704447</v>
      </c>
      <c r="S208" s="132">
        <v>416.08455450000002</v>
      </c>
      <c r="T208" s="132">
        <v>51.5440155</v>
      </c>
      <c r="U208" s="132">
        <v>2.1218759999999999</v>
      </c>
      <c r="V208" s="132">
        <v>0.81088280000000001</v>
      </c>
      <c r="W208" s="132">
        <v>0</v>
      </c>
      <c r="X208" s="132">
        <v>0.90354000000000001</v>
      </c>
      <c r="Y208" s="132">
        <v>0</v>
      </c>
      <c r="Z208" s="132">
        <v>23.772509299999999</v>
      </c>
      <c r="AA208" s="132">
        <v>1166.3477625</v>
      </c>
    </row>
    <row r="209" spans="1:27" x14ac:dyDescent="0.35">
      <c r="A209" s="41">
        <v>42120</v>
      </c>
      <c r="B209" s="132">
        <v>1660.877</v>
      </c>
      <c r="C209" s="132">
        <v>900.49490930000002</v>
      </c>
      <c r="D209" s="132">
        <v>263.09350430000001</v>
      </c>
      <c r="E209" s="132">
        <v>0</v>
      </c>
      <c r="F209" s="132">
        <v>209.04052799999999</v>
      </c>
      <c r="G209" s="132">
        <v>112.3435162</v>
      </c>
      <c r="H209" s="132">
        <v>175.52846249999999</v>
      </c>
      <c r="I209" s="132">
        <v>0</v>
      </c>
      <c r="J209" s="132">
        <v>0.37620680000000001</v>
      </c>
      <c r="K209" s="132">
        <v>190.10295679999999</v>
      </c>
      <c r="L209" s="132">
        <v>-697.71958199999995</v>
      </c>
      <c r="M209" s="132">
        <v>-656.90585320000002</v>
      </c>
      <c r="N209" s="132">
        <v>-40.8137288</v>
      </c>
      <c r="O209" s="132">
        <v>1153.2605017999999</v>
      </c>
      <c r="P209" s="132">
        <v>1105.851042</v>
      </c>
      <c r="Q209" s="132">
        <v>307.38544569999999</v>
      </c>
      <c r="R209" s="132">
        <v>377.10138219999999</v>
      </c>
      <c r="S209" s="132">
        <v>421.364214</v>
      </c>
      <c r="T209" s="132">
        <v>47.4094598</v>
      </c>
      <c r="U209" s="132">
        <v>2.1905294999999998</v>
      </c>
      <c r="V209" s="132">
        <v>0.57159450000000001</v>
      </c>
      <c r="W209" s="132">
        <v>0</v>
      </c>
      <c r="X209" s="132">
        <v>0.84973279999999995</v>
      </c>
      <c r="Y209" s="132">
        <v>0</v>
      </c>
      <c r="Z209" s="132">
        <v>23.0209005</v>
      </c>
      <c r="AA209" s="132">
        <v>1153.2605017999999</v>
      </c>
    </row>
    <row r="210" spans="1:27" x14ac:dyDescent="0.35">
      <c r="A210" s="41">
        <v>42121</v>
      </c>
      <c r="B210" s="132">
        <v>1881.913</v>
      </c>
      <c r="C210" s="132">
        <v>907.41775729999995</v>
      </c>
      <c r="D210" s="132">
        <v>260.10546749999997</v>
      </c>
      <c r="E210" s="132">
        <v>0</v>
      </c>
      <c r="F210" s="132">
        <v>237.3549075</v>
      </c>
      <c r="G210" s="132">
        <v>246.31743599999999</v>
      </c>
      <c r="H210" s="132">
        <v>203.1166523</v>
      </c>
      <c r="I210" s="132">
        <v>27.106311000000002</v>
      </c>
      <c r="J210" s="132">
        <v>0.494172</v>
      </c>
      <c r="K210" s="132">
        <v>190.3933605</v>
      </c>
      <c r="L210" s="132">
        <v>-465.03474970000002</v>
      </c>
      <c r="M210" s="132">
        <v>-420.68000999999998</v>
      </c>
      <c r="N210" s="132">
        <v>-44.354739799999997</v>
      </c>
      <c r="O210" s="132">
        <v>1607.2713143000001</v>
      </c>
      <c r="P210" s="132">
        <v>1476.5508322999999</v>
      </c>
      <c r="Q210" s="132">
        <v>401.27873629999999</v>
      </c>
      <c r="R210" s="132">
        <v>451.4432438</v>
      </c>
      <c r="S210" s="132">
        <v>623.82885229999999</v>
      </c>
      <c r="T210" s="132">
        <v>130.720482</v>
      </c>
      <c r="U210" s="132">
        <v>11.8744193</v>
      </c>
      <c r="V210" s="132">
        <v>0.74456029999999995</v>
      </c>
      <c r="W210" s="132">
        <v>0</v>
      </c>
      <c r="X210" s="132">
        <v>1.0760339999999999</v>
      </c>
      <c r="Y210" s="132">
        <v>0</v>
      </c>
      <c r="Z210" s="132">
        <v>31.660751999999999</v>
      </c>
      <c r="AA210" s="132">
        <v>1607.2713143000001</v>
      </c>
    </row>
    <row r="211" spans="1:27" x14ac:dyDescent="0.35">
      <c r="A211" s="41">
        <v>42122</v>
      </c>
      <c r="B211" s="132">
        <v>1977.424</v>
      </c>
      <c r="C211" s="132">
        <v>955.04436069999997</v>
      </c>
      <c r="D211" s="132">
        <v>251.7744735</v>
      </c>
      <c r="E211" s="132">
        <v>0</v>
      </c>
      <c r="F211" s="132">
        <v>228.0894045</v>
      </c>
      <c r="G211" s="132">
        <v>305.88514199999997</v>
      </c>
      <c r="H211" s="132">
        <v>203.52166349999999</v>
      </c>
      <c r="I211" s="132">
        <v>32.703707999999999</v>
      </c>
      <c r="J211" s="132">
        <v>0.40509450000000002</v>
      </c>
      <c r="K211" s="132">
        <v>190.4474175</v>
      </c>
      <c r="L211" s="132">
        <v>-615.68678030000001</v>
      </c>
      <c r="M211" s="132">
        <v>-571.24432279999996</v>
      </c>
      <c r="N211" s="132">
        <v>-44.442457500000003</v>
      </c>
      <c r="O211" s="132">
        <v>1552.1844840000001</v>
      </c>
      <c r="P211" s="132">
        <v>1470.0392948000001</v>
      </c>
      <c r="Q211" s="132">
        <v>408.20422050000002</v>
      </c>
      <c r="R211" s="132">
        <v>483.36825900000002</v>
      </c>
      <c r="S211" s="132">
        <v>578.46681530000001</v>
      </c>
      <c r="T211" s="132">
        <v>82.145189200000004</v>
      </c>
      <c r="U211" s="132">
        <v>2.6685232000000001</v>
      </c>
      <c r="V211" s="132">
        <v>0.88170079999999995</v>
      </c>
      <c r="W211" s="132">
        <v>0</v>
      </c>
      <c r="X211" s="132">
        <v>1.2043223000000001</v>
      </c>
      <c r="Y211" s="132">
        <v>0</v>
      </c>
      <c r="Z211" s="132">
        <v>31.713338199999999</v>
      </c>
      <c r="AA211" s="132">
        <v>1552.1844840000001</v>
      </c>
    </row>
    <row r="212" spans="1:27" x14ac:dyDescent="0.35">
      <c r="A212" s="41">
        <v>42123</v>
      </c>
      <c r="B212" s="132">
        <v>1986.365</v>
      </c>
      <c r="C212" s="132">
        <v>980.02388399999995</v>
      </c>
      <c r="D212" s="132">
        <v>258.48431249999999</v>
      </c>
      <c r="E212" s="132">
        <v>0</v>
      </c>
      <c r="F212" s="132">
        <v>213.8614523</v>
      </c>
      <c r="G212" s="132">
        <v>259.45056749999998</v>
      </c>
      <c r="H212" s="132">
        <v>236.29591199999999</v>
      </c>
      <c r="I212" s="132">
        <v>37.891875800000001</v>
      </c>
      <c r="J212" s="132">
        <v>0.35669849999999997</v>
      </c>
      <c r="K212" s="132">
        <v>192.8781233</v>
      </c>
      <c r="L212" s="132">
        <v>-726.47191199999997</v>
      </c>
      <c r="M212" s="132">
        <v>-686.65537949999998</v>
      </c>
      <c r="N212" s="132">
        <v>-39.816532500000001</v>
      </c>
      <c r="O212" s="132">
        <v>1452.7709138</v>
      </c>
      <c r="P212" s="132">
        <v>1424.3390408</v>
      </c>
      <c r="Q212" s="132">
        <v>402.42522750000001</v>
      </c>
      <c r="R212" s="132">
        <v>468.08944200000002</v>
      </c>
      <c r="S212" s="132">
        <v>553.82437119999997</v>
      </c>
      <c r="T212" s="132">
        <v>28.431873</v>
      </c>
      <c r="U212" s="132">
        <v>2.6137725000000001</v>
      </c>
      <c r="V212" s="132">
        <v>0.94078050000000002</v>
      </c>
      <c r="W212" s="132">
        <v>0</v>
      </c>
      <c r="X212" s="132">
        <v>1.1393595000000001</v>
      </c>
      <c r="Y212" s="132">
        <v>0</v>
      </c>
      <c r="Z212" s="132">
        <v>31.5907388</v>
      </c>
      <c r="AA212" s="132">
        <v>1452.7709138</v>
      </c>
    </row>
    <row r="213" spans="1:27" x14ac:dyDescent="0.35">
      <c r="A213" s="41">
        <v>42124</v>
      </c>
    </row>
    <row r="214" spans="1:27" x14ac:dyDescent="0.35">
      <c r="A214" s="41">
        <v>42125</v>
      </c>
      <c r="B214">
        <v>1671.8420000000001</v>
      </c>
      <c r="C214" s="132">
        <v>924.87894530000005</v>
      </c>
      <c r="D214" s="132">
        <v>251.36407879999999</v>
      </c>
      <c r="E214" s="132">
        <v>0</v>
      </c>
      <c r="F214" s="132">
        <v>240.54199499999999</v>
      </c>
      <c r="G214" s="132">
        <v>62.642461500000003</v>
      </c>
      <c r="H214" s="132">
        <v>192.04293150000001</v>
      </c>
      <c r="I214" s="132">
        <v>0</v>
      </c>
      <c r="J214" s="132">
        <v>0.3716835</v>
      </c>
      <c r="K214" s="132">
        <v>203.6698485</v>
      </c>
      <c r="L214" s="132">
        <v>-805.46486779999998</v>
      </c>
      <c r="M214" s="132">
        <v>-756.83324249999998</v>
      </c>
      <c r="N214" s="132">
        <v>-48.631625200000002</v>
      </c>
      <c r="O214" s="132">
        <v>1070.0470763000001</v>
      </c>
      <c r="P214" s="132">
        <v>1030.3108523000001</v>
      </c>
      <c r="Q214" s="132">
        <v>261.93033530000002</v>
      </c>
      <c r="R214" s="132">
        <v>329.52889119999998</v>
      </c>
      <c r="S214" s="132">
        <v>438.8516257</v>
      </c>
      <c r="T214" s="132">
        <v>39.736224</v>
      </c>
      <c r="U214" s="132">
        <v>2.5445085000000001</v>
      </c>
      <c r="V214" s="132">
        <v>1.2014640000000001</v>
      </c>
      <c r="W214" s="132">
        <v>0</v>
      </c>
      <c r="X214" s="132">
        <v>0.89527049999999997</v>
      </c>
      <c r="Y214" s="132">
        <v>0</v>
      </c>
      <c r="Z214" s="132">
        <v>24.054643500000001</v>
      </c>
      <c r="AA214" s="132">
        <v>1070.0470763000001</v>
      </c>
    </row>
    <row r="215" spans="1:27" x14ac:dyDescent="0.35">
      <c r="A215" s="41">
        <v>42126</v>
      </c>
      <c r="B215" s="132">
        <v>1662.855</v>
      </c>
      <c r="C215" s="132">
        <v>890.22513370000001</v>
      </c>
      <c r="D215" s="132">
        <v>263.51363930000002</v>
      </c>
      <c r="E215" s="132">
        <v>0</v>
      </c>
      <c r="F215" s="132">
        <v>245.1938385</v>
      </c>
      <c r="G215" s="132">
        <v>71.533561500000005</v>
      </c>
      <c r="H215" s="132">
        <v>192.02012099999999</v>
      </c>
      <c r="I215" s="132">
        <v>0</v>
      </c>
      <c r="J215" s="132">
        <v>0.36918600000000001</v>
      </c>
      <c r="K215" s="132">
        <v>202.9178235</v>
      </c>
      <c r="L215" s="132">
        <v>-746.43004499999995</v>
      </c>
      <c r="M215" s="132">
        <v>-697.02000450000003</v>
      </c>
      <c r="N215" s="132">
        <v>-49.410040500000001</v>
      </c>
      <c r="O215" s="132">
        <v>1119.3432585</v>
      </c>
      <c r="P215" s="132">
        <v>1078.3770158</v>
      </c>
      <c r="Q215" s="132">
        <v>298.03907930000003</v>
      </c>
      <c r="R215" s="132">
        <v>385.6657538</v>
      </c>
      <c r="S215" s="132">
        <v>394.67218279999997</v>
      </c>
      <c r="T215" s="132">
        <v>40.966242700000002</v>
      </c>
      <c r="U215" s="132">
        <v>1.7231084999999999</v>
      </c>
      <c r="V215" s="132">
        <v>1.154067</v>
      </c>
      <c r="W215" s="132">
        <v>0</v>
      </c>
      <c r="X215" s="132">
        <v>0.78993150000000001</v>
      </c>
      <c r="Y215" s="132">
        <v>0</v>
      </c>
      <c r="Z215" s="132">
        <v>23.3487945</v>
      </c>
      <c r="AA215" s="132">
        <v>1119.3432585</v>
      </c>
    </row>
    <row r="216" spans="1:27" x14ac:dyDescent="0.35">
      <c r="A216" s="41">
        <v>42127</v>
      </c>
      <c r="B216" s="132">
        <v>1610.682</v>
      </c>
      <c r="C216" s="132">
        <v>894.79406029999996</v>
      </c>
      <c r="D216" s="132">
        <v>253.5456173</v>
      </c>
      <c r="E216" s="132">
        <v>0</v>
      </c>
      <c r="F216" s="132">
        <v>245.26734830000001</v>
      </c>
      <c r="G216" s="132">
        <v>68.396063299999994</v>
      </c>
      <c r="H216" s="132">
        <v>148.30801579999999</v>
      </c>
      <c r="I216" s="132">
        <v>0</v>
      </c>
      <c r="J216" s="132">
        <v>0.37085099999999999</v>
      </c>
      <c r="K216" s="132">
        <v>202.48411870000001</v>
      </c>
      <c r="L216" s="132">
        <v>-716.71820319999995</v>
      </c>
      <c r="M216" s="132">
        <v>-667.03776670000002</v>
      </c>
      <c r="N216" s="132">
        <v>-49.680436499999999</v>
      </c>
      <c r="O216" s="132">
        <v>1096.4478713000001</v>
      </c>
      <c r="P216" s="132">
        <v>1093.9168493</v>
      </c>
      <c r="Q216" s="132">
        <v>293.59333500000002</v>
      </c>
      <c r="R216" s="132">
        <v>416.37182250000001</v>
      </c>
      <c r="S216" s="132">
        <v>383.95169179999999</v>
      </c>
      <c r="T216" s="132">
        <v>2.5310220000000001</v>
      </c>
      <c r="U216" s="132">
        <v>1.8587783</v>
      </c>
      <c r="V216" s="132">
        <v>1.1580630000000001</v>
      </c>
      <c r="W216" s="132">
        <v>0</v>
      </c>
      <c r="X216" s="132">
        <v>0.75615980000000005</v>
      </c>
      <c r="Y216" s="132">
        <v>0</v>
      </c>
      <c r="Z216" s="132">
        <v>23.171222199999999</v>
      </c>
      <c r="AA216" s="132">
        <v>1096.4478713000001</v>
      </c>
    </row>
    <row r="217" spans="1:27" x14ac:dyDescent="0.35">
      <c r="A217" s="41">
        <v>42128</v>
      </c>
      <c r="B217" s="132">
        <v>1695.768</v>
      </c>
      <c r="C217" s="132">
        <v>883.93487479999999</v>
      </c>
      <c r="D217" s="132">
        <v>260.05723799999998</v>
      </c>
      <c r="E217" s="132">
        <v>0</v>
      </c>
      <c r="F217" s="132">
        <v>246.41370079999999</v>
      </c>
      <c r="G217" s="132">
        <v>101.7325823</v>
      </c>
      <c r="H217" s="132">
        <v>203.25928730000001</v>
      </c>
      <c r="I217" s="132">
        <v>0</v>
      </c>
      <c r="J217" s="132">
        <v>0.36987979999999998</v>
      </c>
      <c r="K217" s="132">
        <v>200.63730079999999</v>
      </c>
      <c r="L217" s="132">
        <v>-473.74672349999997</v>
      </c>
      <c r="M217" s="132">
        <v>-423.9505418</v>
      </c>
      <c r="N217" s="132">
        <v>-49.796181799999999</v>
      </c>
      <c r="O217" s="132">
        <v>1422.65814</v>
      </c>
      <c r="P217" s="132">
        <v>1393.451487</v>
      </c>
      <c r="Q217" s="132">
        <v>388.47269399999999</v>
      </c>
      <c r="R217" s="132">
        <v>544.53161780000005</v>
      </c>
      <c r="S217" s="132">
        <v>460.4471752</v>
      </c>
      <c r="T217" s="132">
        <v>29.206652999999999</v>
      </c>
      <c r="U217" s="132">
        <v>2.142744</v>
      </c>
      <c r="V217" s="132">
        <v>1.3639958000000001</v>
      </c>
      <c r="W217" s="132">
        <v>0</v>
      </c>
      <c r="X217" s="132">
        <v>0.85037099999999999</v>
      </c>
      <c r="Y217" s="132">
        <v>0</v>
      </c>
      <c r="Z217" s="132">
        <v>32.3909655</v>
      </c>
      <c r="AA217" s="132">
        <v>1422.65814</v>
      </c>
    </row>
    <row r="218" spans="1:27" x14ac:dyDescent="0.35">
      <c r="A218" s="41">
        <v>42129</v>
      </c>
      <c r="B218" s="132">
        <v>1777.35</v>
      </c>
      <c r="C218" s="132">
        <v>902.11581450000006</v>
      </c>
      <c r="D218" s="132">
        <v>233.15780319999999</v>
      </c>
      <c r="E218" s="132">
        <v>0</v>
      </c>
      <c r="F218" s="132">
        <v>243.88969950000001</v>
      </c>
      <c r="G218" s="132">
        <v>194.74777950000001</v>
      </c>
      <c r="H218" s="132">
        <v>203.06964379999999</v>
      </c>
      <c r="I218" s="132">
        <v>0</v>
      </c>
      <c r="J218" s="132">
        <v>0.36896400000000001</v>
      </c>
      <c r="K218" s="132">
        <v>199.4212125</v>
      </c>
      <c r="L218" s="132">
        <v>-484.09353299999998</v>
      </c>
      <c r="M218" s="132">
        <v>-443.25521780000003</v>
      </c>
      <c r="N218" s="132">
        <v>-40.838315199999997</v>
      </c>
      <c r="O218" s="132">
        <v>1492.6773840000001</v>
      </c>
      <c r="P218" s="132">
        <v>1352.7547523000001</v>
      </c>
      <c r="Q218" s="132">
        <v>389.01767630000001</v>
      </c>
      <c r="R218" s="132">
        <v>510.86825929999998</v>
      </c>
      <c r="S218" s="132">
        <v>452.86881679999999</v>
      </c>
      <c r="T218" s="132">
        <v>139.92263170000001</v>
      </c>
      <c r="U218" s="132">
        <v>1.7086508</v>
      </c>
      <c r="V218" s="132">
        <v>1.2821054999999999</v>
      </c>
      <c r="W218" s="132">
        <v>0</v>
      </c>
      <c r="X218" s="132">
        <v>0.87137770000000003</v>
      </c>
      <c r="Y218" s="132">
        <v>0</v>
      </c>
      <c r="Z218" s="132">
        <v>30.881754000000001</v>
      </c>
      <c r="AA218" s="132">
        <v>1492.6773840000001</v>
      </c>
    </row>
    <row r="219" spans="1:27" x14ac:dyDescent="0.35">
      <c r="A219" s="41">
        <v>42130</v>
      </c>
      <c r="B219" s="132">
        <v>1796.923</v>
      </c>
      <c r="C219" s="132">
        <v>932.58337200000005</v>
      </c>
      <c r="D219" s="132">
        <v>137.31099599999999</v>
      </c>
      <c r="E219" s="132">
        <v>0</v>
      </c>
      <c r="F219" s="132">
        <v>250.64232899999999</v>
      </c>
      <c r="G219" s="132">
        <v>272.8795695</v>
      </c>
      <c r="H219" s="132">
        <v>203.13699299999999</v>
      </c>
      <c r="I219" s="132">
        <v>0</v>
      </c>
      <c r="J219" s="132">
        <v>0.37001849999999997</v>
      </c>
      <c r="K219" s="132">
        <v>198.75979129999999</v>
      </c>
      <c r="L219" s="132">
        <v>-566.68405429999996</v>
      </c>
      <c r="M219" s="132">
        <v>-526.41897070000005</v>
      </c>
      <c r="N219" s="132">
        <v>-40.265083500000003</v>
      </c>
      <c r="O219" s="132">
        <v>1428.9990150000001</v>
      </c>
      <c r="P219" s="132">
        <v>1380.5342505000001</v>
      </c>
      <c r="Q219" s="132">
        <v>391.9680563</v>
      </c>
      <c r="R219" s="132">
        <v>538.83409879999999</v>
      </c>
      <c r="S219" s="132">
        <v>449.73209550000001</v>
      </c>
      <c r="T219" s="132">
        <v>48.464764500000001</v>
      </c>
      <c r="U219" s="132">
        <v>1.9509637</v>
      </c>
      <c r="V219" s="132">
        <v>1.2164489999999999</v>
      </c>
      <c r="W219" s="132">
        <v>0</v>
      </c>
      <c r="X219" s="132">
        <v>0.74419950000000001</v>
      </c>
      <c r="Y219" s="132">
        <v>0</v>
      </c>
      <c r="Z219" s="132">
        <v>33.100422000000002</v>
      </c>
      <c r="AA219" s="132">
        <v>1428.9990150000001</v>
      </c>
    </row>
    <row r="220" spans="1:27" x14ac:dyDescent="0.35">
      <c r="A220" s="41">
        <v>42131</v>
      </c>
      <c r="B220" s="132">
        <v>1780.8040000000001</v>
      </c>
      <c r="C220" s="132">
        <v>945.86660329999995</v>
      </c>
      <c r="D220" s="132">
        <v>89.015700800000005</v>
      </c>
      <c r="E220" s="132">
        <v>0</v>
      </c>
      <c r="F220" s="132">
        <v>248.1803213</v>
      </c>
      <c r="G220" s="132">
        <v>294.20341880000001</v>
      </c>
      <c r="H220" s="132">
        <v>203.1252825</v>
      </c>
      <c r="I220" s="132">
        <v>0</v>
      </c>
      <c r="J220" s="132">
        <v>0.41250379999999998</v>
      </c>
      <c r="K220" s="132">
        <v>199.632057</v>
      </c>
      <c r="L220" s="132">
        <v>-643.32619650000004</v>
      </c>
      <c r="M220" s="132">
        <v>-603.33614320000004</v>
      </c>
      <c r="N220" s="132">
        <v>-39.9900533</v>
      </c>
      <c r="O220" s="132">
        <v>1337.1096908</v>
      </c>
      <c r="P220" s="132">
        <v>1308.3367424999999</v>
      </c>
      <c r="Q220" s="132">
        <v>389.14879500000001</v>
      </c>
      <c r="R220" s="132">
        <v>481.65477970000001</v>
      </c>
      <c r="S220" s="132">
        <v>437.5331678</v>
      </c>
      <c r="T220" s="132">
        <v>28.772948199999998</v>
      </c>
      <c r="U220" s="132">
        <v>1.8591945000000001</v>
      </c>
      <c r="V220" s="132">
        <v>1.2587955</v>
      </c>
      <c r="W220" s="132">
        <v>0</v>
      </c>
      <c r="X220" s="132">
        <v>0.8338042</v>
      </c>
      <c r="Y220" s="132">
        <v>0</v>
      </c>
      <c r="Z220" s="132">
        <v>33.1795373</v>
      </c>
      <c r="AA220" s="132">
        <v>1337.1096908</v>
      </c>
    </row>
    <row r="221" spans="1:27" x14ac:dyDescent="0.35">
      <c r="A221" s="41">
        <v>42132</v>
      </c>
      <c r="B221" s="132">
        <v>1779.6980000000001</v>
      </c>
      <c r="C221" s="132">
        <v>962.90615779999996</v>
      </c>
      <c r="D221" s="132">
        <v>35.615959500000002</v>
      </c>
      <c r="E221" s="132">
        <v>0</v>
      </c>
      <c r="F221" s="132">
        <v>249.8065268</v>
      </c>
      <c r="G221" s="132">
        <v>295.12868700000001</v>
      </c>
      <c r="H221" s="132">
        <v>235.86992169999999</v>
      </c>
      <c r="I221" s="132">
        <v>0</v>
      </c>
      <c r="J221" s="132">
        <v>0.37040699999999999</v>
      </c>
      <c r="K221" s="132">
        <v>202.06159729999999</v>
      </c>
      <c r="L221" s="132">
        <v>-671.31101699999999</v>
      </c>
      <c r="M221" s="132">
        <v>-631.49739829999999</v>
      </c>
      <c r="N221" s="132">
        <v>-39.8136188</v>
      </c>
      <c r="O221" s="132">
        <v>1310.4482399999999</v>
      </c>
      <c r="P221" s="132">
        <v>1316.1745358000001</v>
      </c>
      <c r="Q221" s="132">
        <v>370.23267449999997</v>
      </c>
      <c r="R221" s="132">
        <v>527.20757030000004</v>
      </c>
      <c r="S221" s="132">
        <v>418.73429099999998</v>
      </c>
      <c r="T221" s="132">
        <v>-5.7262956999999997</v>
      </c>
      <c r="U221" s="132">
        <v>1.9761053</v>
      </c>
      <c r="V221" s="132">
        <v>1.2651502999999999</v>
      </c>
      <c r="W221" s="132">
        <v>0</v>
      </c>
      <c r="X221" s="132">
        <v>0.81787580000000004</v>
      </c>
      <c r="Y221" s="132">
        <v>0</v>
      </c>
      <c r="Z221" s="132">
        <v>28.982460700000001</v>
      </c>
      <c r="AA221" s="132">
        <v>1310.4482399999999</v>
      </c>
    </row>
    <row r="222" spans="1:27" x14ac:dyDescent="0.35">
      <c r="A222" s="41">
        <v>42133</v>
      </c>
      <c r="B222" s="132">
        <v>1742.6859999999999</v>
      </c>
      <c r="C222" s="132">
        <v>888.99603079999997</v>
      </c>
      <c r="D222" s="132">
        <v>105.5688533</v>
      </c>
      <c r="E222" s="132">
        <v>0</v>
      </c>
      <c r="F222" s="132">
        <v>240.15013719999999</v>
      </c>
      <c r="G222" s="132">
        <v>320.87430449999999</v>
      </c>
      <c r="H222" s="132">
        <v>186.72728029999999</v>
      </c>
      <c r="I222" s="132">
        <v>0</v>
      </c>
      <c r="J222" s="132">
        <v>0.36971330000000002</v>
      </c>
      <c r="K222" s="132">
        <v>201.98334220000001</v>
      </c>
      <c r="L222" s="132">
        <v>-852.11111919999996</v>
      </c>
      <c r="M222" s="132">
        <v>-802.31416049999996</v>
      </c>
      <c r="N222" s="132">
        <v>-49.796958699999998</v>
      </c>
      <c r="O222" s="132">
        <v>1092.5585423</v>
      </c>
      <c r="P222" s="132">
        <v>1016.6157277999999</v>
      </c>
      <c r="Q222" s="132">
        <v>323.3829045</v>
      </c>
      <c r="R222" s="132">
        <v>362.29026379999999</v>
      </c>
      <c r="S222" s="132">
        <v>330.94255950000002</v>
      </c>
      <c r="T222" s="132">
        <v>75.942814499999997</v>
      </c>
      <c r="U222" s="132">
        <v>1.3311120000000001</v>
      </c>
      <c r="V222" s="132">
        <v>1.1017859999999999</v>
      </c>
      <c r="W222" s="132">
        <v>0</v>
      </c>
      <c r="X222" s="132">
        <v>0.75857399999999997</v>
      </c>
      <c r="Y222" s="132">
        <v>0</v>
      </c>
      <c r="Z222" s="132">
        <v>22.028199799999999</v>
      </c>
      <c r="AA222" s="132">
        <v>1092.5585423</v>
      </c>
    </row>
    <row r="223" spans="1:27" x14ac:dyDescent="0.35">
      <c r="A223" s="41">
        <v>42134</v>
      </c>
      <c r="B223" s="132">
        <v>1712.2750000000001</v>
      </c>
      <c r="C223" s="132">
        <v>888.63480900000002</v>
      </c>
      <c r="D223" s="132">
        <v>225.84576150000001</v>
      </c>
      <c r="E223" s="132">
        <v>0</v>
      </c>
      <c r="F223" s="132">
        <v>237.709497</v>
      </c>
      <c r="G223" s="132">
        <v>206.021883</v>
      </c>
      <c r="H223" s="132">
        <v>153.69431850000001</v>
      </c>
      <c r="I223" s="132">
        <v>0</v>
      </c>
      <c r="J223" s="132">
        <v>0.36865880000000001</v>
      </c>
      <c r="K223" s="132">
        <v>202.69318720000001</v>
      </c>
      <c r="L223" s="132">
        <v>-908.95446900000002</v>
      </c>
      <c r="M223" s="132">
        <v>-858.43334630000004</v>
      </c>
      <c r="N223" s="132">
        <v>-50.521122800000001</v>
      </c>
      <c r="O223" s="132">
        <v>1006.013646</v>
      </c>
      <c r="P223" s="132">
        <v>950.37495149999995</v>
      </c>
      <c r="Q223" s="132">
        <v>309.12420530000003</v>
      </c>
      <c r="R223" s="132">
        <v>328.53929849999997</v>
      </c>
      <c r="S223" s="132">
        <v>312.71144779999997</v>
      </c>
      <c r="T223" s="132">
        <v>55.6386945</v>
      </c>
      <c r="U223" s="132">
        <v>1.1817059999999999</v>
      </c>
      <c r="V223" s="132">
        <v>1.1749073000000001</v>
      </c>
      <c r="W223" s="132">
        <v>0</v>
      </c>
      <c r="X223" s="132">
        <v>0.66472350000000002</v>
      </c>
      <c r="Y223" s="132">
        <v>0</v>
      </c>
      <c r="Z223" s="132">
        <v>17.9473403</v>
      </c>
      <c r="AA223" s="132">
        <v>1006.013646</v>
      </c>
    </row>
    <row r="224" spans="1:27" x14ac:dyDescent="0.35">
      <c r="A224" s="41">
        <v>42135</v>
      </c>
      <c r="B224" s="132">
        <v>1907.713</v>
      </c>
      <c r="C224" s="132">
        <v>929.85976500000004</v>
      </c>
      <c r="D224" s="132">
        <v>239.994876</v>
      </c>
      <c r="E224" s="132">
        <v>0</v>
      </c>
      <c r="F224" s="132">
        <v>249.34293529999999</v>
      </c>
      <c r="G224" s="132">
        <v>286.16893349999998</v>
      </c>
      <c r="H224" s="132">
        <v>201.97793100000001</v>
      </c>
      <c r="I224" s="132">
        <v>0</v>
      </c>
      <c r="J224" s="132">
        <v>0.36890849999999997</v>
      </c>
      <c r="K224" s="132">
        <v>199.55041650000001</v>
      </c>
      <c r="L224" s="132">
        <v>-811.44704630000001</v>
      </c>
      <c r="M224" s="132">
        <v>-759.71696699999995</v>
      </c>
      <c r="N224" s="132">
        <v>-51.7300793</v>
      </c>
      <c r="O224" s="132">
        <v>1295.8167195000001</v>
      </c>
      <c r="P224" s="132">
        <v>1214.0306985</v>
      </c>
      <c r="Q224" s="132">
        <v>387.9444173</v>
      </c>
      <c r="R224" s="132">
        <v>408.45133429999998</v>
      </c>
      <c r="S224" s="132">
        <v>417.63494700000001</v>
      </c>
      <c r="T224" s="132">
        <v>81.786021000000005</v>
      </c>
      <c r="U224" s="132">
        <v>1.4745518</v>
      </c>
      <c r="V224" s="132">
        <v>1.3404914999999999</v>
      </c>
      <c r="W224" s="132">
        <v>0</v>
      </c>
      <c r="X224" s="132">
        <v>0.82622850000000003</v>
      </c>
      <c r="Y224" s="132">
        <v>0</v>
      </c>
      <c r="Z224" s="132">
        <v>24.417003000000001</v>
      </c>
      <c r="AA224" s="132">
        <v>1295.8167195000001</v>
      </c>
    </row>
    <row r="225" spans="1:27" x14ac:dyDescent="0.35">
      <c r="A225" s="41">
        <v>42136</v>
      </c>
      <c r="B225" s="132">
        <v>1899.7729999999999</v>
      </c>
      <c r="C225" s="132">
        <v>916.91616599999998</v>
      </c>
      <c r="D225" s="132">
        <v>239.35077079999999</v>
      </c>
      <c r="E225" s="132">
        <v>0</v>
      </c>
      <c r="F225" s="132">
        <v>247.12995599999999</v>
      </c>
      <c r="G225" s="132">
        <v>265.4055788</v>
      </c>
      <c r="H225" s="132">
        <v>230.60000249999999</v>
      </c>
      <c r="I225" s="132">
        <v>0</v>
      </c>
      <c r="J225" s="132">
        <v>0.37021270000000001</v>
      </c>
      <c r="K225" s="132">
        <v>201.89945399999999</v>
      </c>
      <c r="L225" s="132">
        <v>-723.71547680000003</v>
      </c>
      <c r="M225" s="132">
        <v>-685.96334999999999</v>
      </c>
      <c r="N225" s="132">
        <v>-37.752126799999999</v>
      </c>
      <c r="O225" s="132">
        <v>1377.956664</v>
      </c>
      <c r="P225" s="132">
        <v>1363.1356665000001</v>
      </c>
      <c r="Q225" s="132">
        <v>397.19579549999997</v>
      </c>
      <c r="R225" s="132">
        <v>539.14503749999994</v>
      </c>
      <c r="S225" s="132">
        <v>426.79483349999998</v>
      </c>
      <c r="T225" s="132">
        <v>14.820997500000001</v>
      </c>
      <c r="U225" s="132">
        <v>1.4772989999999999</v>
      </c>
      <c r="V225" s="132">
        <v>1.326117</v>
      </c>
      <c r="W225" s="132">
        <v>0</v>
      </c>
      <c r="X225" s="132">
        <v>0.753579</v>
      </c>
      <c r="Y225" s="132">
        <v>0</v>
      </c>
      <c r="Z225" s="132">
        <v>27.099734300000001</v>
      </c>
      <c r="AA225" s="132">
        <v>1377.956664</v>
      </c>
    </row>
    <row r="226" spans="1:27" x14ac:dyDescent="0.35">
      <c r="A226" s="41">
        <v>42137</v>
      </c>
      <c r="B226" s="132">
        <v>1881.2139999999999</v>
      </c>
      <c r="C226" s="132">
        <v>923.44413150000003</v>
      </c>
      <c r="D226" s="132">
        <v>238.6873793</v>
      </c>
      <c r="E226" s="132">
        <v>0</v>
      </c>
      <c r="F226" s="132">
        <v>245.75019829999999</v>
      </c>
      <c r="G226" s="132">
        <v>247.03455149999999</v>
      </c>
      <c r="H226" s="132">
        <v>225.90947550000001</v>
      </c>
      <c r="I226" s="132">
        <v>0</v>
      </c>
      <c r="J226" s="132">
        <v>0.38786179999999998</v>
      </c>
      <c r="K226" s="132">
        <v>201.03459749999999</v>
      </c>
      <c r="L226" s="132">
        <v>-653.25983629999996</v>
      </c>
      <c r="M226" s="132">
        <v>-618.68766530000005</v>
      </c>
      <c r="N226" s="132">
        <v>-34.572170999999997</v>
      </c>
      <c r="O226" s="132">
        <v>1428.9883589999999</v>
      </c>
      <c r="P226" s="132">
        <v>1384.3061415</v>
      </c>
      <c r="Q226" s="132">
        <v>401.90777329999997</v>
      </c>
      <c r="R226" s="132">
        <v>565.73389429999997</v>
      </c>
      <c r="S226" s="132">
        <v>416.66447399999998</v>
      </c>
      <c r="T226" s="132">
        <v>44.6822175</v>
      </c>
      <c r="U226" s="132">
        <v>1.4284589999999999</v>
      </c>
      <c r="V226" s="132">
        <v>1.0803075</v>
      </c>
      <c r="W226" s="132">
        <v>0</v>
      </c>
      <c r="X226" s="132">
        <v>0.725163</v>
      </c>
      <c r="Y226" s="132">
        <v>0</v>
      </c>
      <c r="Z226" s="132">
        <v>28.849926799999999</v>
      </c>
      <c r="AA226" s="132">
        <v>1428.9883589999999</v>
      </c>
    </row>
    <row r="227" spans="1:27" x14ac:dyDescent="0.35">
      <c r="A227" s="41">
        <v>42138</v>
      </c>
      <c r="B227" s="132">
        <v>1849.7660000000001</v>
      </c>
      <c r="C227" s="132">
        <v>926.85560550000002</v>
      </c>
      <c r="D227" s="132">
        <v>284.51750329999999</v>
      </c>
      <c r="E227" s="132">
        <v>0</v>
      </c>
      <c r="F227" s="132">
        <v>247.05450379999999</v>
      </c>
      <c r="G227" s="132">
        <v>217.28871599999999</v>
      </c>
      <c r="H227" s="132">
        <v>173.55629780000001</v>
      </c>
      <c r="I227" s="132">
        <v>0</v>
      </c>
      <c r="J227" s="132">
        <v>0.493062</v>
      </c>
      <c r="K227" s="132">
        <v>200.34517650000001</v>
      </c>
      <c r="L227" s="132">
        <v>-704.07294449999995</v>
      </c>
      <c r="M227" s="132">
        <v>-669.37045950000004</v>
      </c>
      <c r="N227" s="132">
        <v>-34.702485000000003</v>
      </c>
      <c r="O227" s="132">
        <v>1346.0379201999999</v>
      </c>
      <c r="P227" s="132">
        <v>1312.0181408000001</v>
      </c>
      <c r="Q227" s="132">
        <v>386.91233929999999</v>
      </c>
      <c r="R227" s="132">
        <v>511.84994330000001</v>
      </c>
      <c r="S227" s="132">
        <v>413.2558583</v>
      </c>
      <c r="T227" s="132">
        <v>34.019779499999999</v>
      </c>
      <c r="U227" s="132">
        <v>1.0103219999999999</v>
      </c>
      <c r="V227" s="132">
        <v>1.1767388000000001</v>
      </c>
      <c r="W227" s="132">
        <v>0</v>
      </c>
      <c r="X227" s="132">
        <v>0.75696450000000004</v>
      </c>
      <c r="Y227" s="132">
        <v>0</v>
      </c>
      <c r="Z227" s="132">
        <v>28.4453873</v>
      </c>
      <c r="AA227" s="132">
        <v>1346.0379201999999</v>
      </c>
    </row>
    <row r="228" spans="1:27" x14ac:dyDescent="0.35">
      <c r="A228" s="41">
        <v>42139</v>
      </c>
      <c r="B228" s="132">
        <v>1856.2090000000001</v>
      </c>
      <c r="C228" s="132">
        <v>955.8099555</v>
      </c>
      <c r="D228" s="132">
        <v>278.80214100000001</v>
      </c>
      <c r="E228" s="132">
        <v>0</v>
      </c>
      <c r="F228" s="132">
        <v>246.51637579999999</v>
      </c>
      <c r="G228" s="132">
        <v>201.11337979999999</v>
      </c>
      <c r="H228" s="132">
        <v>173.47315879999999</v>
      </c>
      <c r="I228" s="132">
        <v>0</v>
      </c>
      <c r="J228" s="132">
        <v>0.49444949999999999</v>
      </c>
      <c r="K228" s="132">
        <v>197.50352100000001</v>
      </c>
      <c r="L228" s="132">
        <v>-734.11514999999997</v>
      </c>
      <c r="M228" s="132">
        <v>-704.08723580000003</v>
      </c>
      <c r="N228" s="132">
        <v>-30.027914299999999</v>
      </c>
      <c r="O228" s="132">
        <v>1319.5978313000001</v>
      </c>
      <c r="P228" s="132">
        <v>1301.5241175000001</v>
      </c>
      <c r="Q228" s="132">
        <v>384.0853358</v>
      </c>
      <c r="R228" s="132">
        <v>503.05113979999999</v>
      </c>
      <c r="S228" s="132">
        <v>414.38764200000003</v>
      </c>
      <c r="T228" s="132">
        <v>18.0737138</v>
      </c>
      <c r="U228" s="132">
        <v>1.8843638</v>
      </c>
      <c r="V228" s="132">
        <v>1.2108989999999999</v>
      </c>
      <c r="W228" s="132">
        <v>0</v>
      </c>
      <c r="X228" s="132">
        <v>0.74386649999999999</v>
      </c>
      <c r="Y228" s="132">
        <v>0</v>
      </c>
      <c r="Z228" s="132">
        <v>27.956682000000001</v>
      </c>
      <c r="AA228" s="132">
        <v>1319.5978313000001</v>
      </c>
    </row>
    <row r="229" spans="1:27" x14ac:dyDescent="0.35">
      <c r="A229" s="41">
        <v>42140</v>
      </c>
      <c r="B229" s="132">
        <v>1686.7760000000001</v>
      </c>
      <c r="C229" s="132">
        <v>922.80210750000003</v>
      </c>
      <c r="D229" s="132">
        <v>262.55584800000003</v>
      </c>
      <c r="E229" s="132">
        <v>0</v>
      </c>
      <c r="F229" s="132">
        <v>241.26183</v>
      </c>
      <c r="G229" s="132">
        <v>150.0076755</v>
      </c>
      <c r="H229" s="132">
        <v>109.76354329999999</v>
      </c>
      <c r="I229" s="132">
        <v>0</v>
      </c>
      <c r="J229" s="132">
        <v>0.3847815</v>
      </c>
      <c r="K229" s="132">
        <v>195.15487200000001</v>
      </c>
      <c r="L229" s="132">
        <v>-772.56183150000004</v>
      </c>
      <c r="M229" s="132">
        <v>-734.67128779999996</v>
      </c>
      <c r="N229" s="132">
        <v>-37.890543800000003</v>
      </c>
      <c r="O229" s="132">
        <v>1109.3688262999999</v>
      </c>
      <c r="P229" s="132">
        <v>1065.8667885</v>
      </c>
      <c r="Q229" s="132">
        <v>326.10101700000001</v>
      </c>
      <c r="R229" s="132">
        <v>398.51361530000003</v>
      </c>
      <c r="S229" s="132">
        <v>341.25215630000002</v>
      </c>
      <c r="T229" s="132">
        <v>43.502037799999997</v>
      </c>
      <c r="U229" s="132">
        <v>1.2535784999999999</v>
      </c>
      <c r="V229" s="132">
        <v>1.1266223</v>
      </c>
      <c r="W229" s="132">
        <v>0</v>
      </c>
      <c r="X229" s="132">
        <v>0.69103049999999999</v>
      </c>
      <c r="Y229" s="132">
        <v>0</v>
      </c>
      <c r="Z229" s="132">
        <v>21.453747</v>
      </c>
      <c r="AA229" s="132">
        <v>1109.3688262999999</v>
      </c>
    </row>
    <row r="230" spans="1:27" x14ac:dyDescent="0.35">
      <c r="A230" s="41">
        <v>42141</v>
      </c>
      <c r="B230" s="132">
        <v>1639.058</v>
      </c>
      <c r="C230" s="132">
        <v>922.02177749999998</v>
      </c>
      <c r="D230" s="132">
        <v>256.76569949999998</v>
      </c>
      <c r="E230" s="132">
        <v>0</v>
      </c>
      <c r="F230" s="132">
        <v>218.64693980000001</v>
      </c>
      <c r="G230" s="132">
        <v>142.51437079999999</v>
      </c>
      <c r="H230" s="132">
        <v>98.740993500000002</v>
      </c>
      <c r="I230" s="132">
        <v>0</v>
      </c>
      <c r="J230" s="132">
        <v>0.36793730000000002</v>
      </c>
      <c r="K230" s="132">
        <v>199.37356579999999</v>
      </c>
      <c r="L230" s="132">
        <v>-866.36784829999999</v>
      </c>
      <c r="M230" s="132">
        <v>-828.51709800000003</v>
      </c>
      <c r="N230" s="132">
        <v>-37.8507502</v>
      </c>
      <c r="O230" s="132">
        <v>972.06343570000001</v>
      </c>
      <c r="P230" s="132">
        <v>954.72623480000004</v>
      </c>
      <c r="Q230" s="132">
        <v>303.85886479999999</v>
      </c>
      <c r="R230" s="132">
        <v>344.5303748</v>
      </c>
      <c r="S230" s="132">
        <v>306.33699530000001</v>
      </c>
      <c r="T230" s="132">
        <v>17.337201</v>
      </c>
      <c r="U230" s="132">
        <v>1.1064480000000001</v>
      </c>
      <c r="V230" s="132">
        <v>1.0945988</v>
      </c>
      <c r="W230" s="132">
        <v>0</v>
      </c>
      <c r="X230" s="132">
        <v>0.65553830000000002</v>
      </c>
      <c r="Y230" s="132">
        <v>0</v>
      </c>
      <c r="Z230" s="132">
        <v>17.604405799999999</v>
      </c>
      <c r="AA230" s="132">
        <v>972.06343570000001</v>
      </c>
    </row>
    <row r="231" spans="1:27" x14ac:dyDescent="0.35">
      <c r="A231" s="41">
        <v>42142</v>
      </c>
      <c r="B231" s="132">
        <v>1799.3009999999999</v>
      </c>
      <c r="C231" s="132">
        <v>918.10394929999995</v>
      </c>
      <c r="D231" s="132">
        <v>255.34803529999999</v>
      </c>
      <c r="E231" s="132">
        <v>0</v>
      </c>
      <c r="F231" s="132">
        <v>245.21182049999999</v>
      </c>
      <c r="G231" s="132">
        <v>237.46984800000001</v>
      </c>
      <c r="H231" s="132">
        <v>142.79922450000001</v>
      </c>
      <c r="I231" s="132">
        <v>0</v>
      </c>
      <c r="J231" s="132">
        <v>0.36815920000000002</v>
      </c>
      <c r="K231" s="132">
        <v>201.14185130000001</v>
      </c>
      <c r="L231" s="132">
        <v>-779.75704570000005</v>
      </c>
      <c r="M231" s="132">
        <v>-744.41744849999998</v>
      </c>
      <c r="N231" s="132">
        <v>-35.339597300000001</v>
      </c>
      <c r="O231" s="132">
        <v>1220.6858423000001</v>
      </c>
      <c r="P231" s="132">
        <v>1274.3093040000001</v>
      </c>
      <c r="Q231" s="132">
        <v>401.62269750000002</v>
      </c>
      <c r="R231" s="132">
        <v>465.85881369999998</v>
      </c>
      <c r="S231" s="132">
        <v>406.8277928</v>
      </c>
      <c r="T231" s="132">
        <v>-53.623461800000001</v>
      </c>
      <c r="U231" s="132">
        <v>1.4842919999999999</v>
      </c>
      <c r="V231" s="132">
        <v>1.212564</v>
      </c>
      <c r="W231" s="132">
        <v>0</v>
      </c>
      <c r="X231" s="132">
        <v>0.62917579999999995</v>
      </c>
      <c r="Y231" s="132">
        <v>0</v>
      </c>
      <c r="Z231" s="132">
        <v>27.1401383</v>
      </c>
      <c r="AA231" s="132">
        <v>1220.6858423000001</v>
      </c>
    </row>
    <row r="232" spans="1:27" x14ac:dyDescent="0.35">
      <c r="A232" s="41">
        <v>42143</v>
      </c>
      <c r="B232" s="132">
        <v>1788.1949999999999</v>
      </c>
      <c r="C232" s="132">
        <v>925.05091200000004</v>
      </c>
      <c r="D232" s="132">
        <v>251.71389529999999</v>
      </c>
      <c r="E232" s="132">
        <v>0</v>
      </c>
      <c r="F232" s="132">
        <v>235.60590819999999</v>
      </c>
      <c r="G232" s="132">
        <v>232.61182199999999</v>
      </c>
      <c r="H232" s="132">
        <v>142.84207050000001</v>
      </c>
      <c r="I232" s="132">
        <v>0</v>
      </c>
      <c r="J232" s="132">
        <v>0.36996299999999999</v>
      </c>
      <c r="K232" s="132">
        <v>199.5723113</v>
      </c>
      <c r="L232" s="132">
        <v>-618.98081630000001</v>
      </c>
      <c r="M232" s="132">
        <v>-597.14026200000001</v>
      </c>
      <c r="N232" s="132">
        <v>-21.840554300000001</v>
      </c>
      <c r="O232" s="132">
        <v>1368.7860659999999</v>
      </c>
      <c r="P232" s="132">
        <v>1342.1617448</v>
      </c>
      <c r="Q232" s="132">
        <v>396.44321550000001</v>
      </c>
      <c r="R232" s="132">
        <v>531.2466938</v>
      </c>
      <c r="S232" s="132">
        <v>414.4718355</v>
      </c>
      <c r="T232" s="132">
        <v>26.624321299999998</v>
      </c>
      <c r="U232" s="132">
        <v>1.686534</v>
      </c>
      <c r="V232" s="132">
        <v>1.2072915</v>
      </c>
      <c r="W232" s="132">
        <v>0</v>
      </c>
      <c r="X232" s="132">
        <v>0.74539279999999997</v>
      </c>
      <c r="Y232" s="132">
        <v>0</v>
      </c>
      <c r="Z232" s="132">
        <v>27.794511</v>
      </c>
      <c r="AA232" s="132">
        <v>1368.7860659999999</v>
      </c>
    </row>
    <row r="233" spans="1:27" x14ac:dyDescent="0.35">
      <c r="A233" s="41">
        <v>42144</v>
      </c>
      <c r="B233" s="132">
        <v>1825.5050000000001</v>
      </c>
      <c r="C233" s="132">
        <v>926.313759</v>
      </c>
      <c r="D233" s="132">
        <v>252.62795249999999</v>
      </c>
      <c r="E233" s="132">
        <v>0</v>
      </c>
      <c r="F233" s="132">
        <v>236.98236370000001</v>
      </c>
      <c r="G233" s="132">
        <v>266.34738599999997</v>
      </c>
      <c r="H233" s="132">
        <v>142.7491358</v>
      </c>
      <c r="I233" s="132">
        <v>0</v>
      </c>
      <c r="J233" s="132">
        <v>0.48426530000000001</v>
      </c>
      <c r="K233" s="132">
        <v>197.9189385</v>
      </c>
      <c r="L233" s="132">
        <v>-651.96435529999997</v>
      </c>
      <c r="M233" s="132">
        <v>-630.18407400000001</v>
      </c>
      <c r="N233" s="132">
        <v>-21.780281299999999</v>
      </c>
      <c r="O233" s="132">
        <v>1371.4594454999999</v>
      </c>
      <c r="P233" s="132">
        <v>1362.8222579999999</v>
      </c>
      <c r="Q233" s="132">
        <v>392.49716549999999</v>
      </c>
      <c r="R233" s="132">
        <v>543.43601999999998</v>
      </c>
      <c r="S233" s="132">
        <v>426.8890725</v>
      </c>
      <c r="T233" s="132">
        <v>8.6371874999999996</v>
      </c>
      <c r="U233" s="132">
        <v>2.1596438</v>
      </c>
      <c r="V233" s="132">
        <v>1.2895425</v>
      </c>
      <c r="W233" s="132">
        <v>0</v>
      </c>
      <c r="X233" s="132">
        <v>0.75962850000000004</v>
      </c>
      <c r="Y233" s="132">
        <v>0</v>
      </c>
      <c r="Z233" s="132">
        <v>28.451076</v>
      </c>
      <c r="AA233" s="132">
        <v>1371.4594454999999</v>
      </c>
    </row>
    <row r="234" spans="1:27" x14ac:dyDescent="0.35">
      <c r="A234" s="41">
        <v>42145</v>
      </c>
      <c r="B234" s="132">
        <v>1842.34</v>
      </c>
      <c r="C234" s="132">
        <v>930.27348979999999</v>
      </c>
      <c r="D234" s="132">
        <v>240.50547599999999</v>
      </c>
      <c r="E234" s="132">
        <v>0</v>
      </c>
      <c r="F234" s="132">
        <v>238.88895529999999</v>
      </c>
      <c r="G234" s="132">
        <v>289.41529500000001</v>
      </c>
      <c r="H234" s="132">
        <v>142.80122249999999</v>
      </c>
      <c r="I234" s="132">
        <v>0</v>
      </c>
      <c r="J234" s="132">
        <v>0.45543299999999998</v>
      </c>
      <c r="K234" s="132">
        <v>199.44979499999999</v>
      </c>
      <c r="L234" s="132">
        <v>-635.09798850000004</v>
      </c>
      <c r="M234" s="132">
        <v>-614.32039799999995</v>
      </c>
      <c r="N234" s="132">
        <v>-20.777590499999999</v>
      </c>
      <c r="O234" s="132">
        <v>1406.6916779999999</v>
      </c>
      <c r="P234" s="132">
        <v>1345.8098152</v>
      </c>
      <c r="Q234" s="132">
        <v>406.81630430000001</v>
      </c>
      <c r="R234" s="132">
        <v>492.31577479999999</v>
      </c>
      <c r="S234" s="132">
        <v>446.67773629999999</v>
      </c>
      <c r="T234" s="132">
        <v>60.881862699999999</v>
      </c>
      <c r="U234" s="132">
        <v>2.311131</v>
      </c>
      <c r="V234" s="132">
        <v>1.3327492999999999</v>
      </c>
      <c r="W234" s="132">
        <v>0</v>
      </c>
      <c r="X234" s="132">
        <v>0.82173300000000005</v>
      </c>
      <c r="Y234" s="132">
        <v>0</v>
      </c>
      <c r="Z234" s="132">
        <v>27.128150300000001</v>
      </c>
      <c r="AA234" s="132">
        <v>1406.6916779999999</v>
      </c>
    </row>
    <row r="235" spans="1:27" x14ac:dyDescent="0.35">
      <c r="A235" s="41">
        <v>42146</v>
      </c>
      <c r="B235" s="132">
        <v>1806.204</v>
      </c>
      <c r="C235" s="132">
        <v>931.29893549999997</v>
      </c>
      <c r="D235" s="132">
        <v>244.55750330000001</v>
      </c>
      <c r="E235" s="132">
        <v>0</v>
      </c>
      <c r="F235" s="132">
        <v>233.38843349999999</v>
      </c>
      <c r="G235" s="132">
        <v>253.80524629999999</v>
      </c>
      <c r="H235" s="132">
        <v>142.78188080000001</v>
      </c>
      <c r="I235" s="132">
        <v>0</v>
      </c>
      <c r="J235" s="132">
        <v>0.37204429999999999</v>
      </c>
      <c r="K235" s="132">
        <v>200.56953519999999</v>
      </c>
      <c r="L235" s="132">
        <v>-662.11433399999999</v>
      </c>
      <c r="M235" s="132">
        <v>-635.16042600000003</v>
      </c>
      <c r="N235" s="132">
        <v>-26.953907999999998</v>
      </c>
      <c r="O235" s="132">
        <v>1344.6592447</v>
      </c>
      <c r="P235" s="132">
        <v>1295.8177740000001</v>
      </c>
      <c r="Q235" s="132">
        <v>395.05887899999999</v>
      </c>
      <c r="R235" s="132">
        <v>456.78592350000002</v>
      </c>
      <c r="S235" s="132">
        <v>443.97297150000003</v>
      </c>
      <c r="T235" s="132">
        <v>48.841470700000002</v>
      </c>
      <c r="U235" s="132">
        <v>1.8137122999999999</v>
      </c>
      <c r="V235" s="132">
        <v>1.3492328</v>
      </c>
      <c r="W235" s="132">
        <v>0</v>
      </c>
      <c r="X235" s="132">
        <v>0.93120670000000005</v>
      </c>
      <c r="Y235" s="132">
        <v>0</v>
      </c>
      <c r="Z235" s="132">
        <v>27.770035499999999</v>
      </c>
      <c r="AA235" s="132">
        <v>1344.6592447</v>
      </c>
    </row>
    <row r="236" spans="1:27" x14ac:dyDescent="0.35">
      <c r="A236" s="41">
        <v>42147</v>
      </c>
      <c r="B236" s="132">
        <v>1736.5609999999999</v>
      </c>
      <c r="C236" s="132">
        <v>912.50818949999996</v>
      </c>
      <c r="D236" s="132">
        <v>250.2221663</v>
      </c>
      <c r="E236" s="132">
        <v>0</v>
      </c>
      <c r="F236" s="132">
        <v>225.73206970000001</v>
      </c>
      <c r="G236" s="132">
        <v>243.36927600000001</v>
      </c>
      <c r="H236" s="132">
        <v>104.3580098</v>
      </c>
      <c r="I236" s="132">
        <v>0</v>
      </c>
      <c r="J236" s="132">
        <v>0.37118400000000001</v>
      </c>
      <c r="K236" s="132">
        <v>200.3282768</v>
      </c>
      <c r="L236" s="132">
        <v>-824.36769600000002</v>
      </c>
      <c r="M236" s="132">
        <v>-779.01775799999996</v>
      </c>
      <c r="N236" s="132">
        <v>-45.349938000000002</v>
      </c>
      <c r="O236" s="132">
        <v>1112.5214759999999</v>
      </c>
      <c r="P236" s="132">
        <v>1026.1767405000001</v>
      </c>
      <c r="Q236" s="132">
        <v>327.88495349999999</v>
      </c>
      <c r="R236" s="132">
        <v>323.9616585</v>
      </c>
      <c r="S236" s="132">
        <v>374.3301285</v>
      </c>
      <c r="T236" s="132">
        <v>86.344735499999999</v>
      </c>
      <c r="U236" s="132">
        <v>1.4515193</v>
      </c>
      <c r="V236" s="132">
        <v>1.1641957999999999</v>
      </c>
      <c r="W236" s="132">
        <v>0</v>
      </c>
      <c r="X236" s="132">
        <v>0.88980380000000003</v>
      </c>
      <c r="Y236" s="132">
        <v>0</v>
      </c>
      <c r="Z236" s="132">
        <v>21.9705908</v>
      </c>
      <c r="AA236" s="132">
        <v>1112.5214759999999</v>
      </c>
    </row>
    <row r="237" spans="1:27" x14ac:dyDescent="0.35">
      <c r="A237" s="41">
        <v>42148</v>
      </c>
      <c r="B237" s="132">
        <v>1678.441</v>
      </c>
      <c r="C237" s="132">
        <v>913.49403600000005</v>
      </c>
      <c r="D237" s="132">
        <v>256.60069800000002</v>
      </c>
      <c r="E237" s="132">
        <v>0</v>
      </c>
      <c r="F237" s="132">
        <v>191.57795250000001</v>
      </c>
      <c r="G237" s="132">
        <v>217.61458429999999</v>
      </c>
      <c r="H237" s="132">
        <v>98.782840500000006</v>
      </c>
      <c r="I237" s="132">
        <v>0</v>
      </c>
      <c r="J237" s="132">
        <v>0.37060130000000002</v>
      </c>
      <c r="K237" s="132">
        <v>200.4863963</v>
      </c>
      <c r="L237" s="132">
        <v>-832.59504379999998</v>
      </c>
      <c r="M237" s="132">
        <v>-786.19951349999997</v>
      </c>
      <c r="N237" s="132">
        <v>-46.395530299999997</v>
      </c>
      <c r="O237" s="132">
        <v>1046.3320650000001</v>
      </c>
      <c r="P237" s="132">
        <v>962.57138169999996</v>
      </c>
      <c r="Q237" s="132">
        <v>302.69192179999999</v>
      </c>
      <c r="R237" s="132">
        <v>318.96588150000002</v>
      </c>
      <c r="S237" s="132">
        <v>340.91357850000003</v>
      </c>
      <c r="T237" s="132">
        <v>83.760683299999997</v>
      </c>
      <c r="U237" s="132">
        <v>1.2918457999999999</v>
      </c>
      <c r="V237" s="132">
        <v>1.2247185</v>
      </c>
      <c r="W237" s="132">
        <v>0</v>
      </c>
      <c r="X237" s="132">
        <v>0.81729300000000005</v>
      </c>
      <c r="Y237" s="132">
        <v>0</v>
      </c>
      <c r="Z237" s="132">
        <v>21.1100633</v>
      </c>
      <c r="AA237" s="132">
        <v>1046.3320650000001</v>
      </c>
    </row>
    <row r="238" spans="1:27" x14ac:dyDescent="0.35">
      <c r="A238" s="41">
        <v>42149</v>
      </c>
      <c r="B238" s="132">
        <v>1902.0650000000001</v>
      </c>
      <c r="C238" s="132">
        <v>920.01345449999997</v>
      </c>
      <c r="D238" s="132">
        <v>251.56163100000001</v>
      </c>
      <c r="E238" s="132">
        <v>0</v>
      </c>
      <c r="F238" s="132">
        <v>217.6004595</v>
      </c>
      <c r="G238" s="132">
        <v>336.58088780000003</v>
      </c>
      <c r="H238" s="132">
        <v>175.93749750000001</v>
      </c>
      <c r="I238" s="132">
        <v>0</v>
      </c>
      <c r="J238" s="132">
        <v>0.37068449999999997</v>
      </c>
      <c r="K238" s="132">
        <v>185.0827597</v>
      </c>
      <c r="L238" s="132">
        <v>-814.43086500000004</v>
      </c>
      <c r="M238" s="132">
        <v>-789.61293000000001</v>
      </c>
      <c r="N238" s="132">
        <v>-24.817934999999999</v>
      </c>
      <c r="O238" s="132">
        <v>1272.7165095</v>
      </c>
      <c r="P238" s="132">
        <v>1257.9609465000001</v>
      </c>
      <c r="Q238" s="132">
        <v>397.19221579999999</v>
      </c>
      <c r="R238" s="132">
        <v>425.32014299999997</v>
      </c>
      <c r="S238" s="132">
        <v>435.44858779999998</v>
      </c>
      <c r="T238" s="132">
        <v>14.755563</v>
      </c>
      <c r="U238" s="132">
        <v>1.4077853</v>
      </c>
      <c r="V238" s="132">
        <v>1.3558927999999999</v>
      </c>
      <c r="W238" s="132">
        <v>0</v>
      </c>
      <c r="X238" s="132">
        <v>0.86038879999999995</v>
      </c>
      <c r="Y238" s="132">
        <v>0</v>
      </c>
      <c r="Z238" s="132">
        <v>28.472970799999999</v>
      </c>
      <c r="AA238" s="132">
        <v>1272.7165095</v>
      </c>
    </row>
    <row r="239" spans="1:27" x14ac:dyDescent="0.35">
      <c r="A239" s="41">
        <v>42150</v>
      </c>
      <c r="B239" s="132">
        <v>1877.7380000000001</v>
      </c>
      <c r="C239" s="132">
        <v>928.16876319999994</v>
      </c>
      <c r="D239" s="132">
        <v>257.54414250000002</v>
      </c>
      <c r="E239" s="132">
        <v>0</v>
      </c>
      <c r="F239" s="132">
        <v>227.98328849999999</v>
      </c>
      <c r="G239" s="132">
        <v>282.64263</v>
      </c>
      <c r="H239" s="132">
        <v>181.39908600000001</v>
      </c>
      <c r="I239" s="132">
        <v>0</v>
      </c>
      <c r="J239" s="132">
        <v>0</v>
      </c>
      <c r="K239" s="132">
        <v>191.1048705</v>
      </c>
      <c r="L239" s="132">
        <v>-749.23989900000004</v>
      </c>
      <c r="M239" s="132">
        <v>-721.21128899999997</v>
      </c>
      <c r="N239" s="132">
        <v>-28.02861</v>
      </c>
      <c r="O239" s="132">
        <v>1319.6028816999999</v>
      </c>
      <c r="P239" s="132">
        <v>1338.3541673</v>
      </c>
      <c r="Q239" s="132">
        <v>399.00823120000001</v>
      </c>
      <c r="R239" s="132">
        <v>488.8863743</v>
      </c>
      <c r="S239" s="132">
        <v>450.45956180000002</v>
      </c>
      <c r="T239" s="132">
        <v>-18.751285500000002</v>
      </c>
      <c r="U239" s="132">
        <v>1.6591448</v>
      </c>
      <c r="V239" s="132">
        <v>1.4011530000000001</v>
      </c>
      <c r="W239" s="132">
        <v>0</v>
      </c>
      <c r="X239" s="132">
        <v>0.87509630000000005</v>
      </c>
      <c r="Y239" s="132">
        <v>0</v>
      </c>
      <c r="Z239" s="132">
        <v>28.942112300000002</v>
      </c>
      <c r="AA239" s="132">
        <v>1319.6028816999999</v>
      </c>
    </row>
    <row r="240" spans="1:27" x14ac:dyDescent="0.35">
      <c r="A240" s="41">
        <v>42151</v>
      </c>
      <c r="B240" s="132">
        <v>1864.146</v>
      </c>
      <c r="C240" s="132">
        <v>926.57455349999998</v>
      </c>
      <c r="D240" s="132">
        <v>252.6655537</v>
      </c>
      <c r="E240" s="132">
        <v>0</v>
      </c>
      <c r="F240" s="132">
        <v>220.7877135</v>
      </c>
      <c r="G240" s="132">
        <v>276.9007388</v>
      </c>
      <c r="H240" s="132">
        <v>186.84785400000001</v>
      </c>
      <c r="I240" s="132">
        <v>0</v>
      </c>
      <c r="J240" s="132">
        <v>0.36929699999999999</v>
      </c>
      <c r="K240" s="132">
        <v>196.7863778</v>
      </c>
      <c r="L240" s="132">
        <v>-740.12335800000005</v>
      </c>
      <c r="M240" s="132">
        <v>-711.63429229999997</v>
      </c>
      <c r="N240" s="132">
        <v>-28.489065799999999</v>
      </c>
      <c r="O240" s="132">
        <v>1320.8087303</v>
      </c>
      <c r="P240" s="132">
        <v>1284.7843740000001</v>
      </c>
      <c r="Q240" s="132">
        <v>395.6164043</v>
      </c>
      <c r="R240" s="132">
        <v>445.70360030000001</v>
      </c>
      <c r="S240" s="132">
        <v>443.46436949999998</v>
      </c>
      <c r="T240" s="132">
        <v>36.0243562</v>
      </c>
      <c r="U240" s="132">
        <v>1.6550100000000001</v>
      </c>
      <c r="V240" s="132">
        <v>1.3262558</v>
      </c>
      <c r="W240" s="132">
        <v>0</v>
      </c>
      <c r="X240" s="132">
        <v>0.90600979999999998</v>
      </c>
      <c r="Y240" s="132">
        <v>0</v>
      </c>
      <c r="Z240" s="132">
        <v>28.523531299999998</v>
      </c>
      <c r="AA240" s="132">
        <v>1320.8087303</v>
      </c>
    </row>
    <row r="241" spans="1:27" x14ac:dyDescent="0.35">
      <c r="A241" s="41">
        <v>42152</v>
      </c>
    </row>
    <row r="242" spans="1:27" x14ac:dyDescent="0.35">
      <c r="A242" s="41">
        <v>42153</v>
      </c>
    </row>
    <row r="243" spans="1:27" x14ac:dyDescent="0.35">
      <c r="A243" s="41">
        <v>42154</v>
      </c>
    </row>
    <row r="244" spans="1:27" x14ac:dyDescent="0.35">
      <c r="A244" s="41">
        <v>42155</v>
      </c>
    </row>
    <row r="245" spans="1:27" x14ac:dyDescent="0.35">
      <c r="A245" s="41">
        <v>42156</v>
      </c>
      <c r="B245">
        <v>1634.3340000000001</v>
      </c>
      <c r="C245" s="132">
        <v>817.85132999999996</v>
      </c>
      <c r="D245" s="132">
        <v>249.05785950000001</v>
      </c>
      <c r="E245" s="132">
        <v>0</v>
      </c>
      <c r="F245" s="132">
        <v>242.83297949999999</v>
      </c>
      <c r="G245" s="132">
        <v>134.69516999999999</v>
      </c>
      <c r="H245" s="132">
        <v>189.5310848</v>
      </c>
      <c r="I245" s="132">
        <v>0</v>
      </c>
      <c r="J245" s="132">
        <v>0.36602249999999997</v>
      </c>
      <c r="K245" s="132">
        <v>197.22874049999999</v>
      </c>
      <c r="L245" s="132">
        <v>-746.99511819999998</v>
      </c>
      <c r="M245" s="132">
        <v>-708.28314680000005</v>
      </c>
      <c r="N245" s="132">
        <v>-38.711971499999997</v>
      </c>
      <c r="O245" s="132">
        <v>1084.5680685</v>
      </c>
      <c r="P245" s="132">
        <v>1045.868418</v>
      </c>
      <c r="Q245" s="132">
        <v>319.66296149999999</v>
      </c>
      <c r="R245" s="132">
        <v>392.52216829999998</v>
      </c>
      <c r="S245" s="132">
        <v>333.68328830000002</v>
      </c>
      <c r="T245" s="132">
        <v>38.699650499999997</v>
      </c>
      <c r="U245" s="132">
        <v>1.5310508</v>
      </c>
      <c r="V245" s="132">
        <v>1.4140013</v>
      </c>
      <c r="W245" s="132">
        <v>0</v>
      </c>
      <c r="X245" s="132">
        <v>0.81698780000000004</v>
      </c>
      <c r="Y245" s="132">
        <v>0</v>
      </c>
      <c r="Z245" s="132">
        <v>22.561249499999999</v>
      </c>
      <c r="AA245" s="132">
        <v>1084.5680685</v>
      </c>
    </row>
    <row r="246" spans="1:27" x14ac:dyDescent="0.35">
      <c r="A246" s="41">
        <v>42157</v>
      </c>
      <c r="B246" s="132">
        <v>1564.5840000000001</v>
      </c>
      <c r="C246" s="132">
        <v>829.48870880000004</v>
      </c>
      <c r="D246" s="132">
        <v>247.07015469999999</v>
      </c>
      <c r="E246" s="132">
        <v>0</v>
      </c>
      <c r="F246" s="132">
        <v>210.42011930000001</v>
      </c>
      <c r="G246" s="132">
        <v>98.581153499999999</v>
      </c>
      <c r="H246" s="132">
        <v>178.6589955</v>
      </c>
      <c r="I246" s="132">
        <v>0</v>
      </c>
      <c r="J246" s="132">
        <v>0.36532870000000001</v>
      </c>
      <c r="K246" s="132">
        <v>191.1971393</v>
      </c>
      <c r="L246" s="132">
        <v>-793.83881099999996</v>
      </c>
      <c r="M246" s="132">
        <v>-747.83910679999997</v>
      </c>
      <c r="N246" s="132">
        <v>-45.999704299999998</v>
      </c>
      <c r="O246" s="132">
        <v>961.94278880000002</v>
      </c>
      <c r="P246" s="132">
        <v>940.23671100000001</v>
      </c>
      <c r="Q246" s="132">
        <v>296.06194729999999</v>
      </c>
      <c r="R246" s="132">
        <v>337.24416830000001</v>
      </c>
      <c r="S246" s="132">
        <v>306.93059549999998</v>
      </c>
      <c r="T246" s="132">
        <v>21.706077700000002</v>
      </c>
      <c r="U246" s="132">
        <v>1.5174810000000001</v>
      </c>
      <c r="V246" s="132">
        <v>1.355199</v>
      </c>
      <c r="W246" s="132">
        <v>0</v>
      </c>
      <c r="X246" s="132">
        <v>0.7736423</v>
      </c>
      <c r="Y246" s="132">
        <v>0</v>
      </c>
      <c r="Z246" s="132">
        <v>21.9361253</v>
      </c>
      <c r="AA246" s="132">
        <v>961.94278880000002</v>
      </c>
    </row>
    <row r="247" spans="1:27" x14ac:dyDescent="0.35">
      <c r="A247" s="41">
        <v>42158</v>
      </c>
      <c r="B247" s="132">
        <v>1604.2929999999999</v>
      </c>
      <c r="C247" s="132">
        <v>843.15394649999996</v>
      </c>
      <c r="D247" s="132">
        <v>246.89355380000001</v>
      </c>
      <c r="E247" s="132">
        <v>0</v>
      </c>
      <c r="F247" s="132">
        <v>241.8293175</v>
      </c>
      <c r="G247" s="132">
        <v>68.618285299999997</v>
      </c>
      <c r="H247" s="132">
        <v>203.43549970000001</v>
      </c>
      <c r="I247" s="132">
        <v>0</v>
      </c>
      <c r="J247" s="132">
        <v>0.36233179999999998</v>
      </c>
      <c r="K247" s="132">
        <v>190.20205200000001</v>
      </c>
      <c r="L247" s="132">
        <v>-485.98846950000001</v>
      </c>
      <c r="M247" s="132">
        <v>-448.56099</v>
      </c>
      <c r="N247" s="132">
        <v>-37.427479499999997</v>
      </c>
      <c r="O247" s="132">
        <v>1308.506517</v>
      </c>
      <c r="P247" s="132">
        <v>1261.0926727999999</v>
      </c>
      <c r="Q247" s="132">
        <v>373.83825969999998</v>
      </c>
      <c r="R247" s="132">
        <v>488.78031370000002</v>
      </c>
      <c r="S247" s="132">
        <v>398.47409929999998</v>
      </c>
      <c r="T247" s="132">
        <v>47.4138442</v>
      </c>
      <c r="U247" s="132">
        <v>1.3319445000000001</v>
      </c>
      <c r="V247" s="132">
        <v>1.3153778</v>
      </c>
      <c r="W247" s="132">
        <v>0</v>
      </c>
      <c r="X247" s="132">
        <v>0.71617200000000003</v>
      </c>
      <c r="Y247" s="132">
        <v>0</v>
      </c>
      <c r="Z247" s="132">
        <v>28.058441299999998</v>
      </c>
      <c r="AA247" s="132">
        <v>1308.506517</v>
      </c>
    </row>
    <row r="248" spans="1:27" x14ac:dyDescent="0.35">
      <c r="A248" s="41">
        <v>42159</v>
      </c>
      <c r="B248" s="132">
        <v>1748.875</v>
      </c>
      <c r="C248" s="132">
        <v>858.41475379999997</v>
      </c>
      <c r="D248" s="132">
        <v>246.79046249999999</v>
      </c>
      <c r="E248" s="132">
        <v>0</v>
      </c>
      <c r="F248" s="132">
        <v>241.74709429999999</v>
      </c>
      <c r="G248" s="132">
        <v>214.67444399999999</v>
      </c>
      <c r="H248" s="132">
        <v>186.8914493</v>
      </c>
      <c r="I248" s="132">
        <v>0</v>
      </c>
      <c r="J248" s="132">
        <v>0.35644880000000001</v>
      </c>
      <c r="K248" s="132">
        <v>195.82586699999999</v>
      </c>
      <c r="L248" s="132">
        <v>-527.56401900000003</v>
      </c>
      <c r="M248" s="132">
        <v>-493.7493953</v>
      </c>
      <c r="N248" s="132">
        <v>-33.8146238</v>
      </c>
      <c r="O248" s="132">
        <v>1417.1365005</v>
      </c>
      <c r="P248" s="132">
        <v>1346.1343793000001</v>
      </c>
      <c r="Q248" s="132">
        <v>374.451618</v>
      </c>
      <c r="R248" s="132">
        <v>561.44199600000002</v>
      </c>
      <c r="S248" s="132">
        <v>410.2407652</v>
      </c>
      <c r="T248" s="132">
        <v>71.002121299999999</v>
      </c>
      <c r="U248" s="132">
        <v>1.0447598</v>
      </c>
      <c r="V248" s="132">
        <v>1.2848250000000001</v>
      </c>
      <c r="W248" s="132">
        <v>0</v>
      </c>
      <c r="X248" s="132">
        <v>0.63533629999999996</v>
      </c>
      <c r="Y248" s="132">
        <v>0</v>
      </c>
      <c r="Z248" s="132">
        <v>30.258211500000002</v>
      </c>
      <c r="AA248" s="132">
        <v>1417.1365005</v>
      </c>
    </row>
    <row r="249" spans="1:27" x14ac:dyDescent="0.35">
      <c r="A249" s="41">
        <v>42160</v>
      </c>
      <c r="B249" s="132">
        <v>1808.4780000000001</v>
      </c>
      <c r="C249" s="132">
        <v>903.03703129999997</v>
      </c>
      <c r="D249" s="132">
        <v>246.906069</v>
      </c>
      <c r="E249" s="132">
        <v>0</v>
      </c>
      <c r="F249" s="132">
        <v>234.75464930000001</v>
      </c>
      <c r="G249" s="132">
        <v>236.50664549999999</v>
      </c>
      <c r="H249" s="132">
        <v>186.86389349999999</v>
      </c>
      <c r="I249" s="132">
        <v>0</v>
      </c>
      <c r="J249" s="132">
        <v>0.40992299999999998</v>
      </c>
      <c r="K249" s="132">
        <v>191.69433599999999</v>
      </c>
      <c r="L249" s="132">
        <v>-621.86320880000005</v>
      </c>
      <c r="M249" s="132">
        <v>-586.52108629999998</v>
      </c>
      <c r="N249" s="132">
        <v>-35.342122500000002</v>
      </c>
      <c r="O249" s="132">
        <v>1378.3093388</v>
      </c>
      <c r="P249" s="132">
        <v>1379.1141998000001</v>
      </c>
      <c r="Q249" s="132">
        <v>369.13138800000002</v>
      </c>
      <c r="R249" s="132">
        <v>445.42160469999999</v>
      </c>
      <c r="S249" s="132">
        <v>564.56120699999997</v>
      </c>
      <c r="T249" s="132">
        <v>-0.80486100000000005</v>
      </c>
      <c r="U249" s="132">
        <v>1.4293469999999999</v>
      </c>
      <c r="V249" s="132">
        <v>1.3172647</v>
      </c>
      <c r="W249" s="132">
        <v>0</v>
      </c>
      <c r="X249" s="132">
        <v>1.1828993000000001</v>
      </c>
      <c r="Y249" s="132">
        <v>0</v>
      </c>
      <c r="Z249" s="132">
        <v>28.450854</v>
      </c>
      <c r="AA249" s="132">
        <v>1378.3093388</v>
      </c>
    </row>
    <row r="250" spans="1:27" x14ac:dyDescent="0.35">
      <c r="A250" s="41">
        <v>42161</v>
      </c>
      <c r="B250" s="132">
        <v>1616.874</v>
      </c>
      <c r="C250" s="132">
        <v>819.4905225</v>
      </c>
      <c r="D250" s="132">
        <v>257.2002367</v>
      </c>
      <c r="E250" s="132">
        <v>0</v>
      </c>
      <c r="F250" s="132">
        <v>233.68879949999999</v>
      </c>
      <c r="G250" s="132">
        <v>130.16986650000001</v>
      </c>
      <c r="H250" s="132">
        <v>175.85619</v>
      </c>
      <c r="I250" s="132">
        <v>0</v>
      </c>
      <c r="J250" s="132">
        <v>0.46839229999999998</v>
      </c>
      <c r="K250" s="132">
        <v>195.63885970000001</v>
      </c>
      <c r="L250" s="132">
        <v>-722.54900550000002</v>
      </c>
      <c r="M250" s="132">
        <v>-674.75179500000002</v>
      </c>
      <c r="N250" s="132">
        <v>-47.797210499999998</v>
      </c>
      <c r="O250" s="132">
        <v>1089.9638617999999</v>
      </c>
      <c r="P250" s="132">
        <v>1051.22217</v>
      </c>
      <c r="Q250" s="132">
        <v>315.12084149999998</v>
      </c>
      <c r="R250" s="132">
        <v>432.042081</v>
      </c>
      <c r="S250" s="132">
        <v>304.05924750000003</v>
      </c>
      <c r="T250" s="132">
        <v>38.741691699999997</v>
      </c>
      <c r="U250" s="132">
        <v>0.85256330000000002</v>
      </c>
      <c r="V250" s="132">
        <v>1.1620868</v>
      </c>
      <c r="W250" s="132">
        <v>0</v>
      </c>
      <c r="X250" s="132">
        <v>0.68622970000000005</v>
      </c>
      <c r="Y250" s="132">
        <v>0</v>
      </c>
      <c r="Z250" s="132">
        <v>20.877740200000002</v>
      </c>
      <c r="AA250" s="132">
        <v>1089.9638617999999</v>
      </c>
    </row>
    <row r="251" spans="1:27" x14ac:dyDescent="0.35">
      <c r="A251" s="41">
        <v>42162</v>
      </c>
      <c r="B251" s="132">
        <v>1547.18</v>
      </c>
      <c r="C251" s="132">
        <v>788.94604200000003</v>
      </c>
      <c r="D251" s="132">
        <v>258.68549999999999</v>
      </c>
      <c r="E251" s="132">
        <v>0</v>
      </c>
      <c r="F251" s="132">
        <v>217.24897799999999</v>
      </c>
      <c r="G251" s="132">
        <v>105.978915</v>
      </c>
      <c r="H251" s="132">
        <v>175.958088</v>
      </c>
      <c r="I251" s="132">
        <v>0</v>
      </c>
      <c r="J251" s="132">
        <v>0.36224849999999997</v>
      </c>
      <c r="K251" s="132">
        <v>193.25208230000001</v>
      </c>
      <c r="L251" s="132">
        <v>-785.65786130000004</v>
      </c>
      <c r="M251" s="132">
        <v>-735.81419930000004</v>
      </c>
      <c r="N251" s="132">
        <v>-49.843662000000002</v>
      </c>
      <c r="O251" s="132">
        <v>954.77399249999996</v>
      </c>
      <c r="P251" s="132">
        <v>901.69049029999996</v>
      </c>
      <c r="Q251" s="132">
        <v>270.77972699999998</v>
      </c>
      <c r="R251" s="132">
        <v>348.08878499999997</v>
      </c>
      <c r="S251" s="132">
        <v>282.82197819999999</v>
      </c>
      <c r="T251" s="132">
        <v>53.083502299999999</v>
      </c>
      <c r="U251" s="132">
        <v>0.80755279999999996</v>
      </c>
      <c r="V251" s="132">
        <v>1.1113875</v>
      </c>
      <c r="W251" s="132">
        <v>0</v>
      </c>
      <c r="X251" s="132">
        <v>0.62062870000000003</v>
      </c>
      <c r="Y251" s="132">
        <v>0</v>
      </c>
      <c r="Z251" s="132">
        <v>19.740794999999999</v>
      </c>
      <c r="AA251" s="132">
        <v>954.77399249999996</v>
      </c>
    </row>
    <row r="252" spans="1:27" x14ac:dyDescent="0.35">
      <c r="A252" s="41">
        <v>42163</v>
      </c>
      <c r="B252" s="132">
        <v>1729.2729999999999</v>
      </c>
      <c r="C252" s="132">
        <v>854.66697750000003</v>
      </c>
      <c r="D252" s="132">
        <v>247.56685200000001</v>
      </c>
      <c r="E252" s="132">
        <v>0</v>
      </c>
      <c r="F252" s="132">
        <v>245.71395670000001</v>
      </c>
      <c r="G252" s="132">
        <v>204.889239</v>
      </c>
      <c r="H252" s="132">
        <v>175.97756849999999</v>
      </c>
      <c r="I252" s="132">
        <v>0</v>
      </c>
      <c r="J252" s="132">
        <v>0.45806920000000001</v>
      </c>
      <c r="K252" s="132">
        <v>191.80036870000001</v>
      </c>
      <c r="L252" s="132">
        <v>-585.04711729999997</v>
      </c>
      <c r="M252" s="132">
        <v>-540.21843530000001</v>
      </c>
      <c r="N252" s="132">
        <v>-44.828682000000001</v>
      </c>
      <c r="O252" s="132">
        <v>1336.0259145</v>
      </c>
      <c r="P252" s="132">
        <v>1258.0374254999999</v>
      </c>
      <c r="Q252" s="132">
        <v>381.03197549999999</v>
      </c>
      <c r="R252" s="132">
        <v>481.58440569999999</v>
      </c>
      <c r="S252" s="132">
        <v>395.42104430000001</v>
      </c>
      <c r="T252" s="132">
        <v>77.988489000000001</v>
      </c>
      <c r="U252" s="132">
        <v>1.1249294999999999</v>
      </c>
      <c r="V252" s="132">
        <v>1.3111875</v>
      </c>
      <c r="W252" s="132">
        <v>0</v>
      </c>
      <c r="X252" s="132">
        <v>0.774447</v>
      </c>
      <c r="Y252" s="132">
        <v>0</v>
      </c>
      <c r="Z252" s="132">
        <v>28.0165665</v>
      </c>
      <c r="AA252" s="132">
        <v>1336.0259145</v>
      </c>
    </row>
    <row r="253" spans="1:27" x14ac:dyDescent="0.35">
      <c r="A253" s="41">
        <v>42164</v>
      </c>
    </row>
    <row r="254" spans="1:27" x14ac:dyDescent="0.35">
      <c r="A254" s="41">
        <v>42165</v>
      </c>
    </row>
    <row r="255" spans="1:27" x14ac:dyDescent="0.35">
      <c r="A255" s="41">
        <v>42166</v>
      </c>
    </row>
    <row r="256" spans="1:27" x14ac:dyDescent="0.35">
      <c r="A256" s="41">
        <v>42167</v>
      </c>
    </row>
    <row r="257" spans="1:1" x14ac:dyDescent="0.35">
      <c r="A257" s="41">
        <v>42168</v>
      </c>
    </row>
    <row r="258" spans="1:1" x14ac:dyDescent="0.35">
      <c r="A258" s="41">
        <v>42169</v>
      </c>
    </row>
    <row r="259" spans="1:1" x14ac:dyDescent="0.35">
      <c r="A259" s="41">
        <v>42170</v>
      </c>
    </row>
    <row r="260" spans="1:1" x14ac:dyDescent="0.35">
      <c r="A260" s="41">
        <v>42171</v>
      </c>
    </row>
    <row r="261" spans="1:1" x14ac:dyDescent="0.35">
      <c r="A261" s="41">
        <v>42172</v>
      </c>
    </row>
    <row r="262" spans="1:1" x14ac:dyDescent="0.35">
      <c r="A262" s="41">
        <v>42173</v>
      </c>
    </row>
    <row r="263" spans="1:1" x14ac:dyDescent="0.35">
      <c r="A263" s="41">
        <v>42174</v>
      </c>
    </row>
    <row r="264" spans="1:1" x14ac:dyDescent="0.35">
      <c r="A264" s="41">
        <v>42175</v>
      </c>
    </row>
    <row r="265" spans="1:1" x14ac:dyDescent="0.35">
      <c r="A265" s="41">
        <v>42176</v>
      </c>
    </row>
    <row r="266" spans="1:1" x14ac:dyDescent="0.35">
      <c r="A266" s="41">
        <v>42177</v>
      </c>
    </row>
    <row r="267" spans="1:1" x14ac:dyDescent="0.35">
      <c r="A267" s="41">
        <v>42178</v>
      </c>
    </row>
    <row r="268" spans="1:1" x14ac:dyDescent="0.35">
      <c r="A268" s="41">
        <v>42179</v>
      </c>
    </row>
    <row r="269" spans="1:1" x14ac:dyDescent="0.35">
      <c r="A269" s="41">
        <v>42180</v>
      </c>
    </row>
    <row r="270" spans="1:1" x14ac:dyDescent="0.35">
      <c r="A270" s="41">
        <v>42181</v>
      </c>
    </row>
    <row r="271" spans="1:1" x14ac:dyDescent="0.35">
      <c r="A271" s="41">
        <v>42182</v>
      </c>
    </row>
    <row r="272" spans="1:1" x14ac:dyDescent="0.35">
      <c r="A272" s="41">
        <v>42183</v>
      </c>
    </row>
    <row r="273" spans="1:1" x14ac:dyDescent="0.35">
      <c r="A273" s="41">
        <v>42184</v>
      </c>
    </row>
    <row r="274" spans="1:1" x14ac:dyDescent="0.35">
      <c r="A274" s="41">
        <v>42185</v>
      </c>
    </row>
    <row r="275" spans="1:1" x14ac:dyDescent="0.35">
      <c r="A275" s="41">
        <v>42186</v>
      </c>
    </row>
    <row r="276" spans="1:1" x14ac:dyDescent="0.35">
      <c r="A276" s="41">
        <v>42187</v>
      </c>
    </row>
    <row r="277" spans="1:1" x14ac:dyDescent="0.35">
      <c r="A277" s="41">
        <v>42188</v>
      </c>
    </row>
    <row r="278" spans="1:1" x14ac:dyDescent="0.35">
      <c r="A278" s="41">
        <v>42189</v>
      </c>
    </row>
    <row r="279" spans="1:1" x14ac:dyDescent="0.35">
      <c r="A279" s="41">
        <v>42190</v>
      </c>
    </row>
    <row r="280" spans="1:1" x14ac:dyDescent="0.35">
      <c r="A280" s="41">
        <v>42191</v>
      </c>
    </row>
    <row r="281" spans="1:1" x14ac:dyDescent="0.35">
      <c r="A281" s="41">
        <v>42192</v>
      </c>
    </row>
    <row r="282" spans="1:1" x14ac:dyDescent="0.35">
      <c r="A282" s="41">
        <v>42193</v>
      </c>
    </row>
    <row r="283" spans="1:1" x14ac:dyDescent="0.35">
      <c r="A283" s="41">
        <v>42194</v>
      </c>
    </row>
    <row r="284" spans="1:1" x14ac:dyDescent="0.35">
      <c r="A284" s="41">
        <v>42195</v>
      </c>
    </row>
    <row r="285" spans="1:1" x14ac:dyDescent="0.35">
      <c r="A285" s="41">
        <v>42196</v>
      </c>
    </row>
    <row r="286" spans="1:1" x14ac:dyDescent="0.35">
      <c r="A286" s="41">
        <v>42197</v>
      </c>
    </row>
    <row r="287" spans="1:1" x14ac:dyDescent="0.35">
      <c r="A287" s="41">
        <v>42198</v>
      </c>
    </row>
    <row r="288" spans="1:1" x14ac:dyDescent="0.35">
      <c r="A288" s="41">
        <v>42199</v>
      </c>
    </row>
    <row r="289" spans="1:1" x14ac:dyDescent="0.35">
      <c r="A289" s="41">
        <v>42200</v>
      </c>
    </row>
    <row r="290" spans="1:1" x14ac:dyDescent="0.35">
      <c r="A290" s="41">
        <v>42201</v>
      </c>
    </row>
    <row r="291" spans="1:1" x14ac:dyDescent="0.35">
      <c r="A291" s="41">
        <v>42202</v>
      </c>
    </row>
    <row r="292" spans="1:1" x14ac:dyDescent="0.35">
      <c r="A292" s="41">
        <v>42203</v>
      </c>
    </row>
    <row r="293" spans="1:1" x14ac:dyDescent="0.35">
      <c r="A293" s="41">
        <v>42204</v>
      </c>
    </row>
    <row r="294" spans="1:1" x14ac:dyDescent="0.35">
      <c r="A294" s="41">
        <v>42205</v>
      </c>
    </row>
    <row r="295" spans="1:1" x14ac:dyDescent="0.35">
      <c r="A295" s="41">
        <v>42206</v>
      </c>
    </row>
    <row r="296" spans="1:1" x14ac:dyDescent="0.35">
      <c r="A296" s="41">
        <v>42207</v>
      </c>
    </row>
    <row r="297" spans="1:1" x14ac:dyDescent="0.35">
      <c r="A297" s="41">
        <v>42208</v>
      </c>
    </row>
    <row r="298" spans="1:1" x14ac:dyDescent="0.35">
      <c r="A298" s="41">
        <v>42209</v>
      </c>
    </row>
    <row r="299" spans="1:1" x14ac:dyDescent="0.35">
      <c r="A299" s="41">
        <v>42210</v>
      </c>
    </row>
    <row r="300" spans="1:1" x14ac:dyDescent="0.35">
      <c r="A300" s="41">
        <v>42211</v>
      </c>
    </row>
    <row r="301" spans="1:1" x14ac:dyDescent="0.35">
      <c r="A301" s="41">
        <v>42212</v>
      </c>
    </row>
    <row r="302" spans="1:1" x14ac:dyDescent="0.35">
      <c r="A302" s="41">
        <v>42213</v>
      </c>
    </row>
    <row r="303" spans="1:1" x14ac:dyDescent="0.35">
      <c r="A303" s="41">
        <v>42214</v>
      </c>
    </row>
    <row r="304" spans="1:1" x14ac:dyDescent="0.35">
      <c r="A304" s="41">
        <v>42215</v>
      </c>
    </row>
    <row r="305" spans="1:1" x14ac:dyDescent="0.35">
      <c r="A305" s="41">
        <v>42216</v>
      </c>
    </row>
    <row r="306" spans="1:1" x14ac:dyDescent="0.35">
      <c r="A306" s="41">
        <v>42217</v>
      </c>
    </row>
    <row r="307" spans="1:1" x14ac:dyDescent="0.35">
      <c r="A307" s="41">
        <v>42218</v>
      </c>
    </row>
    <row r="308" spans="1:1" x14ac:dyDescent="0.35">
      <c r="A308" s="41">
        <v>42219</v>
      </c>
    </row>
    <row r="309" spans="1:1" x14ac:dyDescent="0.35">
      <c r="A309" s="41">
        <v>42220</v>
      </c>
    </row>
    <row r="310" spans="1:1" x14ac:dyDescent="0.35">
      <c r="A310" s="41">
        <v>42221</v>
      </c>
    </row>
    <row r="311" spans="1:1" x14ac:dyDescent="0.35">
      <c r="A311" s="41">
        <v>42222</v>
      </c>
    </row>
    <row r="312" spans="1:1" x14ac:dyDescent="0.35">
      <c r="A312" s="41">
        <v>42223</v>
      </c>
    </row>
    <row r="313" spans="1:1" x14ac:dyDescent="0.35">
      <c r="A313" s="41">
        <v>42224</v>
      </c>
    </row>
    <row r="314" spans="1:1" x14ac:dyDescent="0.35">
      <c r="A314" s="41">
        <v>42225</v>
      </c>
    </row>
    <row r="315" spans="1:1" x14ac:dyDescent="0.35">
      <c r="A315" s="41">
        <v>42226</v>
      </c>
    </row>
    <row r="316" spans="1:1" x14ac:dyDescent="0.35">
      <c r="A316" s="41">
        <v>42227</v>
      </c>
    </row>
    <row r="317" spans="1:1" x14ac:dyDescent="0.35">
      <c r="A317" s="41">
        <v>42228</v>
      </c>
    </row>
    <row r="318" spans="1:1" x14ac:dyDescent="0.35">
      <c r="A318" s="41">
        <v>42229</v>
      </c>
    </row>
    <row r="319" spans="1:1" x14ac:dyDescent="0.35">
      <c r="A319" s="41">
        <v>42230</v>
      </c>
    </row>
    <row r="320" spans="1:1" x14ac:dyDescent="0.35">
      <c r="A320" s="41">
        <v>42231</v>
      </c>
    </row>
    <row r="321" spans="1:1" x14ac:dyDescent="0.35">
      <c r="A321" s="41">
        <v>42232</v>
      </c>
    </row>
    <row r="322" spans="1:1" x14ac:dyDescent="0.35">
      <c r="A322" s="41">
        <v>42233</v>
      </c>
    </row>
    <row r="323" spans="1:1" x14ac:dyDescent="0.35">
      <c r="A323" s="41">
        <v>42234</v>
      </c>
    </row>
    <row r="324" spans="1:1" x14ac:dyDescent="0.35">
      <c r="A324" s="41">
        <v>42235</v>
      </c>
    </row>
    <row r="325" spans="1:1" x14ac:dyDescent="0.35">
      <c r="A325" s="41">
        <v>42236</v>
      </c>
    </row>
    <row r="326" spans="1:1" x14ac:dyDescent="0.35">
      <c r="A326" s="41">
        <v>42237</v>
      </c>
    </row>
    <row r="327" spans="1:1" x14ac:dyDescent="0.35">
      <c r="A327" s="41">
        <v>42238</v>
      </c>
    </row>
    <row r="328" spans="1:1" x14ac:dyDescent="0.35">
      <c r="A328" s="41">
        <v>42239</v>
      </c>
    </row>
    <row r="329" spans="1:1" x14ac:dyDescent="0.35">
      <c r="A329" s="41">
        <v>42240</v>
      </c>
    </row>
    <row r="330" spans="1:1" x14ac:dyDescent="0.35">
      <c r="A330" s="41">
        <v>42241</v>
      </c>
    </row>
    <row r="331" spans="1:1" x14ac:dyDescent="0.35">
      <c r="A331" s="41">
        <v>42242</v>
      </c>
    </row>
    <row r="332" spans="1:1" x14ac:dyDescent="0.35">
      <c r="A332" s="41">
        <v>42243</v>
      </c>
    </row>
    <row r="333" spans="1:1" x14ac:dyDescent="0.35">
      <c r="A333" s="41">
        <v>42244</v>
      </c>
    </row>
    <row r="334" spans="1:1" x14ac:dyDescent="0.35">
      <c r="A334" s="41">
        <v>42245</v>
      </c>
    </row>
    <row r="335" spans="1:1" x14ac:dyDescent="0.35">
      <c r="A335" s="41">
        <v>42246</v>
      </c>
    </row>
    <row r="336" spans="1:1" x14ac:dyDescent="0.35">
      <c r="A336" s="41">
        <v>42247</v>
      </c>
    </row>
    <row r="337" spans="1:1" x14ac:dyDescent="0.35">
      <c r="A337" s="41">
        <v>42248</v>
      </c>
    </row>
    <row r="338" spans="1:1" x14ac:dyDescent="0.35">
      <c r="A338" s="41">
        <v>42249</v>
      </c>
    </row>
    <row r="339" spans="1:1" x14ac:dyDescent="0.35">
      <c r="A339" s="41">
        <v>42250</v>
      </c>
    </row>
    <row r="340" spans="1:1" x14ac:dyDescent="0.35">
      <c r="A340" s="41">
        <v>42251</v>
      </c>
    </row>
    <row r="341" spans="1:1" x14ac:dyDescent="0.35">
      <c r="A341" s="41">
        <v>42252</v>
      </c>
    </row>
    <row r="342" spans="1:1" x14ac:dyDescent="0.35">
      <c r="A342" s="41">
        <v>42253</v>
      </c>
    </row>
    <row r="343" spans="1:1" x14ac:dyDescent="0.35">
      <c r="A343" s="41">
        <v>42254</v>
      </c>
    </row>
    <row r="344" spans="1:1" x14ac:dyDescent="0.35">
      <c r="A344" s="41">
        <v>42255</v>
      </c>
    </row>
    <row r="345" spans="1:1" x14ac:dyDescent="0.35">
      <c r="A345" s="41">
        <v>42256</v>
      </c>
    </row>
    <row r="346" spans="1:1" x14ac:dyDescent="0.35">
      <c r="A346" s="41">
        <v>42257</v>
      </c>
    </row>
    <row r="347" spans="1:1" x14ac:dyDescent="0.35">
      <c r="A347" s="41">
        <v>42258</v>
      </c>
    </row>
    <row r="348" spans="1:1" x14ac:dyDescent="0.35">
      <c r="A348" s="41">
        <v>42259</v>
      </c>
    </row>
    <row r="349" spans="1:1" x14ac:dyDescent="0.35">
      <c r="A349" s="41">
        <v>42260</v>
      </c>
    </row>
    <row r="350" spans="1:1" x14ac:dyDescent="0.35">
      <c r="A350" s="41">
        <v>42261</v>
      </c>
    </row>
    <row r="351" spans="1:1" x14ac:dyDescent="0.35">
      <c r="A351" s="41">
        <v>42262</v>
      </c>
    </row>
    <row r="352" spans="1:1" x14ac:dyDescent="0.35">
      <c r="A352" s="41">
        <v>42263</v>
      </c>
    </row>
    <row r="353" spans="1:1" x14ac:dyDescent="0.35">
      <c r="A353" s="41">
        <v>42264</v>
      </c>
    </row>
    <row r="354" spans="1:1" x14ac:dyDescent="0.35">
      <c r="A354" s="41">
        <v>42265</v>
      </c>
    </row>
    <row r="355" spans="1:1" x14ac:dyDescent="0.35">
      <c r="A355" s="41">
        <v>42266</v>
      </c>
    </row>
    <row r="356" spans="1:1" x14ac:dyDescent="0.35">
      <c r="A356" s="41">
        <v>42267</v>
      </c>
    </row>
    <row r="357" spans="1:1" x14ac:dyDescent="0.35">
      <c r="A357" s="41">
        <v>42268</v>
      </c>
    </row>
    <row r="358" spans="1:1" x14ac:dyDescent="0.35">
      <c r="A358" s="41">
        <v>42269</v>
      </c>
    </row>
    <row r="359" spans="1:1" x14ac:dyDescent="0.35">
      <c r="A359" s="41">
        <v>42270</v>
      </c>
    </row>
    <row r="360" spans="1:1" x14ac:dyDescent="0.35">
      <c r="A360" s="41">
        <v>42271</v>
      </c>
    </row>
    <row r="361" spans="1:1" x14ac:dyDescent="0.35">
      <c r="A361" s="41">
        <v>42272</v>
      </c>
    </row>
    <row r="362" spans="1:1" x14ac:dyDescent="0.35">
      <c r="A362" s="41">
        <v>42273</v>
      </c>
    </row>
    <row r="363" spans="1:1" x14ac:dyDescent="0.35">
      <c r="A363" s="41">
        <v>42274</v>
      </c>
    </row>
    <row r="364" spans="1:1" x14ac:dyDescent="0.35">
      <c r="A364" s="41">
        <v>42275</v>
      </c>
    </row>
    <row r="365" spans="1:1" x14ac:dyDescent="0.35">
      <c r="A365" s="41">
        <v>42276</v>
      </c>
    </row>
    <row r="366" spans="1:1" x14ac:dyDescent="0.35">
      <c r="A366" s="41">
        <v>42277</v>
      </c>
    </row>
    <row r="367" spans="1:1" x14ac:dyDescent="0.35">
      <c r="A367" s="41">
        <v>42278</v>
      </c>
    </row>
    <row r="368" spans="1:1" x14ac:dyDescent="0.35">
      <c r="A368" s="41">
        <v>42279</v>
      </c>
    </row>
    <row r="369" spans="1:1" x14ac:dyDescent="0.35">
      <c r="A369" s="41">
        <v>42280</v>
      </c>
    </row>
    <row r="370" spans="1:1" x14ac:dyDescent="0.35">
      <c r="A370" s="41">
        <v>42281</v>
      </c>
    </row>
    <row r="371" spans="1:1" x14ac:dyDescent="0.35">
      <c r="A371" s="41">
        <v>42282</v>
      </c>
    </row>
    <row r="372" spans="1:1" x14ac:dyDescent="0.35">
      <c r="A372" s="41">
        <v>42283</v>
      </c>
    </row>
    <row r="373" spans="1:1" x14ac:dyDescent="0.35">
      <c r="A373" s="41">
        <v>42284</v>
      </c>
    </row>
    <row r="374" spans="1:1" x14ac:dyDescent="0.35">
      <c r="A374" s="41">
        <v>42285</v>
      </c>
    </row>
    <row r="375" spans="1:1" x14ac:dyDescent="0.35">
      <c r="A375" s="41">
        <v>42286</v>
      </c>
    </row>
    <row r="376" spans="1:1" x14ac:dyDescent="0.35">
      <c r="A376" s="41">
        <v>42287</v>
      </c>
    </row>
    <row r="377" spans="1:1" x14ac:dyDescent="0.35">
      <c r="A377" s="41">
        <v>42288</v>
      </c>
    </row>
    <row r="378" spans="1:1" x14ac:dyDescent="0.35">
      <c r="A378" s="41">
        <v>42289</v>
      </c>
    </row>
    <row r="379" spans="1:1" x14ac:dyDescent="0.35">
      <c r="A379" s="41">
        <v>42290</v>
      </c>
    </row>
    <row r="380" spans="1:1" x14ac:dyDescent="0.35">
      <c r="A380" s="41">
        <v>42291</v>
      </c>
    </row>
    <row r="381" spans="1:1" x14ac:dyDescent="0.35">
      <c r="A381" s="41">
        <v>42292</v>
      </c>
    </row>
    <row r="382" spans="1:1" x14ac:dyDescent="0.35">
      <c r="A382" s="41">
        <v>42293</v>
      </c>
    </row>
    <row r="383" spans="1:1" x14ac:dyDescent="0.35">
      <c r="A383" s="41">
        <v>42294</v>
      </c>
    </row>
    <row r="384" spans="1:1" x14ac:dyDescent="0.35">
      <c r="A384" s="41">
        <v>42295</v>
      </c>
    </row>
    <row r="385" spans="1:1" x14ac:dyDescent="0.35">
      <c r="A385" s="41">
        <v>42296</v>
      </c>
    </row>
    <row r="386" spans="1:1" x14ac:dyDescent="0.35">
      <c r="A386" s="41">
        <v>42297</v>
      </c>
    </row>
    <row r="387" spans="1:1" x14ac:dyDescent="0.35">
      <c r="A387" s="41">
        <v>42298</v>
      </c>
    </row>
    <row r="388" spans="1:1" x14ac:dyDescent="0.35">
      <c r="A388" s="41">
        <v>42299</v>
      </c>
    </row>
    <row r="389" spans="1:1" x14ac:dyDescent="0.35">
      <c r="A389" s="41">
        <v>42300</v>
      </c>
    </row>
    <row r="390" spans="1:1" x14ac:dyDescent="0.35">
      <c r="A390" s="41">
        <v>42301</v>
      </c>
    </row>
    <row r="391" spans="1:1" x14ac:dyDescent="0.35">
      <c r="A391" s="41">
        <v>42302</v>
      </c>
    </row>
    <row r="392" spans="1:1" x14ac:dyDescent="0.35">
      <c r="A392" s="41">
        <v>42303</v>
      </c>
    </row>
    <row r="393" spans="1:1" x14ac:dyDescent="0.35">
      <c r="A393" s="41">
        <v>42304</v>
      </c>
    </row>
    <row r="394" spans="1:1" x14ac:dyDescent="0.35">
      <c r="A394" s="41">
        <v>42305</v>
      </c>
    </row>
    <row r="395" spans="1:1" x14ac:dyDescent="0.35">
      <c r="A395" s="41">
        <v>42306</v>
      </c>
    </row>
    <row r="396" spans="1:1" x14ac:dyDescent="0.35">
      <c r="A396" s="41">
        <v>42307</v>
      </c>
    </row>
    <row r="397" spans="1:1" x14ac:dyDescent="0.35">
      <c r="A397" s="41">
        <v>42308</v>
      </c>
    </row>
    <row r="398" spans="1:1" x14ac:dyDescent="0.35">
      <c r="A398" s="41">
        <v>42309</v>
      </c>
    </row>
    <row r="399" spans="1:1" x14ac:dyDescent="0.35">
      <c r="A399" s="41">
        <v>42310</v>
      </c>
    </row>
    <row r="400" spans="1:1" x14ac:dyDescent="0.35">
      <c r="A400" s="41">
        <v>42311</v>
      </c>
    </row>
    <row r="401" spans="1:1" x14ac:dyDescent="0.35">
      <c r="A401" s="41">
        <v>42312</v>
      </c>
    </row>
    <row r="402" spans="1:1" x14ac:dyDescent="0.35">
      <c r="A402" s="41">
        <v>42313</v>
      </c>
    </row>
    <row r="403" spans="1:1" x14ac:dyDescent="0.35">
      <c r="A403" s="41">
        <v>42314</v>
      </c>
    </row>
    <row r="404" spans="1:1" x14ac:dyDescent="0.35">
      <c r="A404" s="41">
        <v>42315</v>
      </c>
    </row>
    <row r="405" spans="1:1" x14ac:dyDescent="0.35">
      <c r="A405" s="41">
        <v>42316</v>
      </c>
    </row>
    <row r="406" spans="1:1" x14ac:dyDescent="0.35">
      <c r="A406" s="41">
        <v>42317</v>
      </c>
    </row>
    <row r="407" spans="1:1" x14ac:dyDescent="0.35">
      <c r="A407" s="41">
        <v>42318</v>
      </c>
    </row>
    <row r="408" spans="1:1" x14ac:dyDescent="0.35">
      <c r="A408" s="41">
        <v>42319</v>
      </c>
    </row>
    <row r="409" spans="1:1" x14ac:dyDescent="0.35">
      <c r="A409" s="41">
        <v>42320</v>
      </c>
    </row>
    <row r="410" spans="1:1" x14ac:dyDescent="0.35">
      <c r="A410" s="41">
        <v>42321</v>
      </c>
    </row>
    <row r="411" spans="1:1" x14ac:dyDescent="0.35">
      <c r="A411" s="41">
        <v>42322</v>
      </c>
    </row>
    <row r="412" spans="1:1" x14ac:dyDescent="0.35">
      <c r="A412" s="41">
        <v>42323</v>
      </c>
    </row>
    <row r="413" spans="1:1" x14ac:dyDescent="0.35">
      <c r="A413" s="41">
        <v>42324</v>
      </c>
    </row>
    <row r="414" spans="1:1" x14ac:dyDescent="0.35">
      <c r="A414" s="41">
        <v>42325</v>
      </c>
    </row>
    <row r="415" spans="1:1" x14ac:dyDescent="0.35">
      <c r="A415" s="41">
        <v>42326</v>
      </c>
    </row>
    <row r="416" spans="1:1" x14ac:dyDescent="0.35">
      <c r="A416" s="41">
        <v>42327</v>
      </c>
    </row>
    <row r="417" spans="1:1" x14ac:dyDescent="0.35">
      <c r="A417" s="41">
        <v>42328</v>
      </c>
    </row>
    <row r="418" spans="1:1" x14ac:dyDescent="0.35">
      <c r="A418" s="41">
        <v>42329</v>
      </c>
    </row>
    <row r="419" spans="1:1" x14ac:dyDescent="0.35">
      <c r="A419" s="41">
        <v>42330</v>
      </c>
    </row>
    <row r="420" spans="1:1" x14ac:dyDescent="0.35">
      <c r="A420" s="41">
        <v>42331</v>
      </c>
    </row>
    <row r="421" spans="1:1" x14ac:dyDescent="0.35">
      <c r="A421" s="41">
        <v>42332</v>
      </c>
    </row>
    <row r="422" spans="1:1" x14ac:dyDescent="0.35">
      <c r="A422" s="41">
        <v>42333</v>
      </c>
    </row>
    <row r="423" spans="1:1" x14ac:dyDescent="0.35">
      <c r="A423" s="41">
        <v>42334</v>
      </c>
    </row>
    <row r="424" spans="1:1" x14ac:dyDescent="0.35">
      <c r="A424" s="41">
        <v>42335</v>
      </c>
    </row>
    <row r="425" spans="1:1" x14ac:dyDescent="0.35">
      <c r="A425" s="41">
        <v>42336</v>
      </c>
    </row>
    <row r="426" spans="1:1" x14ac:dyDescent="0.35">
      <c r="A426" s="41">
        <v>42337</v>
      </c>
    </row>
    <row r="427" spans="1:1" x14ac:dyDescent="0.35">
      <c r="A427" s="41">
        <v>42338</v>
      </c>
    </row>
    <row r="428" spans="1:1" x14ac:dyDescent="0.35">
      <c r="A428" s="41">
        <v>42339</v>
      </c>
    </row>
    <row r="429" spans="1:1" x14ac:dyDescent="0.35">
      <c r="A429" s="41">
        <v>42340</v>
      </c>
    </row>
    <row r="430" spans="1:1" x14ac:dyDescent="0.35">
      <c r="A430" s="41">
        <v>42341</v>
      </c>
    </row>
    <row r="431" spans="1:1" x14ac:dyDescent="0.35">
      <c r="A431" s="41">
        <v>42342</v>
      </c>
    </row>
    <row r="432" spans="1:1" x14ac:dyDescent="0.35">
      <c r="A432" s="41">
        <v>42343</v>
      </c>
    </row>
    <row r="433" spans="1:1" x14ac:dyDescent="0.35">
      <c r="A433" s="41">
        <v>42344</v>
      </c>
    </row>
    <row r="434" spans="1:1" x14ac:dyDescent="0.35">
      <c r="A434" s="41">
        <v>42345</v>
      </c>
    </row>
    <row r="435" spans="1:1" x14ac:dyDescent="0.35">
      <c r="A435" s="41">
        <v>42346</v>
      </c>
    </row>
    <row r="436" spans="1:1" x14ac:dyDescent="0.35">
      <c r="A436" s="41">
        <v>42347</v>
      </c>
    </row>
    <row r="437" spans="1:1" x14ac:dyDescent="0.35">
      <c r="A437" s="41">
        <v>42348</v>
      </c>
    </row>
    <row r="438" spans="1:1" x14ac:dyDescent="0.35">
      <c r="A438" s="41">
        <v>42349</v>
      </c>
    </row>
    <row r="439" spans="1:1" x14ac:dyDescent="0.35">
      <c r="A439" s="41">
        <v>42350</v>
      </c>
    </row>
    <row r="440" spans="1:1" x14ac:dyDescent="0.35">
      <c r="A440" s="41">
        <v>42351</v>
      </c>
    </row>
    <row r="441" spans="1:1" x14ac:dyDescent="0.35">
      <c r="A441" s="41">
        <v>42352</v>
      </c>
    </row>
    <row r="442" spans="1:1" x14ac:dyDescent="0.35">
      <c r="A442" s="41">
        <v>42353</v>
      </c>
    </row>
    <row r="443" spans="1:1" x14ac:dyDescent="0.35">
      <c r="A443" s="41">
        <v>42354</v>
      </c>
    </row>
    <row r="444" spans="1:1" x14ac:dyDescent="0.35">
      <c r="A444" s="41">
        <v>42355</v>
      </c>
    </row>
    <row r="445" spans="1:1" x14ac:dyDescent="0.35">
      <c r="A445" s="41">
        <v>42356</v>
      </c>
    </row>
    <row r="446" spans="1:1" x14ac:dyDescent="0.35">
      <c r="A446" s="41">
        <v>42357</v>
      </c>
    </row>
    <row r="447" spans="1:1" x14ac:dyDescent="0.35">
      <c r="A447" s="41">
        <v>42358</v>
      </c>
    </row>
    <row r="448" spans="1:1" x14ac:dyDescent="0.35">
      <c r="A448" s="41">
        <v>42359</v>
      </c>
    </row>
    <row r="449" spans="1:1" x14ac:dyDescent="0.35">
      <c r="A449" s="41">
        <v>42360</v>
      </c>
    </row>
    <row r="450" spans="1:1" x14ac:dyDescent="0.35">
      <c r="A450" s="41">
        <v>42361</v>
      </c>
    </row>
    <row r="451" spans="1:1" x14ac:dyDescent="0.35">
      <c r="A451" s="41">
        <v>42362</v>
      </c>
    </row>
    <row r="452" spans="1:1" x14ac:dyDescent="0.35">
      <c r="A452" s="41">
        <v>42363</v>
      </c>
    </row>
    <row r="453" spans="1:1" x14ac:dyDescent="0.35">
      <c r="A453" s="41">
        <v>42364</v>
      </c>
    </row>
    <row r="454" spans="1:1" x14ac:dyDescent="0.35">
      <c r="A454" s="41">
        <v>42365</v>
      </c>
    </row>
    <row r="455" spans="1:1" x14ac:dyDescent="0.35">
      <c r="A455" s="41">
        <v>42366</v>
      </c>
    </row>
    <row r="456" spans="1:1" x14ac:dyDescent="0.35">
      <c r="A456" s="41">
        <v>42367</v>
      </c>
    </row>
    <row r="457" spans="1:1" x14ac:dyDescent="0.35">
      <c r="A457" s="41">
        <v>42368</v>
      </c>
    </row>
    <row r="458" spans="1:1" x14ac:dyDescent="0.35">
      <c r="A458" s="41">
        <v>42369</v>
      </c>
    </row>
    <row r="459" spans="1:1" x14ac:dyDescent="0.35">
      <c r="A459" s="41">
        <v>42370</v>
      </c>
    </row>
    <row r="460" spans="1:1" x14ac:dyDescent="0.35">
      <c r="A460" s="41">
        <v>42371</v>
      </c>
    </row>
    <row r="461" spans="1:1" x14ac:dyDescent="0.35">
      <c r="A461" s="41">
        <v>42372</v>
      </c>
    </row>
    <row r="462" spans="1:1" x14ac:dyDescent="0.35">
      <c r="A462" s="41">
        <v>42373</v>
      </c>
    </row>
    <row r="463" spans="1:1" x14ac:dyDescent="0.35">
      <c r="A463" s="41">
        <v>42374</v>
      </c>
    </row>
    <row r="464" spans="1:1" x14ac:dyDescent="0.35">
      <c r="A464" s="41">
        <v>42375</v>
      </c>
    </row>
    <row r="465" spans="1:1" x14ac:dyDescent="0.35">
      <c r="A465" s="41">
        <v>42376</v>
      </c>
    </row>
    <row r="466" spans="1:1" x14ac:dyDescent="0.35">
      <c r="A466" s="41">
        <v>42377</v>
      </c>
    </row>
    <row r="467" spans="1:1" x14ac:dyDescent="0.35">
      <c r="A467" s="41">
        <v>42378</v>
      </c>
    </row>
    <row r="468" spans="1:1" x14ac:dyDescent="0.35">
      <c r="A468" s="41">
        <v>42379</v>
      </c>
    </row>
    <row r="469" spans="1:1" x14ac:dyDescent="0.35">
      <c r="A469" s="41">
        <v>42380</v>
      </c>
    </row>
    <row r="470" spans="1:1" x14ac:dyDescent="0.35">
      <c r="A470" s="41">
        <v>42381</v>
      </c>
    </row>
    <row r="471" spans="1:1" x14ac:dyDescent="0.35">
      <c r="A471" s="41">
        <v>42382</v>
      </c>
    </row>
    <row r="472" spans="1:1" x14ac:dyDescent="0.35">
      <c r="A472" s="41">
        <v>42383</v>
      </c>
    </row>
    <row r="473" spans="1:1" x14ac:dyDescent="0.35">
      <c r="A473" s="41">
        <v>42384</v>
      </c>
    </row>
    <row r="474" spans="1:1" x14ac:dyDescent="0.35">
      <c r="A474" s="41">
        <v>42385</v>
      </c>
    </row>
    <row r="475" spans="1:1" x14ac:dyDescent="0.35">
      <c r="A475" s="41">
        <v>42386</v>
      </c>
    </row>
    <row r="476" spans="1:1" x14ac:dyDescent="0.35">
      <c r="A476" s="41">
        <v>42387</v>
      </c>
    </row>
    <row r="477" spans="1:1" x14ac:dyDescent="0.35">
      <c r="A477" s="41">
        <v>42388</v>
      </c>
    </row>
    <row r="478" spans="1:1" x14ac:dyDescent="0.35">
      <c r="A478" s="41">
        <v>42389</v>
      </c>
    </row>
    <row r="479" spans="1:1" x14ac:dyDescent="0.35">
      <c r="A479" s="41">
        <v>42390</v>
      </c>
    </row>
    <row r="480" spans="1:1" x14ac:dyDescent="0.35">
      <c r="A480" s="41">
        <v>42391</v>
      </c>
    </row>
    <row r="481" spans="1:1" x14ac:dyDescent="0.35">
      <c r="A481" s="41">
        <v>42392</v>
      </c>
    </row>
    <row r="482" spans="1:1" x14ac:dyDescent="0.35">
      <c r="A482" s="41">
        <v>42393</v>
      </c>
    </row>
    <row r="483" spans="1:1" x14ac:dyDescent="0.35">
      <c r="A483" s="41">
        <v>42394</v>
      </c>
    </row>
    <row r="484" spans="1:1" x14ac:dyDescent="0.35">
      <c r="A484" s="41">
        <v>42395</v>
      </c>
    </row>
    <row r="485" spans="1:1" x14ac:dyDescent="0.35">
      <c r="A485" s="41">
        <v>42396</v>
      </c>
    </row>
    <row r="486" spans="1:1" x14ac:dyDescent="0.35">
      <c r="A486" s="41">
        <v>42397</v>
      </c>
    </row>
    <row r="487" spans="1:1" x14ac:dyDescent="0.35">
      <c r="A487" s="41">
        <v>42398</v>
      </c>
    </row>
    <row r="488" spans="1:1" x14ac:dyDescent="0.35">
      <c r="A488" s="41">
        <v>42399</v>
      </c>
    </row>
    <row r="489" spans="1:1" x14ac:dyDescent="0.35">
      <c r="A489" s="41">
        <v>42400</v>
      </c>
    </row>
    <row r="490" spans="1:1" x14ac:dyDescent="0.35">
      <c r="A490" s="41">
        <v>42401</v>
      </c>
    </row>
    <row r="491" spans="1:1" x14ac:dyDescent="0.35">
      <c r="A491" s="41">
        <v>42402</v>
      </c>
    </row>
    <row r="492" spans="1:1" x14ac:dyDescent="0.35">
      <c r="A492" s="41">
        <v>42403</v>
      </c>
    </row>
    <row r="493" spans="1:1" x14ac:dyDescent="0.35">
      <c r="A493" s="41">
        <v>42404</v>
      </c>
    </row>
    <row r="494" spans="1:1" x14ac:dyDescent="0.35">
      <c r="A494" s="41">
        <v>42405</v>
      </c>
    </row>
    <row r="495" spans="1:1" x14ac:dyDescent="0.35">
      <c r="A495" s="41">
        <v>42406</v>
      </c>
    </row>
    <row r="496" spans="1:1" x14ac:dyDescent="0.35">
      <c r="A496" s="41">
        <v>42407</v>
      </c>
    </row>
    <row r="497" spans="1:1" x14ac:dyDescent="0.35">
      <c r="A497" s="41">
        <v>42408</v>
      </c>
    </row>
    <row r="498" spans="1:1" x14ac:dyDescent="0.35">
      <c r="A498" s="41">
        <v>42409</v>
      </c>
    </row>
    <row r="499" spans="1:1" x14ac:dyDescent="0.35">
      <c r="A499" s="41">
        <v>42410</v>
      </c>
    </row>
    <row r="500" spans="1:1" x14ac:dyDescent="0.35">
      <c r="A500" s="41">
        <v>42411</v>
      </c>
    </row>
    <row r="501" spans="1:1" x14ac:dyDescent="0.35">
      <c r="A501" s="41">
        <v>42412</v>
      </c>
    </row>
    <row r="502" spans="1:1" x14ac:dyDescent="0.35">
      <c r="A502" s="41">
        <v>42413</v>
      </c>
    </row>
    <row r="503" spans="1:1" x14ac:dyDescent="0.35">
      <c r="A503" s="41">
        <v>42414</v>
      </c>
    </row>
    <row r="504" spans="1:1" x14ac:dyDescent="0.35">
      <c r="A504" s="41">
        <v>42415</v>
      </c>
    </row>
    <row r="505" spans="1:1" x14ac:dyDescent="0.35">
      <c r="A505" s="41">
        <v>42416</v>
      </c>
    </row>
    <row r="506" spans="1:1" x14ac:dyDescent="0.35">
      <c r="A506" s="41">
        <v>42417</v>
      </c>
    </row>
    <row r="507" spans="1:1" x14ac:dyDescent="0.35">
      <c r="A507" s="41">
        <v>42418</v>
      </c>
    </row>
    <row r="508" spans="1:1" x14ac:dyDescent="0.35">
      <c r="A508" s="41">
        <v>42419</v>
      </c>
    </row>
    <row r="509" spans="1:1" x14ac:dyDescent="0.35">
      <c r="A509" s="41">
        <v>42420</v>
      </c>
    </row>
    <row r="510" spans="1:1" x14ac:dyDescent="0.35">
      <c r="A510" s="41">
        <v>42421</v>
      </c>
    </row>
    <row r="511" spans="1:1" x14ac:dyDescent="0.35">
      <c r="A511" s="41">
        <v>42422</v>
      </c>
    </row>
    <row r="512" spans="1:1" x14ac:dyDescent="0.35">
      <c r="A512" s="41">
        <v>42423</v>
      </c>
    </row>
    <row r="513" spans="1:1" x14ac:dyDescent="0.35">
      <c r="A513" s="41">
        <v>42424</v>
      </c>
    </row>
    <row r="514" spans="1:1" x14ac:dyDescent="0.35">
      <c r="A514" s="41">
        <v>42425</v>
      </c>
    </row>
    <row r="515" spans="1:1" x14ac:dyDescent="0.35">
      <c r="A515" s="41">
        <v>42426</v>
      </c>
    </row>
    <row r="516" spans="1:1" x14ac:dyDescent="0.35">
      <c r="A516" s="41">
        <v>42427</v>
      </c>
    </row>
    <row r="517" spans="1:1" x14ac:dyDescent="0.35">
      <c r="A517" s="41">
        <v>42428</v>
      </c>
    </row>
    <row r="518" spans="1:1" x14ac:dyDescent="0.35">
      <c r="A518" s="41">
        <v>42429</v>
      </c>
    </row>
    <row r="519" spans="1:1" x14ac:dyDescent="0.35">
      <c r="A519" s="41">
        <v>42430</v>
      </c>
    </row>
    <row r="520" spans="1:1" x14ac:dyDescent="0.35">
      <c r="A520" s="41">
        <v>42431</v>
      </c>
    </row>
    <row r="521" spans="1:1" x14ac:dyDescent="0.35">
      <c r="A521" s="41">
        <v>42432</v>
      </c>
    </row>
    <row r="522" spans="1:1" x14ac:dyDescent="0.35">
      <c r="A522" s="41">
        <v>42433</v>
      </c>
    </row>
    <row r="523" spans="1:1" x14ac:dyDescent="0.35">
      <c r="A523" s="41">
        <v>42434</v>
      </c>
    </row>
    <row r="524" spans="1:1" x14ac:dyDescent="0.35">
      <c r="A524" s="41">
        <v>42435</v>
      </c>
    </row>
    <row r="525" spans="1:1" x14ac:dyDescent="0.35">
      <c r="A525" s="41">
        <v>42436</v>
      </c>
    </row>
    <row r="526" spans="1:1" x14ac:dyDescent="0.35">
      <c r="A526" s="41">
        <v>42437</v>
      </c>
    </row>
    <row r="527" spans="1:1" x14ac:dyDescent="0.35">
      <c r="A527" s="41">
        <v>42438</v>
      </c>
    </row>
    <row r="528" spans="1:1" x14ac:dyDescent="0.35">
      <c r="A528" s="41">
        <v>42439</v>
      </c>
    </row>
    <row r="529" spans="1:1" x14ac:dyDescent="0.35">
      <c r="A529" s="41">
        <v>42440</v>
      </c>
    </row>
    <row r="530" spans="1:1" x14ac:dyDescent="0.35">
      <c r="A530" s="41">
        <v>42441</v>
      </c>
    </row>
    <row r="531" spans="1:1" x14ac:dyDescent="0.35">
      <c r="A531" s="41">
        <v>42442</v>
      </c>
    </row>
    <row r="532" spans="1:1" x14ac:dyDescent="0.35">
      <c r="A532" s="41">
        <v>42443</v>
      </c>
    </row>
    <row r="533" spans="1:1" x14ac:dyDescent="0.35">
      <c r="A533" s="41">
        <v>42444</v>
      </c>
    </row>
    <row r="534" spans="1:1" x14ac:dyDescent="0.35">
      <c r="A534" s="41">
        <v>42445</v>
      </c>
    </row>
    <row r="535" spans="1:1" x14ac:dyDescent="0.35">
      <c r="A535" s="41">
        <v>42446</v>
      </c>
    </row>
    <row r="536" spans="1:1" x14ac:dyDescent="0.35">
      <c r="A536" s="41">
        <v>42447</v>
      </c>
    </row>
    <row r="537" spans="1:1" x14ac:dyDescent="0.35">
      <c r="A537" s="41">
        <v>42448</v>
      </c>
    </row>
    <row r="538" spans="1:1" x14ac:dyDescent="0.35">
      <c r="A538" s="41">
        <v>42449</v>
      </c>
    </row>
    <row r="539" spans="1:1" x14ac:dyDescent="0.35">
      <c r="A539" s="41">
        <v>42450</v>
      </c>
    </row>
    <row r="540" spans="1:1" x14ac:dyDescent="0.35">
      <c r="A540" s="41">
        <v>42451</v>
      </c>
    </row>
    <row r="541" spans="1:1" x14ac:dyDescent="0.35">
      <c r="A541" s="41">
        <v>42452</v>
      </c>
    </row>
    <row r="542" spans="1:1" x14ac:dyDescent="0.35">
      <c r="A542" s="41">
        <v>42453</v>
      </c>
    </row>
    <row r="543" spans="1:1" x14ac:dyDescent="0.35">
      <c r="A543" s="41">
        <v>42454</v>
      </c>
    </row>
    <row r="544" spans="1:1" x14ac:dyDescent="0.35">
      <c r="A544" s="41">
        <v>42455</v>
      </c>
    </row>
    <row r="545" spans="1:1" x14ac:dyDescent="0.35">
      <c r="A545" s="41">
        <v>42456</v>
      </c>
    </row>
    <row r="546" spans="1:1" x14ac:dyDescent="0.35">
      <c r="A546" s="41">
        <v>42457</v>
      </c>
    </row>
    <row r="547" spans="1:1" x14ac:dyDescent="0.35">
      <c r="A547" s="41">
        <v>42458</v>
      </c>
    </row>
    <row r="548" spans="1:1" x14ac:dyDescent="0.35">
      <c r="A548" s="41">
        <v>42459</v>
      </c>
    </row>
    <row r="549" spans="1:1" x14ac:dyDescent="0.35">
      <c r="A549" s="41">
        <v>42460</v>
      </c>
    </row>
    <row r="550" spans="1:1" x14ac:dyDescent="0.35">
      <c r="A550" s="41">
        <v>42461</v>
      </c>
    </row>
    <row r="551" spans="1:1" x14ac:dyDescent="0.35">
      <c r="A551" s="41">
        <v>42462</v>
      </c>
    </row>
    <row r="552" spans="1:1" x14ac:dyDescent="0.35">
      <c r="A552" s="41">
        <v>42463</v>
      </c>
    </row>
    <row r="553" spans="1:1" x14ac:dyDescent="0.35">
      <c r="A553" s="41">
        <v>42464</v>
      </c>
    </row>
    <row r="554" spans="1:1" x14ac:dyDescent="0.35">
      <c r="A554" s="41">
        <v>42465</v>
      </c>
    </row>
    <row r="555" spans="1:1" x14ac:dyDescent="0.35">
      <c r="A555" s="41">
        <v>42466</v>
      </c>
    </row>
    <row r="556" spans="1:1" x14ac:dyDescent="0.35">
      <c r="A556" s="41">
        <v>42467</v>
      </c>
    </row>
    <row r="557" spans="1:1" x14ac:dyDescent="0.35">
      <c r="A557" s="41">
        <v>42468</v>
      </c>
    </row>
    <row r="558" spans="1:1" x14ac:dyDescent="0.35">
      <c r="A558" s="41">
        <v>42469</v>
      </c>
    </row>
    <row r="559" spans="1:1" x14ac:dyDescent="0.35">
      <c r="A559" s="41">
        <v>42470</v>
      </c>
    </row>
    <row r="560" spans="1:1" x14ac:dyDescent="0.35">
      <c r="A560" s="41">
        <v>42471</v>
      </c>
    </row>
    <row r="561" spans="1:1" x14ac:dyDescent="0.35">
      <c r="A561" s="41">
        <v>42472</v>
      </c>
    </row>
    <row r="562" spans="1:1" x14ac:dyDescent="0.35">
      <c r="A562" s="41">
        <v>42473</v>
      </c>
    </row>
    <row r="563" spans="1:1" x14ac:dyDescent="0.35">
      <c r="A563" s="41">
        <v>42474</v>
      </c>
    </row>
    <row r="564" spans="1:1" x14ac:dyDescent="0.35">
      <c r="A564" s="41">
        <v>42475</v>
      </c>
    </row>
    <row r="565" spans="1:1" x14ac:dyDescent="0.35">
      <c r="A565" s="41">
        <v>42476</v>
      </c>
    </row>
    <row r="566" spans="1:1" x14ac:dyDescent="0.35">
      <c r="A566" s="41">
        <v>42477</v>
      </c>
    </row>
    <row r="567" spans="1:1" x14ac:dyDescent="0.35">
      <c r="A567" s="41">
        <v>42478</v>
      </c>
    </row>
    <row r="568" spans="1:1" x14ac:dyDescent="0.35">
      <c r="A568" s="41">
        <v>42479</v>
      </c>
    </row>
    <row r="569" spans="1:1" x14ac:dyDescent="0.35">
      <c r="A569" s="41">
        <v>42480</v>
      </c>
    </row>
    <row r="570" spans="1:1" x14ac:dyDescent="0.35">
      <c r="A570" s="41">
        <v>42481</v>
      </c>
    </row>
    <row r="571" spans="1:1" x14ac:dyDescent="0.35">
      <c r="A571" s="41">
        <v>42482</v>
      </c>
    </row>
    <row r="572" spans="1:1" x14ac:dyDescent="0.35">
      <c r="A572" s="41">
        <v>42483</v>
      </c>
    </row>
    <row r="573" spans="1:1" x14ac:dyDescent="0.35">
      <c r="A573" s="41">
        <v>42484</v>
      </c>
    </row>
    <row r="574" spans="1:1" x14ac:dyDescent="0.35">
      <c r="A574" s="41">
        <v>42485</v>
      </c>
    </row>
    <row r="575" spans="1:1" x14ac:dyDescent="0.35">
      <c r="A575" s="41">
        <v>42486</v>
      </c>
    </row>
    <row r="576" spans="1:1" x14ac:dyDescent="0.35">
      <c r="A576" s="41">
        <v>42487</v>
      </c>
    </row>
    <row r="577" spans="1:1" x14ac:dyDescent="0.35">
      <c r="A577" s="41">
        <v>42488</v>
      </c>
    </row>
    <row r="578" spans="1:1" x14ac:dyDescent="0.35">
      <c r="A578" s="41">
        <v>42489</v>
      </c>
    </row>
    <row r="579" spans="1:1" x14ac:dyDescent="0.35">
      <c r="A579" s="41">
        <v>42490</v>
      </c>
    </row>
    <row r="580" spans="1:1" x14ac:dyDescent="0.35">
      <c r="A580" s="41">
        <v>42491</v>
      </c>
    </row>
    <row r="581" spans="1:1" x14ac:dyDescent="0.35">
      <c r="A581" s="41">
        <v>42492</v>
      </c>
    </row>
    <row r="582" spans="1:1" x14ac:dyDescent="0.35">
      <c r="A582" s="41">
        <v>42493</v>
      </c>
    </row>
    <row r="583" spans="1:1" x14ac:dyDescent="0.35">
      <c r="A583" s="41">
        <v>42494</v>
      </c>
    </row>
    <row r="584" spans="1:1" x14ac:dyDescent="0.35">
      <c r="A584" s="41">
        <v>42495</v>
      </c>
    </row>
    <row r="585" spans="1:1" x14ac:dyDescent="0.35">
      <c r="A585" s="41">
        <v>42496</v>
      </c>
    </row>
    <row r="586" spans="1:1" x14ac:dyDescent="0.35">
      <c r="A586" s="41">
        <v>42497</v>
      </c>
    </row>
    <row r="587" spans="1:1" x14ac:dyDescent="0.35">
      <c r="A587" s="41">
        <v>42498</v>
      </c>
    </row>
    <row r="588" spans="1:1" x14ac:dyDescent="0.35">
      <c r="A588" s="41">
        <v>42499</v>
      </c>
    </row>
    <row r="589" spans="1:1" x14ac:dyDescent="0.35">
      <c r="A589" s="41">
        <v>42500</v>
      </c>
    </row>
    <row r="590" spans="1:1" x14ac:dyDescent="0.35">
      <c r="A590" s="41">
        <v>42501</v>
      </c>
    </row>
    <row r="591" spans="1:1" x14ac:dyDescent="0.35">
      <c r="A591" s="41">
        <v>42502</v>
      </c>
    </row>
    <row r="592" spans="1:1" x14ac:dyDescent="0.35">
      <c r="A592" s="41">
        <v>42503</v>
      </c>
    </row>
    <row r="593" spans="1:1" x14ac:dyDescent="0.35">
      <c r="A593" s="41">
        <v>42504</v>
      </c>
    </row>
    <row r="594" spans="1:1" x14ac:dyDescent="0.35">
      <c r="A594" s="41">
        <v>42505</v>
      </c>
    </row>
    <row r="595" spans="1:1" x14ac:dyDescent="0.35">
      <c r="A595" s="41">
        <v>42506</v>
      </c>
    </row>
    <row r="596" spans="1:1" x14ac:dyDescent="0.35">
      <c r="A596" s="41">
        <v>42507</v>
      </c>
    </row>
    <row r="597" spans="1:1" x14ac:dyDescent="0.35">
      <c r="A597" s="41">
        <v>42508</v>
      </c>
    </row>
    <row r="598" spans="1:1" x14ac:dyDescent="0.35">
      <c r="A598" s="41">
        <v>42509</v>
      </c>
    </row>
    <row r="599" spans="1:1" x14ac:dyDescent="0.35">
      <c r="A599" s="41">
        <v>42510</v>
      </c>
    </row>
    <row r="600" spans="1:1" x14ac:dyDescent="0.35">
      <c r="A600" s="41">
        <v>42511</v>
      </c>
    </row>
    <row r="601" spans="1:1" x14ac:dyDescent="0.35">
      <c r="A601" s="41">
        <v>42512</v>
      </c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O33"/>
  <sheetViews>
    <sheetView topLeftCell="B1" workbookViewId="0">
      <selection activeCell="B15" sqref="B15"/>
    </sheetView>
  </sheetViews>
  <sheetFormatPr defaultColWidth="8.81640625" defaultRowHeight="14.5" x14ac:dyDescent="0.35"/>
  <cols>
    <col min="1" max="1" width="19.453125" customWidth="1"/>
    <col min="2" max="2" width="14.81640625" customWidth="1"/>
    <col min="3" max="7" width="9.81640625" bestFit="1" customWidth="1"/>
    <col min="8" max="9" width="10.6328125" bestFit="1" customWidth="1"/>
    <col min="10" max="14" width="9.81640625" bestFit="1" customWidth="1"/>
    <col min="15" max="15" width="10.6328125" bestFit="1" customWidth="1"/>
  </cols>
  <sheetData>
    <row r="1" spans="1:15" x14ac:dyDescent="0.35">
      <c r="A1" s="163"/>
    </row>
    <row r="2" spans="1:15" x14ac:dyDescent="0.35">
      <c r="E2" s="167"/>
    </row>
    <row r="3" spans="1:15" x14ac:dyDescent="0.35">
      <c r="B3" s="124" t="s">
        <v>122</v>
      </c>
      <c r="C3" s="124" t="s">
        <v>121</v>
      </c>
      <c r="D3" s="124" t="s">
        <v>120</v>
      </c>
      <c r="E3" s="168" t="s">
        <v>131</v>
      </c>
      <c r="F3" s="124" t="s">
        <v>130</v>
      </c>
      <c r="G3" s="124" t="s">
        <v>129</v>
      </c>
      <c r="H3" s="124" t="s">
        <v>128</v>
      </c>
      <c r="I3" s="124" t="s">
        <v>127</v>
      </c>
      <c r="J3" s="124" t="s">
        <v>126</v>
      </c>
      <c r="K3" s="124" t="s">
        <v>132</v>
      </c>
      <c r="L3" s="124" t="s">
        <v>124</v>
      </c>
      <c r="M3" s="124" t="s">
        <v>123</v>
      </c>
      <c r="N3" s="124" t="s">
        <v>138</v>
      </c>
    </row>
    <row r="4" spans="1:15" x14ac:dyDescent="0.35">
      <c r="A4" t="s">
        <v>137</v>
      </c>
      <c r="B4" s="110">
        <v>90125.955651619355</v>
      </c>
      <c r="C4" s="110">
        <v>91136.582984952751</v>
      </c>
      <c r="D4" s="110">
        <v>84540.598707174926</v>
      </c>
      <c r="E4" s="169">
        <v>66675.464623841573</v>
      </c>
      <c r="F4" s="110">
        <v>40177.31534606382</v>
      </c>
      <c r="G4" s="110">
        <v>24181.594540508249</v>
      </c>
      <c r="H4" s="110">
        <v>17232.369632028091</v>
      </c>
      <c r="I4" s="110">
        <v>26414.183718139204</v>
      </c>
      <c r="J4" s="110">
        <v>41152.072487583602</v>
      </c>
      <c r="K4" s="110">
        <v>55950.667392366122</v>
      </c>
      <c r="L4" s="110">
        <v>67430.4210479217</v>
      </c>
      <c r="M4" s="110">
        <v>78057.442945143906</v>
      </c>
      <c r="N4" s="23">
        <f>B5</f>
        <v>88839.668742366135</v>
      </c>
    </row>
    <row r="5" spans="1:15" x14ac:dyDescent="0.35">
      <c r="A5" t="s">
        <v>133</v>
      </c>
      <c r="B5" s="110">
        <v>88839.668742366135</v>
      </c>
      <c r="C5" s="110">
        <v>96076.157278477287</v>
      </c>
      <c r="D5" s="110">
        <v>92741.116334032791</v>
      </c>
      <c r="E5" s="169">
        <v>71775.40527847725</v>
      </c>
      <c r="F5" s="110">
        <v>51106.888778477223</v>
      </c>
      <c r="G5" s="110">
        <v>36453.233000699445</v>
      </c>
      <c r="H5" s="110">
        <v>27136.819003477241</v>
      </c>
      <c r="I5" s="110">
        <v>39935.990478477252</v>
      </c>
      <c r="J5" s="110">
        <v>56632.628850699431</v>
      </c>
      <c r="K5" s="110">
        <v>70789.926309032802</v>
      </c>
      <c r="L5" s="110">
        <v>83718.814620143967</v>
      </c>
      <c r="M5" s="110">
        <v>98036.26288681064</v>
      </c>
      <c r="N5" s="23">
        <f>B6</f>
        <v>108317.02122014393</v>
      </c>
    </row>
    <row r="6" spans="1:15" x14ac:dyDescent="0.35">
      <c r="A6" t="s">
        <v>134</v>
      </c>
      <c r="B6" s="110">
        <v>108317.02122014393</v>
      </c>
      <c r="C6" s="110">
        <v>110649.14552569947</v>
      </c>
      <c r="D6" s="110">
        <v>97617.736997921704</v>
      </c>
      <c r="E6" s="169">
        <v>77505.098220143904</v>
      </c>
      <c r="F6" s="110">
        <v>51843.152775699411</v>
      </c>
      <c r="G6" s="110">
        <v>26917.419414588319</v>
      </c>
      <c r="H6" s="110">
        <v>28373.631565875679</v>
      </c>
      <c r="I6" s="110">
        <v>43178.897288097913</v>
      </c>
      <c r="J6" s="110">
        <v>61236.321621431256</v>
      </c>
      <c r="K6" s="110">
        <v>76240.765704764577</v>
      </c>
      <c r="L6" s="110">
        <v>88941.471260320119</v>
      </c>
      <c r="M6" s="110">
        <v>101622.2137880979</v>
      </c>
      <c r="N6" s="23">
        <f>B7</f>
        <v>110676.25614337566</v>
      </c>
    </row>
    <row r="7" spans="1:15" x14ac:dyDescent="0.35">
      <c r="A7" t="s">
        <v>135</v>
      </c>
      <c r="B7" s="110">
        <v>110676.25614337566</v>
      </c>
      <c r="C7" s="110">
        <v>114416.3926989312</v>
      </c>
      <c r="D7" s="110">
        <v>109182.43250448682</v>
      </c>
      <c r="E7" s="169">
        <v>89645.703087820177</v>
      </c>
      <c r="F7" s="110">
        <v>63369.043643375655</v>
      </c>
      <c r="G7" s="110">
        <v>32863.272087820107</v>
      </c>
      <c r="H7" s="110">
        <v>14451.673044847224</v>
      </c>
      <c r="I7" s="110">
        <v>18107.901883228176</v>
      </c>
      <c r="J7" s="110">
        <v>35217.433716561514</v>
      </c>
      <c r="K7" s="110">
        <v>52562.370994339311</v>
      </c>
      <c r="L7" s="110">
        <v>69200.608827672622</v>
      </c>
      <c r="M7" s="110">
        <v>87517.93193878376</v>
      </c>
      <c r="N7" s="23">
        <f>B8</f>
        <v>96581.006383228232</v>
      </c>
    </row>
    <row r="8" spans="1:15" x14ac:dyDescent="0.35">
      <c r="A8" t="s">
        <v>136</v>
      </c>
      <c r="B8" s="110">
        <v>96581.006383228232</v>
      </c>
      <c r="C8" s="110">
        <v>104859.92117450001</v>
      </c>
      <c r="D8" s="110">
        <v>95108.994922722224</v>
      </c>
      <c r="E8" s="169">
        <v>83532.145728194446</v>
      </c>
      <c r="F8" s="110">
        <v>60166.735228194448</v>
      </c>
      <c r="G8" s="110">
        <v>42037.221922805555</v>
      </c>
      <c r="H8" s="23">
        <v>33207.17377427654</v>
      </c>
      <c r="I8" s="110">
        <v>46128.039298814198</v>
      </c>
      <c r="J8" s="23">
        <v>67959.243070385914</v>
      </c>
      <c r="K8" s="23">
        <v>87722.272247206405</v>
      </c>
      <c r="L8" s="23">
        <v>104414.84058158005</v>
      </c>
      <c r="M8" s="43">
        <v>115760.244053894</v>
      </c>
      <c r="N8" s="23">
        <f>122721963.336566/1000</f>
        <v>122721.963336566</v>
      </c>
    </row>
    <row r="9" spans="1:15" x14ac:dyDescent="0.35">
      <c r="A9" t="s">
        <v>139</v>
      </c>
      <c r="B9" s="23">
        <f ca="1">IF(ISERROR(OFFSET(SRGSTOCKS!$Q$1,MATCH(DATE(LEFT($A9,4),10,1),SRGSTOCKS!$A:$A,0)-1,0)/1000),"",OFFSET(SRGSTOCKS!$Q$1,MATCH(DATE(LEFT($A9,4),10,1),SRGSTOCKS!$A:$A,0)-1,0)/1000)</f>
        <v>122729.50240951037</v>
      </c>
      <c r="C9" s="24">
        <f ca="1">IF(ISERROR(OFFSET(SRGSTOCKS!$Q$1,MATCH(DATE(LEFT($A9,4),11,1),SRGSTOCKS!$A:$A,0)-1,0)/1000),"",OFFSET(SRGSTOCKS!$Q$1,MATCH(DATE(LEFT($A9,4),11,1),SRGSTOCKS!$A:$A,0)-1,0)/1000)</f>
        <v>124566.86200145631</v>
      </c>
      <c r="D9">
        <f ca="1">IF(ISERROR(OFFSET(SRGSTOCKS!$Q$1,MATCH(DATE(LEFT($A9,4),12,1),SRGSTOCKS!$A:$A,0)-1,0)/1000),"",OFFSET(SRGSTOCKS!$Q$1,MATCH(DATE(LEFT($A9,4),12,1),SRGSTOCKS!$A:$A,0)-1,0)/1000)</f>
        <v>115520.46955781062</v>
      </c>
      <c r="E9" s="167">
        <f ca="1">IF(ISERROR(OFFSET(SRGSTOCKS!$Q$1,MATCH(DATE(RIGHT($A9,4),1,1),SRGSTOCKS!$A:$A,0)-1,0)/1000),"",OFFSET(SRGSTOCKS!$Q$1,MATCH(DATE(RIGHT($A9,4),1,1),SRGSTOCKS!$A:$A,0)-1,0)/1000)</f>
        <v>92625.59105562685</v>
      </c>
      <c r="F9">
        <f ca="1">IF(ISERROR(OFFSET(SRGSTOCKS!$Q$1,MATCH(DATE(RIGHT($A9,4),2,1),SRGSTOCKS!$A:$A,0)-1,0)/1000),"",OFFSET(SRGSTOCKS!$Q$1,MATCH(DATE(RIGHT($A9,4),2,1),SRGSTOCKS!$A:$A,0)-1,0)/1000)</f>
        <v>58801.604922906707</v>
      </c>
      <c r="G9">
        <f ca="1">IF(ISERROR(OFFSET(SRGSTOCKS!$Q$1,MATCH(DATE(RIGHT($A9,4),3,1),SRGSTOCKS!$A:$A,0)-1,0)/1000),"",OFFSET(SRGSTOCKS!$Q$1,MATCH(DATE(RIGHT($A9,4),3,1),SRGSTOCKS!$A:$A,0)-1,0)/1000)</f>
        <v>27556.23569946596</v>
      </c>
      <c r="H9">
        <f ca="1">IF(ISERROR(OFFSET(SRGSTOCKS!$Q$1,MATCH(DATE(RIGHT($A9,4),4,1),SRGSTOCKS!$A:$A,0)-1,0)/1000),"",OFFSET(SRGSTOCKS!$Q$1,MATCH(DATE(RIGHT($A9,4),4,1),SRGSTOCKS!$A:$A,0)-1,0)/1000)</f>
        <v>12680.603330093461</v>
      </c>
      <c r="I9">
        <f ca="1">IF(ISERROR(OFFSET(SRGSTOCKS!$Q$1,MATCH(DATE(RIGHT($A9,4),5,1),SRGSTOCKS!$A:$A,0)-1,0)/1000),"",OFFSET(SRGSTOCKS!$Q$1,MATCH(DATE(RIGHT($A9,4),5,1),SRGSTOCKS!$A:$A,0)-1,0)/1000)</f>
        <v>26065.818706048045</v>
      </c>
      <c r="J9">
        <f ca="1">IF(ISERROR(OFFSET(SRGSTOCKS!$Q$1,MATCH(DATE(RIGHT($A9,4),6,1),SRGSTOCKS!$A:$A,0)-1,0)/1000),"",OFFSET(SRGSTOCKS!$Q$1,MATCH(DATE(RIGHT($A9,4),6,1),SRGSTOCKS!$A:$A,0)-1,0)/1000)</f>
        <v>48322.580457703807</v>
      </c>
      <c r="K9">
        <f ca="1">IF(ISERROR(OFFSET(SRGSTOCKS!$Q$1,MATCH(DATE(RIGHT($A9,4),7,1),SRGSTOCKS!$A:$A,0)-1,0)/1000),"",OFFSET(SRGSTOCKS!$Q$1,MATCH(DATE(RIGHT($A9,4),7,1),SRGSTOCKS!$A:$A,0)-1,0)/1000)</f>
        <v>0</v>
      </c>
      <c r="L9">
        <f ca="1">IF(ISERROR(OFFSET(SRGSTOCKS!$Q$1,MATCH(DATE(RIGHT($A9,4),8,1),SRGSTOCKS!$A:$A,0)-1,0)/1000),"",OFFSET(SRGSTOCKS!$Q$1,MATCH(DATE(RIGHT($A9,4),8,1),SRGSTOCKS!$A:$A,0)-1,0)/1000)</f>
        <v>0</v>
      </c>
      <c r="M9">
        <f ca="1">IF(ISERROR(OFFSET(SRGSTOCKS!$Q$1,MATCH(DATE(RIGHT($A9,4),9,1),SRGSTOCKS!$A:$A,0)-1,0)/1000),"",OFFSET(SRGSTOCKS!$Q$1,MATCH(DATE(RIGHT($A9,4),9,1),SRGSTOCKS!$A:$A,0)-1,0)/1000)</f>
        <v>0</v>
      </c>
      <c r="N9">
        <f ca="1">IF(ISERROR(OFFSET(SRGSTOCKS!$Q$1,MATCH(DATE(RIGHT($A9,4),10,1),SRGSTOCKS!$A:$A,0)-1,0)/1000),"",OFFSET(SRGSTOCKS!$Q$1,MATCH(DATE(RIGHT($A9,4),10,1),SRGSTOCKS!$A:$A,0)-1,0)/1000)</f>
        <v>0</v>
      </c>
      <c r="O9" s="162"/>
    </row>
    <row r="10" spans="1:15" x14ac:dyDescent="0.35">
      <c r="A10" t="s">
        <v>140</v>
      </c>
      <c r="B10" s="23">
        <f ca="1">IF(ISERROR(OFFSET(SRGSTOCKS!$Q$1,MATCH(DATE(LEFT($A10,4),10,1),SRGSTOCKS!$A:$A,0)-1,0)/1000),"",OFFSET(SRGSTOCKS!$Q$1,MATCH(DATE(LEFT($A10,4),10,1),SRGSTOCKS!$A:$A,0)-1,0)/1000)</f>
        <v>0</v>
      </c>
      <c r="C10" s="170">
        <f ca="1">IF(ISERROR(OFFSET(SRGSTOCKS!$Q$1,MATCH(DATE(LEFT($A10,4),11,1),SRGSTOCKS!$A:$A,0)-1,0)/1000),"",OFFSET(SRGSTOCKS!$Q$1,MATCH(DATE(LEFT($A10,4),11,1),SRGSTOCKS!$A:$A,0)-1,0)/1000)</f>
        <v>0</v>
      </c>
      <c r="D10">
        <f ca="1">IF(ISERROR(OFFSET(SRGSTOCKS!$Q$1,MATCH(DATE(LEFT($A10,4),12,1),SRGSTOCKS!$A:$A,0)-1,0)/1000),"",OFFSET(SRGSTOCKS!$Q$1,MATCH(DATE(LEFT($A10,4),12,1),SRGSTOCKS!$A:$A,0)-1,0)/1000)</f>
        <v>0</v>
      </c>
      <c r="E10" s="167">
        <f ca="1">IF(ISERROR(OFFSET(SRGSTOCKS!$Q$1,MATCH(DATE(RIGHT($A10,4),1,1),SRGSTOCKS!$A:$A,0)-1,0)/1000),"",OFFSET(SRGSTOCKS!$Q$1,MATCH(DATE(RIGHT($A10,4),1,1),SRGSTOCKS!$A:$A,0)-1,0)/1000)</f>
        <v>0</v>
      </c>
      <c r="F10">
        <f ca="1">IF(ISERROR(OFFSET(SRGSTOCKS!$Q$1,MATCH(DATE(RIGHT($A10,4),2,1),SRGSTOCKS!$A:$A,0)-1,0)/1000),"",OFFSET(SRGSTOCKS!$Q$1,MATCH(DATE(RIGHT($A10,4),2,1),SRGSTOCKS!$A:$A,0)-1,0)/1000)</f>
        <v>0</v>
      </c>
      <c r="G10">
        <f ca="1">IF(ISERROR(OFFSET(SRGSTOCKS!$Q$1,MATCH(DATE(RIGHT($A10,4),3,1),SRGSTOCKS!$A:$A,0)-1,0)/1000),"",OFFSET(SRGSTOCKS!$Q$1,MATCH(DATE(RIGHT($A10,4),3,1),SRGSTOCKS!$A:$A,0)-1,0)/1000)</f>
        <v>0</v>
      </c>
      <c r="H10">
        <f ca="1">IF(ISERROR(OFFSET(SRGSTOCKS!$Q$1,MATCH(DATE(RIGHT($A10,4),4,1),SRGSTOCKS!$A:$A,0)-1,0)/1000),"",OFFSET(SRGSTOCKS!$Q$1,MATCH(DATE(RIGHT($A10,4),4,1),SRGSTOCKS!$A:$A,0)-1,0)/1000)</f>
        <v>0</v>
      </c>
      <c r="I10" t="str">
        <f ca="1">IF(ISERROR(OFFSET(SRGSTOCKS!$Q$1,MATCH(DATE(RIGHT($A10,4),5,1),SRGSTOCKS!$A:$A,0)-1,0)/1000),"",OFFSET(SRGSTOCKS!$Q$1,MATCH(DATE(RIGHT($A10,4),5,1),SRGSTOCKS!$A:$A,0)-1,0)/1000)</f>
        <v/>
      </c>
      <c r="J10" t="str">
        <f ca="1">IF(ISERROR(OFFSET(SRGSTOCKS!$Q$1,MATCH(DATE(RIGHT($A10,4),6,1),SRGSTOCKS!$A:$A,0)-1,0)/1000),"",OFFSET(SRGSTOCKS!$Q$1,MATCH(DATE(RIGHT($A10,4),6,1),SRGSTOCKS!$A:$A,0)-1,0)/1000)</f>
        <v/>
      </c>
      <c r="K10" t="str">
        <f ca="1">IF(ISERROR(OFFSET(SRGSTOCKS!$Q$1,MATCH(DATE(RIGHT($A10,4),7,1),SRGSTOCKS!$A:$A,0)-1,0)/1000),"",OFFSET(SRGSTOCKS!$Q$1,MATCH(DATE(RIGHT($A10,4),7,1),SRGSTOCKS!$A:$A,0)-1,0)/1000)</f>
        <v/>
      </c>
      <c r="L10" t="str">
        <f ca="1">IF(ISERROR(OFFSET(SRGSTOCKS!$Q$1,MATCH(DATE(RIGHT($A10,4),8,1),SRGSTOCKS!$A:$A,0)-1,0)/1000),"",OFFSET(SRGSTOCKS!$Q$1,MATCH(DATE(RIGHT($A10,4),8,1),SRGSTOCKS!$A:$A,0)-1,0)/1000)</f>
        <v/>
      </c>
      <c r="M10" t="str">
        <f ca="1">IF(ISERROR(OFFSET(SRGSTOCKS!$Q$1,MATCH(DATE(RIGHT($A10,4),9,1),SRGSTOCKS!$A:$A,0)-1,0)/1000),"",OFFSET(SRGSTOCKS!$Q$1,MATCH(DATE(RIGHT($A10,4),9,1),SRGSTOCKS!$A:$A,0)-1,0)/1000)</f>
        <v/>
      </c>
      <c r="N10" t="str">
        <f ca="1">IF(ISERROR(OFFSET(SRGSTOCKS!$Q$1,MATCH(DATE(RIGHT($A10,4),10,1),SRGSTOCKS!$A:$A,0)-1,0)/1000),"",OFFSET(SRGSTOCKS!$Q$1,MATCH(DATE(RIGHT($A10,4),10,1),SRGSTOCKS!$A:$A,0)-1,0)/1000)</f>
        <v/>
      </c>
    </row>
    <row r="11" spans="1:15" x14ac:dyDescent="0.35">
      <c r="A11" t="s">
        <v>141</v>
      </c>
      <c r="B11" s="23" t="str">
        <f ca="1">IF(ISERROR(OFFSET(SRGSTOCKS!$Q$1,MATCH(DATE(LEFT($A11,4),10,1),SRGSTOCKS!$A:$A,0)-1,0)/1000),"",OFFSET(SRGSTOCKS!$Q$1,MATCH(DATE(LEFT($A11,4),10,1),SRGSTOCKS!$A:$A,0)-1,0)/1000)</f>
        <v/>
      </c>
      <c r="C11" s="170" t="str">
        <f ca="1">IF(ISERROR(OFFSET(SRGSTOCKS!$Q$1,MATCH(DATE(LEFT($A11,4),11,1),SRGSTOCKS!$A:$A,0)-1,0)/1000),"",OFFSET(SRGSTOCKS!$Q$1,MATCH(DATE(LEFT($A11,4),11,1),SRGSTOCKS!$A:$A,0)-1,0)/1000)</f>
        <v/>
      </c>
      <c r="D11" t="str">
        <f ca="1">IF(ISERROR(OFFSET(SRGSTOCKS!$Q$1,MATCH(DATE(LEFT($A11,4),12,1),SRGSTOCKS!$A:$A,0)-1,0)/1000),"",OFFSET(SRGSTOCKS!$Q$1,MATCH(DATE(LEFT($A11,4),12,1),SRGSTOCKS!$A:$A,0)-1,0)/1000)</f>
        <v/>
      </c>
      <c r="E11" s="167" t="str">
        <f ca="1">IF(ISERROR(OFFSET(SRGSTOCKS!$Q$1,MATCH(DATE(RIGHT($A11,4),1,1),SRGSTOCKS!$A:$A,0)-1,0)/1000),"",OFFSET(SRGSTOCKS!$Q$1,MATCH(DATE(RIGHT($A11,4),1,1),SRGSTOCKS!$A:$A,0)-1,0)/1000)</f>
        <v/>
      </c>
      <c r="F11" t="str">
        <f ca="1">IF(ISERROR(OFFSET(SRGSTOCKS!$Q$1,MATCH(DATE(RIGHT($A11,4),2,1),SRGSTOCKS!$A:$A,0)-1,0)/1000),"",OFFSET(SRGSTOCKS!$Q$1,MATCH(DATE(RIGHT($A11,4),2,1),SRGSTOCKS!$A:$A,0)-1,0)/1000)</f>
        <v/>
      </c>
      <c r="G11" t="str">
        <f ca="1">IF(ISERROR(OFFSET(SRGSTOCKS!$Q$1,MATCH(DATE(RIGHT($A11,4),3,1),SRGSTOCKS!$A:$A,0)-1,0)/1000),"",OFFSET(SRGSTOCKS!$Q$1,MATCH(DATE(RIGHT($A11,4),3,1),SRGSTOCKS!$A:$A,0)-1,0)/1000)</f>
        <v/>
      </c>
      <c r="H11" t="str">
        <f ca="1">IF(ISERROR(OFFSET(SRGSTOCKS!$Q$1,MATCH(DATE(RIGHT($A11,4),4,1),SRGSTOCKS!$A:$A,0)-1,0)/1000),"",OFFSET(SRGSTOCKS!$Q$1,MATCH(DATE(RIGHT($A11,4),4,1),SRGSTOCKS!$A:$A,0)-1,0)/1000)</f>
        <v/>
      </c>
      <c r="I11" t="str">
        <f ca="1">IF(ISERROR(OFFSET(SRGSTOCKS!$Q$1,MATCH(DATE(RIGHT($A11,4),5,1),SRGSTOCKS!$A:$A,0)-1,0)/1000),"",OFFSET(SRGSTOCKS!$Q$1,MATCH(DATE(RIGHT($A11,4),5,1),SRGSTOCKS!$A:$A,0)-1,0)/1000)</f>
        <v/>
      </c>
      <c r="J11" t="str">
        <f ca="1">IF(ISERROR(OFFSET(SRGSTOCKS!$Q$1,MATCH(DATE(RIGHT($A11,4),6,1),SRGSTOCKS!$A:$A,0)-1,0)/1000),"",OFFSET(SRGSTOCKS!$Q$1,MATCH(DATE(RIGHT($A11,4),6,1),SRGSTOCKS!$A:$A,0)-1,0)/1000)</f>
        <v/>
      </c>
      <c r="K11" t="str">
        <f ca="1">IF(ISERROR(OFFSET(SRGSTOCKS!$Q$1,MATCH(DATE(RIGHT($A11,4),7,1),SRGSTOCKS!$A:$A,0)-1,0)/1000),"",OFFSET(SRGSTOCKS!$Q$1,MATCH(DATE(RIGHT($A11,4),7,1),SRGSTOCKS!$A:$A,0)-1,0)/1000)</f>
        <v/>
      </c>
      <c r="L11" t="str">
        <f ca="1">IF(ISERROR(OFFSET(SRGSTOCKS!$Q$1,MATCH(DATE(RIGHT($A11,4),8,1),SRGSTOCKS!$A:$A,0)-1,0)/1000),"",OFFSET(SRGSTOCKS!$Q$1,MATCH(DATE(RIGHT($A11,4),8,1),SRGSTOCKS!$A:$A,0)-1,0)/1000)</f>
        <v/>
      </c>
      <c r="M11" t="str">
        <f ca="1">IF(ISERROR(OFFSET(SRGSTOCKS!$Q$1,MATCH(DATE(RIGHT($A11,4),9,1),SRGSTOCKS!$A:$A,0)-1,0)/1000),"",OFFSET(SRGSTOCKS!$Q$1,MATCH(DATE(RIGHT($A11,4),9,1),SRGSTOCKS!$A:$A,0)-1,0)/1000)</f>
        <v/>
      </c>
      <c r="N11" t="str">
        <f ca="1">IF(ISERROR(OFFSET(SRGSTOCKS!$Q$1,MATCH(DATE(RIGHT($A11,4),10,1),SRGSTOCKS!$A:$A,0)-1,0)/1000),"",OFFSET(SRGSTOCKS!$Q$1,MATCH(DATE(RIGHT($A11,4),10,1),SRGSTOCKS!$A:$A,0)-1,0)/1000)</f>
        <v/>
      </c>
    </row>
    <row r="13" spans="1:15" x14ac:dyDescent="0.35">
      <c r="A13" t="s">
        <v>142</v>
      </c>
      <c r="B13">
        <v>7382</v>
      </c>
      <c r="D13" t="s">
        <v>143</v>
      </c>
      <c r="E13">
        <v>124133</v>
      </c>
      <c r="G13">
        <f>E13+B13</f>
        <v>131515</v>
      </c>
    </row>
    <row r="15" spans="1:15" x14ac:dyDescent="0.35">
      <c r="A15" t="s">
        <v>137</v>
      </c>
      <c r="B15" s="125">
        <f>B4/$G$13</f>
        <v>0.6852903140449329</v>
      </c>
      <c r="C15" s="125">
        <f t="shared" ref="C15:N15" si="0">C4/$G$13</f>
        <v>0.69297481644643388</v>
      </c>
      <c r="D15" s="125">
        <f t="shared" si="0"/>
        <v>0.64282096116165399</v>
      </c>
      <c r="E15" s="125">
        <f t="shared" si="0"/>
        <v>0.50697992338396058</v>
      </c>
      <c r="F15" s="125">
        <f t="shared" si="0"/>
        <v>0.30549606771899646</v>
      </c>
      <c r="G15" s="125">
        <f t="shared" si="0"/>
        <v>0.183869479074693</v>
      </c>
      <c r="H15" s="125">
        <f t="shared" si="0"/>
        <v>0.13102968963257491</v>
      </c>
      <c r="I15" s="125">
        <f t="shared" si="0"/>
        <v>0.20084540712572105</v>
      </c>
      <c r="J15" s="125">
        <f t="shared" si="0"/>
        <v>0.31290782410815193</v>
      </c>
      <c r="K15" s="125">
        <f t="shared" si="0"/>
        <v>0.42543183205235996</v>
      </c>
      <c r="L15" s="125">
        <f t="shared" si="0"/>
        <v>0.5127203820698909</v>
      </c>
      <c r="M15" s="125">
        <f t="shared" si="0"/>
        <v>0.5935250195425914</v>
      </c>
      <c r="N15" s="125">
        <f t="shared" si="0"/>
        <v>0.67550978019515751</v>
      </c>
      <c r="O15" t="s">
        <v>144</v>
      </c>
    </row>
    <row r="16" spans="1:15" x14ac:dyDescent="0.35">
      <c r="A16" t="s">
        <v>133</v>
      </c>
      <c r="B16" s="125">
        <f t="shared" ref="B16:N16" si="1">B5/$G$13</f>
        <v>0.67550978019515751</v>
      </c>
      <c r="C16" s="125">
        <f t="shared" si="1"/>
        <v>0.73053383476012079</v>
      </c>
      <c r="D16" s="125">
        <f t="shared" si="1"/>
        <v>0.70517519928550199</v>
      </c>
      <c r="E16" s="125">
        <f t="shared" si="1"/>
        <v>0.54575831865929547</v>
      </c>
      <c r="F16" s="125">
        <f t="shared" si="1"/>
        <v>0.38860121490687166</v>
      </c>
      <c r="G16" s="125">
        <f t="shared" si="1"/>
        <v>0.2771792799353644</v>
      </c>
      <c r="H16" s="125">
        <f t="shared" si="1"/>
        <v>0.20634010571780589</v>
      </c>
      <c r="I16" s="125">
        <f t="shared" si="1"/>
        <v>0.30366110693439724</v>
      </c>
      <c r="J16" s="125">
        <f t="shared" si="1"/>
        <v>0.43061725925331279</v>
      </c>
      <c r="K16" s="125">
        <f t="shared" si="1"/>
        <v>0.53826503675651294</v>
      </c>
      <c r="L16" s="125">
        <f t="shared" si="1"/>
        <v>0.63657236528262151</v>
      </c>
      <c r="M16" s="125">
        <f t="shared" si="1"/>
        <v>0.74543788074980533</v>
      </c>
      <c r="N16" s="125">
        <f t="shared" si="1"/>
        <v>0.82360963555597411</v>
      </c>
      <c r="O16" t="s">
        <v>145</v>
      </c>
    </row>
    <row r="17" spans="1:15" x14ac:dyDescent="0.35">
      <c r="A17" t="s">
        <v>134</v>
      </c>
      <c r="B17" s="125">
        <f t="shared" ref="B17:N17" si="2">B6/$G$13</f>
        <v>0.82360963555597411</v>
      </c>
      <c r="C17" s="125">
        <f t="shared" si="2"/>
        <v>0.84134239840093883</v>
      </c>
      <c r="D17" s="125">
        <f t="shared" si="2"/>
        <v>0.74225553737536942</v>
      </c>
      <c r="E17" s="125">
        <f t="shared" si="2"/>
        <v>0.58932515850012468</v>
      </c>
      <c r="F17" s="125">
        <f t="shared" si="2"/>
        <v>0.39419954207276287</v>
      </c>
      <c r="G17" s="125">
        <f t="shared" si="2"/>
        <v>0.20467185807389515</v>
      </c>
      <c r="H17" s="125">
        <f t="shared" si="2"/>
        <v>0.21574445170418341</v>
      </c>
      <c r="I17" s="125">
        <f t="shared" si="2"/>
        <v>0.32831918251224507</v>
      </c>
      <c r="J17" s="125">
        <f t="shared" si="2"/>
        <v>0.46562233677855192</v>
      </c>
      <c r="K17" s="125">
        <f t="shared" si="2"/>
        <v>0.57971155917396933</v>
      </c>
      <c r="L17" s="125">
        <f t="shared" si="2"/>
        <v>0.67628385553222159</v>
      </c>
      <c r="M17" s="125">
        <f t="shared" si="2"/>
        <v>0.77270435910807056</v>
      </c>
      <c r="N17" s="125">
        <f t="shared" si="2"/>
        <v>0.84154853927974504</v>
      </c>
      <c r="O17" t="s">
        <v>146</v>
      </c>
    </row>
    <row r="18" spans="1:15" x14ac:dyDescent="0.35">
      <c r="A18" t="s">
        <v>135</v>
      </c>
      <c r="B18" s="125">
        <f t="shared" ref="B18:N18" si="3">B7/$G$13</f>
        <v>0.84154853927974504</v>
      </c>
      <c r="C18" s="125">
        <f t="shared" si="3"/>
        <v>0.8699873983874935</v>
      </c>
      <c r="D18" s="125">
        <f t="shared" si="3"/>
        <v>0.83018995935434603</v>
      </c>
      <c r="E18" s="125">
        <f t="shared" si="3"/>
        <v>0.68163861983667395</v>
      </c>
      <c r="F18" s="125">
        <f t="shared" si="3"/>
        <v>0.48183890539767826</v>
      </c>
      <c r="G18" s="125">
        <f t="shared" si="3"/>
        <v>0.24988231067041863</v>
      </c>
      <c r="H18" s="125">
        <f t="shared" si="3"/>
        <v>0.1098861197950593</v>
      </c>
      <c r="I18" s="125">
        <f t="shared" si="3"/>
        <v>0.13768697018004164</v>
      </c>
      <c r="J18" s="125">
        <f t="shared" si="3"/>
        <v>0.26778263860823109</v>
      </c>
      <c r="K18" s="125">
        <f t="shared" si="3"/>
        <v>0.39966825833052738</v>
      </c>
      <c r="L18" s="125">
        <f t="shared" si="3"/>
        <v>0.52618035074077196</v>
      </c>
      <c r="M18" s="125">
        <f t="shared" si="3"/>
        <v>0.66545969614708411</v>
      </c>
      <c r="N18" s="125">
        <f t="shared" si="3"/>
        <v>0.73437255357357134</v>
      </c>
      <c r="O18" t="s">
        <v>147</v>
      </c>
    </row>
    <row r="19" spans="1:15" x14ac:dyDescent="0.35">
      <c r="A19" t="s">
        <v>136</v>
      </c>
      <c r="B19" s="125">
        <f t="shared" ref="B19:N19" si="4">B8/$G$13</f>
        <v>0.73437255357357134</v>
      </c>
      <c r="C19" s="125">
        <f t="shared" si="4"/>
        <v>0.79732289985552984</v>
      </c>
      <c r="D19" s="125">
        <f t="shared" si="4"/>
        <v>0.72317982680851789</v>
      </c>
      <c r="E19" s="125">
        <f t="shared" si="4"/>
        <v>0.63515299188833552</v>
      </c>
      <c r="F19" s="125">
        <f t="shared" si="4"/>
        <v>0.45748952764471312</v>
      </c>
      <c r="G19" s="125">
        <f t="shared" si="4"/>
        <v>0.31963823079348785</v>
      </c>
      <c r="H19" s="125">
        <f t="shared" si="4"/>
        <v>0.25249723434039112</v>
      </c>
      <c r="I19" s="125">
        <f t="shared" si="4"/>
        <v>0.35074356004116791</v>
      </c>
      <c r="J19" s="125">
        <f t="shared" si="4"/>
        <v>0.51674138364738553</v>
      </c>
      <c r="K19" s="125">
        <f t="shared" si="4"/>
        <v>0.66701343760944687</v>
      </c>
      <c r="L19" s="125">
        <f t="shared" si="4"/>
        <v>0.79393864260031211</v>
      </c>
      <c r="M19" s="125">
        <f t="shared" si="4"/>
        <v>0.880205634748082</v>
      </c>
      <c r="N19" s="125">
        <f t="shared" si="4"/>
        <v>0.93314042760571791</v>
      </c>
      <c r="O19" t="s">
        <v>148</v>
      </c>
    </row>
    <row r="20" spans="1:15" x14ac:dyDescent="0.35">
      <c r="A20" t="s">
        <v>139</v>
      </c>
      <c r="B20" s="125">
        <f t="shared" ref="B20:G20" ca="1" si="5">IF(OR(B9=0,B9=""),-9999.9999,B9/$G$13)</f>
        <v>0.93319775241995495</v>
      </c>
      <c r="C20" s="125">
        <f t="shared" ca="1" si="5"/>
        <v>0.9471684750899616</v>
      </c>
      <c r="D20" s="125">
        <f t="shared" ca="1" si="5"/>
        <v>0.87838246251614349</v>
      </c>
      <c r="E20" s="125">
        <f t="shared" ca="1" si="5"/>
        <v>0.70429678025796938</v>
      </c>
      <c r="F20" s="125">
        <f t="shared" ca="1" si="5"/>
        <v>0.44710949262750793</v>
      </c>
      <c r="G20" s="125">
        <f t="shared" ca="1" si="5"/>
        <v>0.20952922251808509</v>
      </c>
      <c r="H20" s="125">
        <f t="shared" ref="H20:M20" ca="1" si="6">IF(OR(H9=0,H9=""),-9999.9999,H9/$G$13)</f>
        <v>9.6419445159057607E-2</v>
      </c>
      <c r="I20" s="125">
        <f t="shared" ca="1" si="6"/>
        <v>0.1981965456871691</v>
      </c>
      <c r="J20" s="125">
        <f t="shared" ca="1" si="6"/>
        <v>0.36743018254726689</v>
      </c>
      <c r="K20" s="125">
        <f t="shared" ca="1" si="6"/>
        <v>-9999.9999000000007</v>
      </c>
      <c r="L20" s="125">
        <f t="shared" ca="1" si="6"/>
        <v>-9999.9999000000007</v>
      </c>
      <c r="M20" s="125">
        <f t="shared" ca="1" si="6"/>
        <v>-9999.9999000000007</v>
      </c>
      <c r="N20" s="125">
        <f ca="1">IF(OR(N9=0,N9=""),-9999.9999,N9/$G$13)</f>
        <v>-9999.9999000000007</v>
      </c>
      <c r="O20" t="s">
        <v>149</v>
      </c>
    </row>
    <row r="21" spans="1:15" x14ac:dyDescent="0.35">
      <c r="A21" t="s">
        <v>140</v>
      </c>
      <c r="B21" s="125" t="str">
        <f ca="1">IF(OR(B10="",B10=0),"",B10/$G$13)</f>
        <v/>
      </c>
      <c r="C21" s="125" t="str">
        <f t="shared" ref="C21:N22" ca="1" si="7">IF(OR(C10="",C10=0),"",C10/$G$13)</f>
        <v/>
      </c>
      <c r="D21" s="125" t="str">
        <f t="shared" ca="1" si="7"/>
        <v/>
      </c>
      <c r="E21" s="125" t="str">
        <f t="shared" ca="1" si="7"/>
        <v/>
      </c>
      <c r="F21" s="125" t="str">
        <f t="shared" ca="1" si="7"/>
        <v/>
      </c>
      <c r="G21" s="125" t="str">
        <f t="shared" ca="1" si="7"/>
        <v/>
      </c>
      <c r="H21" s="125" t="str">
        <f t="shared" ca="1" si="7"/>
        <v/>
      </c>
      <c r="I21" s="125" t="str">
        <f t="shared" ca="1" si="7"/>
        <v/>
      </c>
      <c r="J21" s="125" t="str">
        <f t="shared" ca="1" si="7"/>
        <v/>
      </c>
      <c r="K21" s="125" t="str">
        <f t="shared" ca="1" si="7"/>
        <v/>
      </c>
      <c r="L21" s="125" t="str">
        <f t="shared" ca="1" si="7"/>
        <v/>
      </c>
      <c r="M21" s="125" t="str">
        <f t="shared" ca="1" si="7"/>
        <v/>
      </c>
      <c r="N21" s="125" t="str">
        <f t="shared" ca="1" si="7"/>
        <v/>
      </c>
    </row>
    <row r="22" spans="1:15" x14ac:dyDescent="0.35">
      <c r="A22" t="s">
        <v>141</v>
      </c>
      <c r="B22" s="125" t="str">
        <f ca="1">IF(OR(B11="",B11=0),"",B11/$G$13)</f>
        <v/>
      </c>
      <c r="C22" s="125" t="str">
        <f t="shared" ca="1" si="7"/>
        <v/>
      </c>
      <c r="D22" s="125" t="str">
        <f t="shared" ca="1" si="7"/>
        <v/>
      </c>
      <c r="E22" s="125" t="str">
        <f t="shared" ca="1" si="7"/>
        <v/>
      </c>
      <c r="F22" s="125" t="str">
        <f t="shared" ca="1" si="7"/>
        <v/>
      </c>
      <c r="G22" s="125" t="str">
        <f t="shared" ca="1" si="7"/>
        <v/>
      </c>
      <c r="H22" s="125" t="str">
        <f t="shared" ca="1" si="7"/>
        <v/>
      </c>
      <c r="I22" s="125" t="str">
        <f t="shared" ca="1" si="7"/>
        <v/>
      </c>
      <c r="J22" s="125" t="str">
        <f t="shared" ca="1" si="7"/>
        <v/>
      </c>
      <c r="K22" s="125" t="str">
        <f t="shared" ca="1" si="7"/>
        <v/>
      </c>
      <c r="L22" s="125" t="str">
        <f t="shared" ca="1" si="7"/>
        <v/>
      </c>
      <c r="M22" s="125" t="str">
        <f t="shared" ca="1" si="7"/>
        <v/>
      </c>
      <c r="N22" s="125" t="str">
        <f t="shared" ca="1" si="7"/>
        <v/>
      </c>
    </row>
    <row r="24" spans="1:15" x14ac:dyDescent="0.35">
      <c r="H24" s="166"/>
    </row>
    <row r="32" spans="1:15" x14ac:dyDescent="0.35">
      <c r="B32" s="23"/>
      <c r="E32" s="167"/>
    </row>
    <row r="33" spans="2:5" x14ac:dyDescent="0.35">
      <c r="B33" s="23"/>
      <c r="E33" s="167"/>
    </row>
  </sheetData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Y394"/>
  <sheetViews>
    <sheetView topLeftCell="D1" workbookViewId="0">
      <pane ySplit="7" topLeftCell="A371" activePane="bottomLeft" state="frozen"/>
      <selection pane="bottomLeft" activeCell="M381" sqref="M381"/>
    </sheetView>
  </sheetViews>
  <sheetFormatPr defaultColWidth="8.81640625" defaultRowHeight="14.5" x14ac:dyDescent="0.35"/>
  <cols>
    <col min="1" max="1" width="15.1796875" style="98" customWidth="1"/>
    <col min="2" max="2" width="2" style="98" bestFit="1" customWidth="1"/>
    <col min="3" max="3" width="15.1796875" style="98" customWidth="1"/>
    <col min="4" max="4" width="2" style="98" bestFit="1" customWidth="1"/>
    <col min="5" max="5" width="12.453125" style="98" bestFit="1" customWidth="1"/>
    <col min="6" max="6" width="2" style="98" bestFit="1" customWidth="1"/>
    <col min="7" max="7" width="10.1796875" style="98" bestFit="1" customWidth="1"/>
    <col min="8" max="8" width="2" style="98" bestFit="1" customWidth="1"/>
    <col min="9" max="9" width="10.453125" style="98" bestFit="1" customWidth="1"/>
    <col min="10" max="10" width="2" style="98" bestFit="1" customWidth="1"/>
    <col min="11" max="11" width="10.453125" style="98" customWidth="1"/>
    <col min="12" max="12" width="2" style="98" bestFit="1" customWidth="1"/>
    <col min="13" max="13" width="17.453125" style="100" bestFit="1" customWidth="1"/>
    <col min="14" max="14" width="20" style="100" customWidth="1"/>
    <col min="15" max="15" width="28.1796875" style="100" customWidth="1"/>
    <col min="16" max="16" width="19.1796875" style="100" bestFit="1" customWidth="1"/>
    <col min="17" max="18" width="17.453125" style="100" bestFit="1" customWidth="1"/>
    <col min="19" max="19" width="13.81640625" style="100" customWidth="1"/>
    <col min="20" max="21" width="15.453125" style="100" customWidth="1"/>
    <col min="22" max="22" width="14" style="100" customWidth="1"/>
    <col min="23" max="23" width="14.453125" style="101" customWidth="1"/>
    <col min="24" max="24" width="14.6328125" style="101" bestFit="1" customWidth="1"/>
    <col min="25" max="16384" width="8.81640625" style="101"/>
  </cols>
  <sheetData>
    <row r="1" spans="1:25" x14ac:dyDescent="0.35">
      <c r="M1" s="100">
        <f ca="1">INDEX(M9:M378,$C$2)</f>
        <v>64394.495762730483</v>
      </c>
      <c r="N1" s="100">
        <f t="shared" ref="N1:X1" ca="1" si="0">INDEX(N9:N378,$C$2)</f>
        <v>69813.669806255013</v>
      </c>
      <c r="O1" s="100">
        <f t="shared" ca="1" si="0"/>
        <v>76135.019803477233</v>
      </c>
      <c r="P1" s="100">
        <f t="shared" ca="1" si="0"/>
        <v>89645.703087820177</v>
      </c>
      <c r="Q1" s="100">
        <f t="shared" ca="1" si="0"/>
        <v>83651.853144861117</v>
      </c>
      <c r="R1" s="100">
        <f t="shared" ca="1" si="0"/>
        <v>0</v>
      </c>
      <c r="S1" s="100">
        <f t="shared" ca="1" si="0"/>
        <v>-838.41652777777779</v>
      </c>
      <c r="T1" s="100">
        <f t="shared" ca="1" si="0"/>
        <v>-945.06077777777773</v>
      </c>
      <c r="U1" s="100">
        <f t="shared" ca="1" si="0"/>
        <v>-648.41972222222228</v>
      </c>
      <c r="V1" s="100">
        <f t="shared" ca="1" si="0"/>
        <v>-720.76416666666694</v>
      </c>
      <c r="W1" s="100">
        <f t="shared" ca="1" si="0"/>
        <v>-118.66559886111112</v>
      </c>
      <c r="X1" s="100">
        <f t="shared" ca="1" si="0"/>
        <v>0</v>
      </c>
    </row>
    <row r="2" spans="1:25" x14ac:dyDescent="0.35">
      <c r="A2" s="119">
        <f ca="1">TODAY()-1</f>
        <v>43736</v>
      </c>
      <c r="C2" s="98">
        <f ca="1">MATCH(A2,K9:K378)</f>
        <v>370</v>
      </c>
    </row>
    <row r="5" spans="1:25" x14ac:dyDescent="0.35">
      <c r="A5" s="97"/>
      <c r="B5" s="97"/>
      <c r="C5" s="97"/>
      <c r="D5" s="97"/>
      <c r="K5" s="98">
        <v>3600</v>
      </c>
      <c r="M5" s="99" t="s">
        <v>110</v>
      </c>
      <c r="N5" s="99" t="s">
        <v>110</v>
      </c>
      <c r="O5" s="99" t="s">
        <v>110</v>
      </c>
      <c r="P5" s="100" t="s">
        <v>110</v>
      </c>
      <c r="Q5" s="100" t="s">
        <v>110</v>
      </c>
      <c r="R5" s="100" t="s">
        <v>110</v>
      </c>
      <c r="S5" s="99" t="s">
        <v>111</v>
      </c>
      <c r="T5" s="99" t="s">
        <v>111</v>
      </c>
      <c r="U5" s="99" t="s">
        <v>111</v>
      </c>
      <c r="V5" s="99" t="s">
        <v>111</v>
      </c>
      <c r="W5" s="100" t="s">
        <v>112</v>
      </c>
      <c r="X5" s="100" t="s">
        <v>112</v>
      </c>
    </row>
    <row r="6" spans="1:25" x14ac:dyDescent="0.35">
      <c r="A6" s="97"/>
      <c r="B6" s="97"/>
      <c r="C6" s="97"/>
      <c r="D6" s="97"/>
      <c r="M6" s="102" t="s">
        <v>113</v>
      </c>
      <c r="N6" s="102" t="s">
        <v>113</v>
      </c>
      <c r="O6" s="102" t="s">
        <v>113</v>
      </c>
      <c r="P6" s="102" t="s">
        <v>113</v>
      </c>
      <c r="Q6" s="102" t="s">
        <v>113</v>
      </c>
      <c r="R6" s="102" t="s">
        <v>113</v>
      </c>
      <c r="S6" s="102" t="s">
        <v>113</v>
      </c>
      <c r="T6" s="102" t="s">
        <v>113</v>
      </c>
      <c r="U6" s="102" t="s">
        <v>113</v>
      </c>
      <c r="V6" s="102" t="s">
        <v>113</v>
      </c>
      <c r="W6" s="102" t="s">
        <v>113</v>
      </c>
    </row>
    <row r="7" spans="1:25" s="107" customFormat="1" x14ac:dyDescent="0.35">
      <c r="A7" s="103"/>
      <c r="B7" s="103"/>
      <c r="C7" s="103"/>
      <c r="D7" s="103"/>
      <c r="E7" s="103"/>
      <c r="F7" s="103"/>
      <c r="G7" s="104"/>
      <c r="H7" s="104"/>
      <c r="I7" s="104"/>
      <c r="J7" s="104"/>
      <c r="K7" s="104"/>
      <c r="L7" s="104"/>
      <c r="M7" s="105">
        <v>2009</v>
      </c>
      <c r="N7" s="105">
        <v>2010</v>
      </c>
      <c r="O7" s="105">
        <v>2011</v>
      </c>
      <c r="P7" s="106">
        <v>2012</v>
      </c>
      <c r="Q7" s="106">
        <v>2013</v>
      </c>
      <c r="R7" s="106">
        <v>2014</v>
      </c>
      <c r="S7" s="105">
        <v>2009</v>
      </c>
      <c r="T7" s="105">
        <v>2010</v>
      </c>
      <c r="U7" s="105">
        <v>2011</v>
      </c>
      <c r="V7" s="106">
        <v>2012</v>
      </c>
      <c r="W7" s="106">
        <v>2013</v>
      </c>
      <c r="X7" s="107">
        <v>2014</v>
      </c>
    </row>
    <row r="8" spans="1:25" x14ac:dyDescent="0.35">
      <c r="A8" s="97" t="s">
        <v>114</v>
      </c>
      <c r="B8" s="97"/>
      <c r="C8" s="97" t="s">
        <v>115</v>
      </c>
      <c r="D8" s="97"/>
      <c r="E8" s="97" t="s">
        <v>116</v>
      </c>
      <c r="F8" s="97"/>
      <c r="G8" s="98" t="s">
        <v>117</v>
      </c>
      <c r="I8" s="98" t="s">
        <v>118</v>
      </c>
      <c r="K8" s="98" t="s">
        <v>119</v>
      </c>
      <c r="M8" s="102"/>
      <c r="N8" s="102"/>
      <c r="R8" s="102"/>
      <c r="S8" s="102"/>
      <c r="T8" s="102"/>
      <c r="W8" s="100"/>
    </row>
    <row r="9" spans="1:25" x14ac:dyDescent="0.35">
      <c r="A9" s="108">
        <v>39814</v>
      </c>
      <c r="B9" s="109">
        <f t="shared" ref="B9:B40" si="1">WEEKDAY(A9,2)</f>
        <v>4</v>
      </c>
      <c r="C9" s="97"/>
      <c r="D9" s="97"/>
      <c r="E9" s="97"/>
      <c r="F9" s="97"/>
      <c r="M9" s="110">
        <v>76226.552261199962</v>
      </c>
      <c r="N9" s="111">
        <v>66551.697262730435</v>
      </c>
      <c r="O9" s="111">
        <v>70970.309222921685</v>
      </c>
      <c r="P9" s="111">
        <v>78641.572886810565</v>
      </c>
      <c r="Q9" s="111">
        <v>90778.506532264597</v>
      </c>
      <c r="R9" s="111">
        <v>83563.739950472213</v>
      </c>
      <c r="S9" s="112">
        <v>-497.41822222222225</v>
      </c>
      <c r="T9" s="113">
        <v>114.26136111111111</v>
      </c>
      <c r="U9" s="113">
        <v>-546.12938888888891</v>
      </c>
      <c r="V9" s="113">
        <v>-609.56922222222238</v>
      </c>
      <c r="W9" s="113">
        <v>6.2616388888888892</v>
      </c>
      <c r="X9" s="113">
        <v>572.05256719444446</v>
      </c>
      <c r="Y9" s="114"/>
    </row>
    <row r="10" spans="1:25" x14ac:dyDescent="0.35">
      <c r="A10" s="108">
        <v>39815</v>
      </c>
      <c r="B10" s="109">
        <f t="shared" si="1"/>
        <v>5</v>
      </c>
      <c r="C10" s="108">
        <v>40179</v>
      </c>
      <c r="D10" s="109">
        <f t="shared" ref="D10:D41" si="2">WEEKDAY(C10,2)</f>
        <v>5</v>
      </c>
      <c r="E10" s="97"/>
      <c r="F10" s="97"/>
      <c r="M10" s="110">
        <v>75667.724872311053</v>
      </c>
      <c r="N10" s="110">
        <v>66675.464623841573</v>
      </c>
      <c r="O10" s="111">
        <v>71834.063722921681</v>
      </c>
      <c r="P10" s="111">
        <v>78158.160914588341</v>
      </c>
      <c r="Q10" s="111">
        <v>90784.735865597919</v>
      </c>
      <c r="R10" s="111">
        <v>83819.538950500006</v>
      </c>
      <c r="S10" s="112">
        <v>-558.82738888888889</v>
      </c>
      <c r="T10" s="112">
        <v>123.76736111111111</v>
      </c>
      <c r="U10" s="113">
        <v>-177.67233333333334</v>
      </c>
      <c r="V10" s="113">
        <v>-561.94963888888879</v>
      </c>
      <c r="W10" s="113">
        <v>-130.64675000000003</v>
      </c>
      <c r="X10" s="113">
        <v>255.79900716666666</v>
      </c>
      <c r="Y10" s="114"/>
    </row>
    <row r="11" spans="1:25" x14ac:dyDescent="0.35">
      <c r="A11" s="108">
        <v>39816</v>
      </c>
      <c r="B11" s="109">
        <f t="shared" si="1"/>
        <v>6</v>
      </c>
      <c r="C11" s="108">
        <v>40180</v>
      </c>
      <c r="D11" s="109">
        <f t="shared" si="2"/>
        <v>6</v>
      </c>
      <c r="E11" s="108">
        <v>40544</v>
      </c>
      <c r="F11" s="109">
        <f t="shared" ref="F11:F42" si="3">WEEKDAY(E11,2)</f>
        <v>6</v>
      </c>
      <c r="M11" s="110">
        <v>75053.761038977726</v>
      </c>
      <c r="N11" s="110">
        <v>66655.05687384159</v>
      </c>
      <c r="O11" s="110">
        <v>71775.40527847725</v>
      </c>
      <c r="P11" s="111">
        <v>77815.097136810582</v>
      </c>
      <c r="Q11" s="111">
        <v>90654.088504486834</v>
      </c>
      <c r="R11" s="111">
        <v>83819.623394861104</v>
      </c>
      <c r="S11" s="112">
        <v>-613.96383333333324</v>
      </c>
      <c r="T11" s="112">
        <v>-20.40775</v>
      </c>
      <c r="U11" s="112">
        <v>-58.658444444444442</v>
      </c>
      <c r="V11" s="113">
        <v>-483.41197222222206</v>
      </c>
      <c r="W11" s="113">
        <v>-276.81558333333334</v>
      </c>
      <c r="X11" s="113">
        <v>8.4428250000000024E-2</v>
      </c>
      <c r="Y11" s="114"/>
    </row>
    <row r="12" spans="1:25" x14ac:dyDescent="0.35">
      <c r="A12" s="108">
        <v>39817</v>
      </c>
      <c r="B12" s="109">
        <f t="shared" si="1"/>
        <v>7</v>
      </c>
      <c r="C12" s="108">
        <v>40181</v>
      </c>
      <c r="D12" s="109">
        <f t="shared" si="2"/>
        <v>7</v>
      </c>
      <c r="E12" s="108">
        <v>40545</v>
      </c>
      <c r="F12" s="109">
        <f t="shared" si="3"/>
        <v>7</v>
      </c>
      <c r="G12" s="115">
        <v>40909</v>
      </c>
      <c r="H12" s="109">
        <f t="shared" ref="H12:H43" si="4">WEEKDAY(G12,2)</f>
        <v>7</v>
      </c>
      <c r="M12" s="110">
        <v>74195.496844533234</v>
      </c>
      <c r="N12" s="110">
        <v>66015.855734952696</v>
      </c>
      <c r="O12" s="110">
        <v>71471.966472921689</v>
      </c>
      <c r="P12" s="110">
        <v>77505.098220143904</v>
      </c>
      <c r="Q12" s="111">
        <v>90377.272921153504</v>
      </c>
      <c r="R12" s="111">
        <v>83819.720367083341</v>
      </c>
      <c r="S12" s="112">
        <v>-858.26419444444446</v>
      </c>
      <c r="T12" s="112">
        <v>-639.20113888888886</v>
      </c>
      <c r="U12" s="112">
        <v>-303.43880555555552</v>
      </c>
      <c r="V12" s="112">
        <v>-309.99891666666662</v>
      </c>
      <c r="W12" s="113">
        <v>-276.81558333333334</v>
      </c>
      <c r="X12" s="113">
        <v>8.4428250000000024E-2</v>
      </c>
      <c r="Y12" s="114"/>
    </row>
    <row r="13" spans="1:25" x14ac:dyDescent="0.35">
      <c r="A13" s="108">
        <v>39818</v>
      </c>
      <c r="B13" s="109">
        <f t="shared" si="1"/>
        <v>1</v>
      </c>
      <c r="C13" s="108">
        <v>40182</v>
      </c>
      <c r="D13" s="109">
        <f t="shared" si="2"/>
        <v>1</v>
      </c>
      <c r="E13" s="108">
        <v>40546</v>
      </c>
      <c r="F13" s="109">
        <f t="shared" si="3"/>
        <v>1</v>
      </c>
      <c r="G13" s="115">
        <v>40910</v>
      </c>
      <c r="H13" s="109">
        <f t="shared" si="4"/>
        <v>1</v>
      </c>
      <c r="M13" s="110">
        <v>73149.476594533277</v>
      </c>
      <c r="N13" s="110">
        <v>65232.912290508233</v>
      </c>
      <c r="O13" s="110">
        <v>70758.730584032804</v>
      </c>
      <c r="P13" s="110">
        <v>76856.678497921705</v>
      </c>
      <c r="Q13" s="111">
        <v>90036.66153226461</v>
      </c>
      <c r="R13" s="111">
        <v>83770.518755972225</v>
      </c>
      <c r="S13" s="112">
        <v>-1046.02025</v>
      </c>
      <c r="T13" s="112">
        <v>-782.94344444444437</v>
      </c>
      <c r="U13" s="112">
        <v>-713.23588888888889</v>
      </c>
      <c r="V13" s="112">
        <v>-648.41972222222228</v>
      </c>
      <c r="W13" s="113">
        <v>-340.60361111111109</v>
      </c>
      <c r="X13" s="113">
        <v>9.6956527777777801E-2</v>
      </c>
      <c r="Y13" s="114"/>
    </row>
    <row r="14" spans="1:25" x14ac:dyDescent="0.35">
      <c r="A14" s="108">
        <v>39819</v>
      </c>
      <c r="B14" s="109">
        <f t="shared" si="1"/>
        <v>2</v>
      </c>
      <c r="C14" s="108">
        <v>40183</v>
      </c>
      <c r="D14" s="109">
        <f t="shared" si="2"/>
        <v>2</v>
      </c>
      <c r="E14" s="108">
        <v>40547</v>
      </c>
      <c r="F14" s="109">
        <f t="shared" si="3"/>
        <v>2</v>
      </c>
      <c r="G14" s="115">
        <v>40911</v>
      </c>
      <c r="H14" s="109">
        <f t="shared" si="4"/>
        <v>2</v>
      </c>
      <c r="I14" s="115">
        <v>41275</v>
      </c>
      <c r="J14" s="109">
        <f t="shared" ref="J14:J77" si="5">WEEKDAY(I14,2)</f>
        <v>2</v>
      </c>
      <c r="M14" s="110">
        <v>71490.221900088829</v>
      </c>
      <c r="N14" s="110">
        <v>64394.495762730483</v>
      </c>
      <c r="O14" s="110">
        <v>69813.669806255013</v>
      </c>
      <c r="P14" s="110">
        <v>76135.019803477233</v>
      </c>
      <c r="Q14" s="110">
        <v>89645.703087820177</v>
      </c>
      <c r="R14" s="111">
        <v>83651.853144861117</v>
      </c>
      <c r="S14" s="112">
        <v>-1659.2546944444448</v>
      </c>
      <c r="T14" s="112">
        <v>-838.41652777777779</v>
      </c>
      <c r="U14" s="112">
        <v>-945.06077777777773</v>
      </c>
      <c r="V14" s="112">
        <v>-721.65869444444468</v>
      </c>
      <c r="W14" s="112">
        <v>-390.95844444444441</v>
      </c>
      <c r="X14" s="113">
        <v>-118.66559886111112</v>
      </c>
      <c r="Y14" s="114"/>
    </row>
    <row r="15" spans="1:25" x14ac:dyDescent="0.35">
      <c r="A15" s="108">
        <v>39820</v>
      </c>
      <c r="B15" s="109">
        <f t="shared" si="1"/>
        <v>3</v>
      </c>
      <c r="C15" s="108">
        <v>40184</v>
      </c>
      <c r="D15" s="109">
        <f t="shared" si="2"/>
        <v>3</v>
      </c>
      <c r="E15" s="108">
        <v>40548</v>
      </c>
      <c r="F15" s="109">
        <f t="shared" si="3"/>
        <v>3</v>
      </c>
      <c r="G15" s="115">
        <v>40912</v>
      </c>
      <c r="H15" s="109">
        <f t="shared" si="4"/>
        <v>3</v>
      </c>
      <c r="I15" s="115">
        <v>41276</v>
      </c>
      <c r="J15" s="109">
        <f t="shared" si="5"/>
        <v>3</v>
      </c>
      <c r="K15" s="115">
        <v>41640</v>
      </c>
      <c r="L15" s="109">
        <f t="shared" ref="L15:L60" si="6">WEEKDAY(K15,2)</f>
        <v>3</v>
      </c>
      <c r="M15" s="110">
        <v>69544.037872311063</v>
      </c>
      <c r="N15" s="110">
        <v>63761.853262730481</v>
      </c>
      <c r="O15" s="110">
        <v>68987.516806255036</v>
      </c>
      <c r="P15" s="110">
        <v>75380.926803477225</v>
      </c>
      <c r="Q15" s="110">
        <v>88924.938921153473</v>
      </c>
      <c r="R15" s="110">
        <v>83532.145728194446</v>
      </c>
      <c r="S15" s="112">
        <v>-1946.1840277777767</v>
      </c>
      <c r="T15" s="112">
        <v>-632.64250000000004</v>
      </c>
      <c r="U15" s="112">
        <v>-826.15299999999991</v>
      </c>
      <c r="V15" s="112">
        <v>-754.09300000000019</v>
      </c>
      <c r="W15" s="112">
        <v>-720.76416666666694</v>
      </c>
      <c r="X15" s="112">
        <v>-119.70742430555555</v>
      </c>
      <c r="Y15" s="114"/>
    </row>
    <row r="16" spans="1:25" x14ac:dyDescent="0.35">
      <c r="A16" s="108">
        <v>39821</v>
      </c>
      <c r="B16" s="109">
        <f t="shared" si="1"/>
        <v>4</v>
      </c>
      <c r="C16" s="108">
        <v>40185</v>
      </c>
      <c r="D16" s="109">
        <f t="shared" si="2"/>
        <v>4</v>
      </c>
      <c r="E16" s="108">
        <v>40549</v>
      </c>
      <c r="F16" s="109">
        <f t="shared" si="3"/>
        <v>4</v>
      </c>
      <c r="G16" s="115">
        <v>40913</v>
      </c>
      <c r="H16" s="109">
        <f t="shared" si="4"/>
        <v>4</v>
      </c>
      <c r="I16" s="115">
        <v>41277</v>
      </c>
      <c r="J16" s="109">
        <f t="shared" si="5"/>
        <v>4</v>
      </c>
      <c r="K16" s="115">
        <v>41641</v>
      </c>
      <c r="L16" s="109">
        <f t="shared" si="6"/>
        <v>4</v>
      </c>
      <c r="M16" s="110">
        <v>67628.965483422129</v>
      </c>
      <c r="N16" s="110">
        <v>63121.376429397154</v>
      </c>
      <c r="O16" s="110">
        <v>68379.694611810555</v>
      </c>
      <c r="P16" s="110">
        <v>74821.051525699484</v>
      </c>
      <c r="Q16" s="110">
        <v>88234.154476708994</v>
      </c>
      <c r="R16" s="110">
        <v>83079.203283750001</v>
      </c>
      <c r="S16" s="112">
        <v>-1915.0723888888886</v>
      </c>
      <c r="T16" s="112">
        <v>-640.47683333333339</v>
      </c>
      <c r="U16" s="112">
        <v>-607.82219444444445</v>
      </c>
      <c r="V16" s="112">
        <v>-559.8752777777778</v>
      </c>
      <c r="W16" s="112">
        <v>-690.7844444444446</v>
      </c>
      <c r="X16" s="112">
        <v>-452.94244927777777</v>
      </c>
      <c r="Y16" s="114"/>
    </row>
    <row r="17" spans="1:25" x14ac:dyDescent="0.35">
      <c r="A17" s="108">
        <v>39822</v>
      </c>
      <c r="B17" s="109">
        <f t="shared" si="1"/>
        <v>5</v>
      </c>
      <c r="C17" s="108">
        <v>40186</v>
      </c>
      <c r="D17" s="109">
        <f t="shared" si="2"/>
        <v>5</v>
      </c>
      <c r="E17" s="108">
        <v>40550</v>
      </c>
      <c r="F17" s="109">
        <f t="shared" si="3"/>
        <v>5</v>
      </c>
      <c r="G17" s="115">
        <v>40914</v>
      </c>
      <c r="H17" s="109">
        <f t="shared" si="4"/>
        <v>5</v>
      </c>
      <c r="I17" s="115">
        <v>41278</v>
      </c>
      <c r="J17" s="109">
        <f t="shared" si="5"/>
        <v>5</v>
      </c>
      <c r="K17" s="115">
        <v>41642</v>
      </c>
      <c r="L17" s="109">
        <f t="shared" si="6"/>
        <v>5</v>
      </c>
      <c r="M17" s="110">
        <v>65742.899316755487</v>
      </c>
      <c r="N17" s="110">
        <v>62463.592234952681</v>
      </c>
      <c r="O17" s="110">
        <v>68003.188306255048</v>
      </c>
      <c r="P17" s="110">
        <v>74443.124859032803</v>
      </c>
      <c r="Q17" s="110">
        <v>87682.423893375701</v>
      </c>
      <c r="R17" s="110">
        <v>82654.462005972222</v>
      </c>
      <c r="S17" s="112">
        <v>-1886.066166666667</v>
      </c>
      <c r="T17" s="112">
        <v>-657.78419444444444</v>
      </c>
      <c r="U17" s="112">
        <v>-376.50630555555557</v>
      </c>
      <c r="V17" s="112">
        <v>-377.92666666666662</v>
      </c>
      <c r="W17" s="112">
        <v>-551.73058333333324</v>
      </c>
      <c r="X17" s="112">
        <v>-424.74129783333331</v>
      </c>
      <c r="Y17" s="114"/>
    </row>
    <row r="18" spans="1:25" x14ac:dyDescent="0.35">
      <c r="A18" s="108">
        <v>39823</v>
      </c>
      <c r="B18" s="109">
        <f t="shared" si="1"/>
        <v>6</v>
      </c>
      <c r="C18" s="108">
        <v>40187</v>
      </c>
      <c r="D18" s="109">
        <f t="shared" si="2"/>
        <v>6</v>
      </c>
      <c r="E18" s="108">
        <v>40551</v>
      </c>
      <c r="F18" s="109">
        <f t="shared" si="3"/>
        <v>6</v>
      </c>
      <c r="G18" s="115">
        <v>40915</v>
      </c>
      <c r="H18" s="109">
        <f t="shared" si="4"/>
        <v>6</v>
      </c>
      <c r="I18" s="115">
        <v>41279</v>
      </c>
      <c r="J18" s="109">
        <f t="shared" si="5"/>
        <v>6</v>
      </c>
      <c r="K18" s="115">
        <v>41643</v>
      </c>
      <c r="L18" s="109">
        <f t="shared" si="6"/>
        <v>6</v>
      </c>
      <c r="M18" s="110">
        <v>64186.923733422154</v>
      </c>
      <c r="N18" s="110">
        <v>61954.232651619372</v>
      </c>
      <c r="O18" s="110">
        <v>67541.941834032797</v>
      </c>
      <c r="P18" s="110">
        <v>74076.948914588313</v>
      </c>
      <c r="Q18" s="110">
        <v>87476.899643375727</v>
      </c>
      <c r="R18" s="110">
        <v>82321.128450416669</v>
      </c>
      <c r="S18" s="112">
        <v>-1555.9755833333338</v>
      </c>
      <c r="T18" s="112">
        <v>-509.35958333333332</v>
      </c>
      <c r="U18" s="112">
        <v>-461.24647222222222</v>
      </c>
      <c r="V18" s="112">
        <v>-366.17594444444461</v>
      </c>
      <c r="W18" s="112">
        <v>-205.51730555555559</v>
      </c>
      <c r="X18" s="112">
        <v>-333.33356400000002</v>
      </c>
      <c r="Y18" s="114"/>
    </row>
    <row r="19" spans="1:25" x14ac:dyDescent="0.35">
      <c r="A19" s="108">
        <v>39824</v>
      </c>
      <c r="B19" s="109">
        <f t="shared" si="1"/>
        <v>7</v>
      </c>
      <c r="C19" s="108">
        <v>40188</v>
      </c>
      <c r="D19" s="109">
        <f t="shared" si="2"/>
        <v>7</v>
      </c>
      <c r="E19" s="108">
        <v>40552</v>
      </c>
      <c r="F19" s="109">
        <f t="shared" si="3"/>
        <v>7</v>
      </c>
      <c r="G19" s="115">
        <v>40916</v>
      </c>
      <c r="H19" s="109">
        <f t="shared" si="4"/>
        <v>7</v>
      </c>
      <c r="I19" s="115">
        <v>41280</v>
      </c>
      <c r="J19" s="109">
        <f t="shared" si="5"/>
        <v>7</v>
      </c>
      <c r="K19" s="115">
        <v>41644</v>
      </c>
      <c r="L19" s="109">
        <f t="shared" si="6"/>
        <v>7</v>
      </c>
      <c r="M19" s="110">
        <v>62907.100455644388</v>
      </c>
      <c r="N19" s="110">
        <v>61493.759290508257</v>
      </c>
      <c r="O19" s="110">
        <v>67218.796445143889</v>
      </c>
      <c r="P19" s="110">
        <v>73765.512803477221</v>
      </c>
      <c r="Q19" s="110">
        <v>87254.565698931227</v>
      </c>
      <c r="R19" s="110">
        <v>82161.193561527776</v>
      </c>
      <c r="S19" s="112">
        <v>-1279.8232777777778</v>
      </c>
      <c r="T19" s="112">
        <v>-460.47336111111116</v>
      </c>
      <c r="U19" s="112">
        <v>-323.14538888888887</v>
      </c>
      <c r="V19" s="112">
        <v>-311.43611111111113</v>
      </c>
      <c r="W19" s="112">
        <v>-222.33138888888891</v>
      </c>
      <c r="X19" s="112">
        <v>-159.93489116666666</v>
      </c>
      <c r="Y19" s="114"/>
    </row>
    <row r="20" spans="1:25" x14ac:dyDescent="0.35">
      <c r="A20" s="108">
        <v>39825</v>
      </c>
      <c r="B20" s="109">
        <f t="shared" si="1"/>
        <v>1</v>
      </c>
      <c r="C20" s="108">
        <v>40189</v>
      </c>
      <c r="D20" s="109">
        <f t="shared" si="2"/>
        <v>1</v>
      </c>
      <c r="E20" s="108">
        <v>40553</v>
      </c>
      <c r="F20" s="109">
        <f t="shared" si="3"/>
        <v>1</v>
      </c>
      <c r="G20" s="115">
        <v>40917</v>
      </c>
      <c r="H20" s="109">
        <f t="shared" si="4"/>
        <v>1</v>
      </c>
      <c r="I20" s="115">
        <v>41281</v>
      </c>
      <c r="J20" s="109">
        <f t="shared" si="5"/>
        <v>1</v>
      </c>
      <c r="K20" s="115">
        <v>41645</v>
      </c>
      <c r="L20" s="109">
        <f t="shared" si="6"/>
        <v>1</v>
      </c>
      <c r="M20" s="110">
        <v>60963.657177866611</v>
      </c>
      <c r="N20" s="110">
        <v>60491.589234952677</v>
      </c>
      <c r="O20" s="110">
        <v>66517.610056255027</v>
      </c>
      <c r="P20" s="110">
        <v>72956.660720143889</v>
      </c>
      <c r="Q20" s="110">
        <v>86830.489421153456</v>
      </c>
      <c r="R20" s="110">
        <v>81786.501589305553</v>
      </c>
      <c r="S20" s="112">
        <v>-1943.4432777777777</v>
      </c>
      <c r="T20" s="112">
        <v>-1002.1700555555556</v>
      </c>
      <c r="U20" s="112">
        <v>-701.18638888888893</v>
      </c>
      <c r="V20" s="112">
        <v>-808.85208333333355</v>
      </c>
      <c r="W20" s="112">
        <v>-721.70916666666665</v>
      </c>
      <c r="X20" s="112">
        <v>-374.69197025</v>
      </c>
      <c r="Y20" s="114"/>
    </row>
    <row r="21" spans="1:25" x14ac:dyDescent="0.35">
      <c r="A21" s="108">
        <v>39826</v>
      </c>
      <c r="B21" s="109">
        <f t="shared" si="1"/>
        <v>2</v>
      </c>
      <c r="C21" s="108">
        <v>40190</v>
      </c>
      <c r="D21" s="109">
        <f t="shared" si="2"/>
        <v>2</v>
      </c>
      <c r="E21" s="108">
        <v>40554</v>
      </c>
      <c r="F21" s="109">
        <f t="shared" si="3"/>
        <v>2</v>
      </c>
      <c r="G21" s="115">
        <v>40918</v>
      </c>
      <c r="H21" s="109">
        <f t="shared" si="4"/>
        <v>2</v>
      </c>
      <c r="I21" s="115">
        <v>41282</v>
      </c>
      <c r="J21" s="109">
        <f t="shared" si="5"/>
        <v>2</v>
      </c>
      <c r="K21" s="115">
        <v>41646</v>
      </c>
      <c r="L21" s="109">
        <f t="shared" si="6"/>
        <v>2</v>
      </c>
      <c r="M21" s="110">
        <v>59053.207955644371</v>
      </c>
      <c r="N21" s="110">
        <v>59551.767068286019</v>
      </c>
      <c r="O21" s="110">
        <v>65984.165361810563</v>
      </c>
      <c r="P21" s="110">
        <v>72122.291359032766</v>
      </c>
      <c r="Q21" s="110">
        <v>86163.573643375683</v>
      </c>
      <c r="R21" s="110">
        <v>80867.212644861109</v>
      </c>
      <c r="S21" s="112">
        <v>-1910.4492222222223</v>
      </c>
      <c r="T21" s="112">
        <v>-939.82216666666659</v>
      </c>
      <c r="U21" s="112">
        <v>-533.44469444444439</v>
      </c>
      <c r="V21" s="112">
        <v>-834.36936111111152</v>
      </c>
      <c r="W21" s="112">
        <v>-666.91577777777775</v>
      </c>
      <c r="X21" s="112">
        <v>-919.2889639166666</v>
      </c>
      <c r="Y21" s="114"/>
    </row>
    <row r="22" spans="1:25" x14ac:dyDescent="0.35">
      <c r="A22" s="108">
        <v>39827</v>
      </c>
      <c r="B22" s="109">
        <f t="shared" si="1"/>
        <v>3</v>
      </c>
      <c r="C22" s="108">
        <v>40191</v>
      </c>
      <c r="D22" s="109">
        <f t="shared" si="2"/>
        <v>3</v>
      </c>
      <c r="E22" s="108">
        <v>40555</v>
      </c>
      <c r="F22" s="109">
        <f t="shared" si="3"/>
        <v>3</v>
      </c>
      <c r="G22" s="115">
        <v>40919</v>
      </c>
      <c r="H22" s="109">
        <f t="shared" si="4"/>
        <v>3</v>
      </c>
      <c r="I22" s="115">
        <v>41283</v>
      </c>
      <c r="J22" s="109">
        <f t="shared" si="5"/>
        <v>3</v>
      </c>
      <c r="K22" s="115">
        <v>41647</v>
      </c>
      <c r="L22" s="109">
        <f t="shared" si="6"/>
        <v>3</v>
      </c>
      <c r="M22" s="110">
        <v>57251.663122311045</v>
      </c>
      <c r="N22" s="110">
        <v>58842.027262730488</v>
      </c>
      <c r="O22" s="110">
        <v>65348.878084032818</v>
      </c>
      <c r="P22" s="110">
        <v>71321.607664588329</v>
      </c>
      <c r="Q22" s="110">
        <v>85383.669726709006</v>
      </c>
      <c r="R22" s="110">
        <v>79980.547172638893</v>
      </c>
      <c r="S22" s="112">
        <v>-1801.5448333333331</v>
      </c>
      <c r="T22" s="112">
        <v>-709.73980555555545</v>
      </c>
      <c r="U22" s="112">
        <v>-635.28727777777783</v>
      </c>
      <c r="V22" s="112">
        <v>-800.68369444444454</v>
      </c>
      <c r="W22" s="112">
        <v>-779.90391666666687</v>
      </c>
      <c r="X22" s="112">
        <v>-886.66546522222222</v>
      </c>
      <c r="Y22" s="114"/>
    </row>
    <row r="23" spans="1:25" x14ac:dyDescent="0.35">
      <c r="A23" s="108">
        <v>39828</v>
      </c>
      <c r="B23" s="109">
        <f t="shared" si="1"/>
        <v>4</v>
      </c>
      <c r="C23" s="108">
        <v>40192</v>
      </c>
      <c r="D23" s="109">
        <f t="shared" si="2"/>
        <v>4</v>
      </c>
      <c r="E23" s="108">
        <v>40556</v>
      </c>
      <c r="F23" s="109">
        <f t="shared" si="3"/>
        <v>4</v>
      </c>
      <c r="G23" s="115">
        <v>40920</v>
      </c>
      <c r="H23" s="109">
        <f t="shared" si="4"/>
        <v>4</v>
      </c>
      <c r="I23" s="115">
        <v>41284</v>
      </c>
      <c r="J23" s="109">
        <f t="shared" si="5"/>
        <v>4</v>
      </c>
      <c r="K23" s="115">
        <v>41648</v>
      </c>
      <c r="L23" s="109">
        <f t="shared" si="6"/>
        <v>4</v>
      </c>
      <c r="M23" s="110">
        <v>55652.823511199946</v>
      </c>
      <c r="N23" s="110">
        <v>58185.114984952699</v>
      </c>
      <c r="O23" s="110">
        <v>64595.617806255024</v>
      </c>
      <c r="P23" s="110">
        <v>70435.203247921672</v>
      </c>
      <c r="Q23" s="110">
        <v>84681.564060042379</v>
      </c>
      <c r="R23" s="110">
        <v>79151.716672638882</v>
      </c>
      <c r="S23" s="112">
        <v>-1598.8396111111115</v>
      </c>
      <c r="T23" s="112">
        <v>-656.91227777777783</v>
      </c>
      <c r="U23" s="112">
        <v>-753.26027777777779</v>
      </c>
      <c r="V23" s="112">
        <v>-886.40441666666663</v>
      </c>
      <c r="W23" s="112">
        <v>-702.10566666666648</v>
      </c>
      <c r="X23" s="112">
        <v>-828.8305054444445</v>
      </c>
      <c r="Y23" s="114"/>
    </row>
    <row r="24" spans="1:25" x14ac:dyDescent="0.35">
      <c r="A24" s="108">
        <v>39829</v>
      </c>
      <c r="B24" s="109">
        <f t="shared" si="1"/>
        <v>5</v>
      </c>
      <c r="C24" s="108">
        <v>40193</v>
      </c>
      <c r="D24" s="109">
        <f t="shared" si="2"/>
        <v>5</v>
      </c>
      <c r="E24" s="108">
        <v>40557</v>
      </c>
      <c r="F24" s="109">
        <f t="shared" si="3"/>
        <v>5</v>
      </c>
      <c r="G24" s="115">
        <v>40921</v>
      </c>
      <c r="H24" s="109">
        <f t="shared" si="4"/>
        <v>5</v>
      </c>
      <c r="I24" s="115">
        <v>41285</v>
      </c>
      <c r="J24" s="109">
        <f t="shared" si="5"/>
        <v>5</v>
      </c>
      <c r="K24" s="115">
        <v>41649</v>
      </c>
      <c r="L24" s="109">
        <f t="shared" si="6"/>
        <v>5</v>
      </c>
      <c r="M24" s="110">
        <v>54091.813983422173</v>
      </c>
      <c r="N24" s="110">
        <v>57600.42312384156</v>
      </c>
      <c r="O24" s="110">
        <v>63809.18725069947</v>
      </c>
      <c r="P24" s="110">
        <v>69656.767109032749</v>
      </c>
      <c r="Q24" s="110">
        <v>83955.200560042344</v>
      </c>
      <c r="R24" s="110">
        <v>78364.095672638898</v>
      </c>
      <c r="S24" s="112">
        <v>-1561.009527777778</v>
      </c>
      <c r="T24" s="112">
        <v>-584.69186111111117</v>
      </c>
      <c r="U24" s="112">
        <v>-786.43055555555554</v>
      </c>
      <c r="V24" s="112">
        <v>-778.43613888888865</v>
      </c>
      <c r="W24" s="112">
        <v>-726.36350000000016</v>
      </c>
      <c r="X24" s="112">
        <v>-787.62099391666663</v>
      </c>
      <c r="Y24" s="114"/>
    </row>
    <row r="25" spans="1:25" x14ac:dyDescent="0.35">
      <c r="A25" s="108">
        <v>39830</v>
      </c>
      <c r="B25" s="109">
        <f t="shared" si="1"/>
        <v>6</v>
      </c>
      <c r="C25" s="108">
        <v>40194</v>
      </c>
      <c r="D25" s="109">
        <f t="shared" si="2"/>
        <v>6</v>
      </c>
      <c r="E25" s="108">
        <v>40558</v>
      </c>
      <c r="F25" s="109">
        <f t="shared" si="3"/>
        <v>6</v>
      </c>
      <c r="G25" s="115">
        <v>40922</v>
      </c>
      <c r="H25" s="109">
        <f t="shared" si="4"/>
        <v>6</v>
      </c>
      <c r="I25" s="115">
        <v>41286</v>
      </c>
      <c r="J25" s="109">
        <f t="shared" si="5"/>
        <v>6</v>
      </c>
      <c r="K25" s="115">
        <v>41650</v>
      </c>
      <c r="L25" s="109">
        <f t="shared" si="6"/>
        <v>6</v>
      </c>
      <c r="M25" s="110">
        <v>52958.686427866603</v>
      </c>
      <c r="N25" s="110">
        <v>57192.29454050825</v>
      </c>
      <c r="O25" s="110">
        <v>63527.336945143914</v>
      </c>
      <c r="P25" s="110">
        <v>69153.027942366156</v>
      </c>
      <c r="Q25" s="110">
        <v>83520.572671153481</v>
      </c>
      <c r="R25" s="110">
        <v>77958.747894861124</v>
      </c>
      <c r="S25" s="112">
        <v>-1133.1275555555555</v>
      </c>
      <c r="T25" s="112">
        <v>-408.12858333333332</v>
      </c>
      <c r="U25" s="112">
        <v>-281.85030555555556</v>
      </c>
      <c r="V25" s="112">
        <v>-503.73916666666656</v>
      </c>
      <c r="W25" s="112">
        <v>-434.62788888888889</v>
      </c>
      <c r="X25" s="112">
        <v>-405.3477722222222</v>
      </c>
      <c r="Y25" s="114"/>
    </row>
    <row r="26" spans="1:25" x14ac:dyDescent="0.35">
      <c r="A26" s="108">
        <v>39831</v>
      </c>
      <c r="B26" s="109">
        <f t="shared" si="1"/>
        <v>7</v>
      </c>
      <c r="C26" s="108">
        <v>40195</v>
      </c>
      <c r="D26" s="109">
        <f t="shared" si="2"/>
        <v>7</v>
      </c>
      <c r="E26" s="108">
        <v>40559</v>
      </c>
      <c r="F26" s="109">
        <f t="shared" si="3"/>
        <v>7</v>
      </c>
      <c r="G26" s="115">
        <v>40923</v>
      </c>
      <c r="H26" s="109">
        <f t="shared" si="4"/>
        <v>7</v>
      </c>
      <c r="I26" s="115">
        <v>41287</v>
      </c>
      <c r="J26" s="109">
        <f t="shared" si="5"/>
        <v>7</v>
      </c>
      <c r="K26" s="115">
        <v>41651</v>
      </c>
      <c r="L26" s="109">
        <f t="shared" si="6"/>
        <v>7</v>
      </c>
      <c r="M26" s="110">
        <v>52045.936261199931</v>
      </c>
      <c r="N26" s="110">
        <v>56747.043318286</v>
      </c>
      <c r="O26" s="110">
        <v>63293.793195143888</v>
      </c>
      <c r="P26" s="110">
        <v>68546.647553477218</v>
      </c>
      <c r="Q26" s="110">
        <v>83113.443587820118</v>
      </c>
      <c r="R26" s="110">
        <v>77599.697172638887</v>
      </c>
      <c r="S26" s="112">
        <v>-912.7501666666667</v>
      </c>
      <c r="T26" s="112">
        <v>-445.25122222222217</v>
      </c>
      <c r="U26" s="112">
        <v>-233.54374999999999</v>
      </c>
      <c r="V26" s="112">
        <v>-619.11405555555541</v>
      </c>
      <c r="W26" s="112">
        <v>-407.12908333333343</v>
      </c>
      <c r="X26" s="112">
        <v>-359.26808505555556</v>
      </c>
      <c r="Y26" s="114"/>
    </row>
    <row r="27" spans="1:25" x14ac:dyDescent="0.35">
      <c r="A27" s="108">
        <v>39832</v>
      </c>
      <c r="B27" s="109">
        <f t="shared" si="1"/>
        <v>1</v>
      </c>
      <c r="C27" s="108">
        <v>40196</v>
      </c>
      <c r="D27" s="109">
        <f t="shared" si="2"/>
        <v>1</v>
      </c>
      <c r="E27" s="108">
        <v>40560</v>
      </c>
      <c r="F27" s="109">
        <f t="shared" si="3"/>
        <v>1</v>
      </c>
      <c r="G27" s="115">
        <v>40924</v>
      </c>
      <c r="H27" s="109">
        <f t="shared" si="4"/>
        <v>1</v>
      </c>
      <c r="I27" s="115">
        <v>41288</v>
      </c>
      <c r="J27" s="109">
        <f t="shared" si="5"/>
        <v>1</v>
      </c>
      <c r="K27" s="115">
        <v>41652</v>
      </c>
      <c r="L27" s="109">
        <f t="shared" si="6"/>
        <v>1</v>
      </c>
      <c r="M27" s="110">
        <v>50532.121011199932</v>
      </c>
      <c r="N27" s="110">
        <v>55669.586957174906</v>
      </c>
      <c r="O27" s="110">
        <v>62226.747750699462</v>
      </c>
      <c r="P27" s="110">
        <v>67117.468775699424</v>
      </c>
      <c r="Q27" s="110">
        <v>82023.953421153463</v>
      </c>
      <c r="R27" s="110">
        <v>76673.223533749988</v>
      </c>
      <c r="S27" s="112">
        <v>-1513.8152499999994</v>
      </c>
      <c r="T27" s="112">
        <v>-1077.4563611111112</v>
      </c>
      <c r="U27" s="112">
        <v>-1067.0454444444445</v>
      </c>
      <c r="V27" s="112">
        <v>-1429.1787777777784</v>
      </c>
      <c r="W27" s="112">
        <v>-1089.4879722222222</v>
      </c>
      <c r="X27" s="112">
        <v>-926.47365011111106</v>
      </c>
      <c r="Y27" s="114"/>
    </row>
    <row r="28" spans="1:25" x14ac:dyDescent="0.35">
      <c r="A28" s="108">
        <v>39833</v>
      </c>
      <c r="B28" s="109">
        <f t="shared" si="1"/>
        <v>2</v>
      </c>
      <c r="C28" s="108">
        <v>40197</v>
      </c>
      <c r="D28" s="109">
        <f t="shared" si="2"/>
        <v>2</v>
      </c>
      <c r="E28" s="108">
        <v>40561</v>
      </c>
      <c r="F28" s="109">
        <f t="shared" si="3"/>
        <v>2</v>
      </c>
      <c r="G28" s="115">
        <v>40925</v>
      </c>
      <c r="H28" s="109">
        <f t="shared" si="4"/>
        <v>2</v>
      </c>
      <c r="I28" s="115">
        <v>41289</v>
      </c>
      <c r="J28" s="109">
        <f t="shared" si="5"/>
        <v>2</v>
      </c>
      <c r="K28" s="115">
        <v>41653</v>
      </c>
      <c r="L28" s="109">
        <f t="shared" si="6"/>
        <v>2</v>
      </c>
      <c r="M28" s="110">
        <v>49385.281261199925</v>
      </c>
      <c r="N28" s="110">
        <v>54630.624734952689</v>
      </c>
      <c r="O28" s="110">
        <v>61264.132500699452</v>
      </c>
      <c r="P28" s="110">
        <v>65724.006164588311</v>
      </c>
      <c r="Q28" s="110">
        <v>80947.636560042316</v>
      </c>
      <c r="R28" s="110">
        <v>75578.382672638894</v>
      </c>
      <c r="S28" s="112">
        <v>-1146.8397500000001</v>
      </c>
      <c r="T28" s="112">
        <v>-1038.9622222222222</v>
      </c>
      <c r="U28" s="112">
        <v>-962.61524999999995</v>
      </c>
      <c r="V28" s="112">
        <v>-1393.4626111111113</v>
      </c>
      <c r="W28" s="112">
        <v>-1076.3168611111109</v>
      </c>
      <c r="X28" s="112">
        <v>-1094.840840888889</v>
      </c>
      <c r="Y28" s="114"/>
    </row>
    <row r="29" spans="1:25" x14ac:dyDescent="0.35">
      <c r="A29" s="108">
        <v>39834</v>
      </c>
      <c r="B29" s="109">
        <f t="shared" si="1"/>
        <v>3</v>
      </c>
      <c r="C29" s="108">
        <v>40198</v>
      </c>
      <c r="D29" s="109">
        <f t="shared" si="2"/>
        <v>3</v>
      </c>
      <c r="E29" s="108">
        <v>40562</v>
      </c>
      <c r="F29" s="109">
        <f t="shared" si="3"/>
        <v>3</v>
      </c>
      <c r="G29" s="115">
        <v>40926</v>
      </c>
      <c r="H29" s="109">
        <f t="shared" si="4"/>
        <v>3</v>
      </c>
      <c r="I29" s="115">
        <v>41290</v>
      </c>
      <c r="J29" s="109">
        <f t="shared" si="5"/>
        <v>3</v>
      </c>
      <c r="K29" s="115">
        <v>41654</v>
      </c>
      <c r="L29" s="109">
        <f t="shared" si="6"/>
        <v>3</v>
      </c>
      <c r="M29" s="110">
        <v>48991.519566755487</v>
      </c>
      <c r="N29" s="110">
        <v>53319.583346063802</v>
      </c>
      <c r="O29" s="110">
        <v>60232.326834032785</v>
      </c>
      <c r="P29" s="110">
        <v>64333.670775699444</v>
      </c>
      <c r="Q29" s="110">
        <v>79635.979143375691</v>
      </c>
      <c r="R29" s="110">
        <v>74500.524505972222</v>
      </c>
      <c r="S29" s="112">
        <v>-393.76169444444446</v>
      </c>
      <c r="T29" s="112">
        <v>-1311.0413888888888</v>
      </c>
      <c r="U29" s="112">
        <v>-1031.8056666666666</v>
      </c>
      <c r="V29" s="112">
        <v>-1390.3353888888892</v>
      </c>
      <c r="W29" s="112">
        <v>-1311.6574166666671</v>
      </c>
      <c r="X29" s="112">
        <v>-1077.8581420555556</v>
      </c>
      <c r="Y29" s="114"/>
    </row>
    <row r="30" spans="1:25" x14ac:dyDescent="0.35">
      <c r="A30" s="108">
        <v>39835</v>
      </c>
      <c r="B30" s="109">
        <f t="shared" si="1"/>
        <v>4</v>
      </c>
      <c r="C30" s="108">
        <v>40199</v>
      </c>
      <c r="D30" s="109">
        <f t="shared" si="2"/>
        <v>4</v>
      </c>
      <c r="E30" s="108">
        <v>40563</v>
      </c>
      <c r="F30" s="109">
        <f t="shared" si="3"/>
        <v>4</v>
      </c>
      <c r="G30" s="115">
        <v>40927</v>
      </c>
      <c r="H30" s="109">
        <f t="shared" si="4"/>
        <v>4</v>
      </c>
      <c r="I30" s="115">
        <v>41291</v>
      </c>
      <c r="J30" s="109">
        <f t="shared" si="5"/>
        <v>4</v>
      </c>
      <c r="K30" s="115">
        <v>41655</v>
      </c>
      <c r="L30" s="109">
        <f t="shared" si="6"/>
        <v>4</v>
      </c>
      <c r="M30" s="110">
        <v>48605.568650088848</v>
      </c>
      <c r="N30" s="110">
        <v>52113.445457174937</v>
      </c>
      <c r="O30" s="110">
        <v>59354.096250699447</v>
      </c>
      <c r="P30" s="110">
        <v>63199.31360903279</v>
      </c>
      <c r="Q30" s="110">
        <v>78246.941726709018</v>
      </c>
      <c r="R30" s="110">
        <v>73380.918478194435</v>
      </c>
      <c r="S30" s="112">
        <v>-385.95091666666667</v>
      </c>
      <c r="T30" s="112">
        <v>-1206.1378888888889</v>
      </c>
      <c r="U30" s="112">
        <v>-878.23058333333336</v>
      </c>
      <c r="V30" s="112">
        <v>-1134.3571666666664</v>
      </c>
      <c r="W30" s="112">
        <v>-1389.0320000000004</v>
      </c>
      <c r="X30" s="112">
        <v>-1119.6060208888889</v>
      </c>
      <c r="Y30" s="114"/>
    </row>
    <row r="31" spans="1:25" x14ac:dyDescent="0.35">
      <c r="A31" s="108">
        <v>39836</v>
      </c>
      <c r="B31" s="109">
        <f t="shared" si="1"/>
        <v>5</v>
      </c>
      <c r="C31" s="108">
        <v>40200</v>
      </c>
      <c r="D31" s="109">
        <f t="shared" si="2"/>
        <v>5</v>
      </c>
      <c r="E31" s="108">
        <v>40564</v>
      </c>
      <c r="F31" s="109">
        <f t="shared" si="3"/>
        <v>5</v>
      </c>
      <c r="G31" s="115">
        <v>40928</v>
      </c>
      <c r="H31" s="109">
        <f t="shared" si="4"/>
        <v>5</v>
      </c>
      <c r="I31" s="115">
        <v>41292</v>
      </c>
      <c r="J31" s="109">
        <f t="shared" si="5"/>
        <v>5</v>
      </c>
      <c r="K31" s="115">
        <v>41656</v>
      </c>
      <c r="L31" s="109">
        <f t="shared" si="6"/>
        <v>5</v>
      </c>
      <c r="M31" s="110">
        <v>48202.532538977699</v>
      </c>
      <c r="N31" s="110">
        <v>50892.809679397113</v>
      </c>
      <c r="O31" s="110">
        <v>58508.706556254998</v>
      </c>
      <c r="P31" s="110">
        <v>62395.726914588318</v>
      </c>
      <c r="Q31" s="110">
        <v>76992.177810042325</v>
      </c>
      <c r="R31" s="110">
        <v>72395.748672638889</v>
      </c>
      <c r="S31" s="112">
        <v>-403.0361111111111</v>
      </c>
      <c r="T31" s="112">
        <v>-1220.6357777777778</v>
      </c>
      <c r="U31" s="112">
        <v>-845.38969444444444</v>
      </c>
      <c r="V31" s="112">
        <v>-803.58669444444433</v>
      </c>
      <c r="W31" s="112">
        <v>-1254.7600555555559</v>
      </c>
      <c r="X31" s="112">
        <v>-985.16980369444445</v>
      </c>
      <c r="Y31" s="114"/>
    </row>
    <row r="32" spans="1:25" x14ac:dyDescent="0.35">
      <c r="A32" s="108">
        <v>39837</v>
      </c>
      <c r="B32" s="109">
        <f t="shared" si="1"/>
        <v>6</v>
      </c>
      <c r="C32" s="108">
        <v>40201</v>
      </c>
      <c r="D32" s="109">
        <f t="shared" si="2"/>
        <v>6</v>
      </c>
      <c r="E32" s="108">
        <v>40565</v>
      </c>
      <c r="F32" s="109">
        <f t="shared" si="3"/>
        <v>6</v>
      </c>
      <c r="G32" s="115">
        <v>40929</v>
      </c>
      <c r="H32" s="109">
        <f t="shared" si="4"/>
        <v>6</v>
      </c>
      <c r="I32" s="115">
        <v>41293</v>
      </c>
      <c r="J32" s="109">
        <f t="shared" si="5"/>
        <v>6</v>
      </c>
      <c r="K32" s="115">
        <v>41657</v>
      </c>
      <c r="L32" s="109">
        <f t="shared" si="6"/>
        <v>6</v>
      </c>
      <c r="M32" s="110">
        <v>48188.845150088826</v>
      </c>
      <c r="N32" s="110">
        <v>49971.906818286014</v>
      </c>
      <c r="O32" s="110">
        <v>58062.18394514393</v>
      </c>
      <c r="P32" s="110">
        <v>62003.789497921651</v>
      </c>
      <c r="Q32" s="110">
        <v>76046.15556004236</v>
      </c>
      <c r="R32" s="110">
        <v>71724.823894861111</v>
      </c>
      <c r="S32" s="112">
        <v>-13.687388888888817</v>
      </c>
      <c r="T32" s="112">
        <v>-920.90286111111106</v>
      </c>
      <c r="U32" s="112">
        <v>-446.52261111111108</v>
      </c>
      <c r="V32" s="112">
        <v>-391.93741666666671</v>
      </c>
      <c r="W32" s="112">
        <v>-946.01933333333352</v>
      </c>
      <c r="X32" s="112">
        <v>-670.92476202777766</v>
      </c>
      <c r="Y32" s="114"/>
    </row>
    <row r="33" spans="1:25" x14ac:dyDescent="0.35">
      <c r="A33" s="108">
        <v>39838</v>
      </c>
      <c r="B33" s="109">
        <f t="shared" si="1"/>
        <v>7</v>
      </c>
      <c r="C33" s="108">
        <v>40202</v>
      </c>
      <c r="D33" s="109">
        <f t="shared" si="2"/>
        <v>7</v>
      </c>
      <c r="E33" s="108">
        <v>40566</v>
      </c>
      <c r="F33" s="109">
        <f t="shared" si="3"/>
        <v>7</v>
      </c>
      <c r="G33" s="115">
        <v>40930</v>
      </c>
      <c r="H33" s="109">
        <f t="shared" si="4"/>
        <v>7</v>
      </c>
      <c r="I33" s="115">
        <v>41294</v>
      </c>
      <c r="J33" s="109">
        <f t="shared" si="5"/>
        <v>7</v>
      </c>
      <c r="K33" s="115">
        <v>41658</v>
      </c>
      <c r="L33" s="109">
        <f t="shared" si="6"/>
        <v>7</v>
      </c>
      <c r="M33" s="110">
        <v>48480.333816755483</v>
      </c>
      <c r="N33" s="110">
        <v>49051.618373841571</v>
      </c>
      <c r="O33" s="110">
        <v>57631.651167366123</v>
      </c>
      <c r="P33" s="110">
        <v>61712.790470143875</v>
      </c>
      <c r="Q33" s="110">
        <v>75553.981893375676</v>
      </c>
      <c r="R33" s="110">
        <v>71232.785200416663</v>
      </c>
      <c r="S33" s="112">
        <v>291.48866666666663</v>
      </c>
      <c r="T33" s="112">
        <v>-920.28844444444439</v>
      </c>
      <c r="U33" s="112">
        <v>-430.53277777777777</v>
      </c>
      <c r="V33" s="112">
        <v>-290.99902777777777</v>
      </c>
      <c r="W33" s="112">
        <v>-492.16794444444446</v>
      </c>
      <c r="X33" s="112">
        <v>-492.0387077777778</v>
      </c>
      <c r="Y33" s="114"/>
    </row>
    <row r="34" spans="1:25" x14ac:dyDescent="0.35">
      <c r="A34" s="108">
        <v>39839</v>
      </c>
      <c r="B34" s="109">
        <f t="shared" si="1"/>
        <v>1</v>
      </c>
      <c r="C34" s="108">
        <v>40203</v>
      </c>
      <c r="D34" s="109">
        <f t="shared" si="2"/>
        <v>1</v>
      </c>
      <c r="E34" s="108">
        <v>40567</v>
      </c>
      <c r="F34" s="109">
        <f t="shared" si="3"/>
        <v>1</v>
      </c>
      <c r="G34" s="115">
        <v>40931</v>
      </c>
      <c r="H34" s="109">
        <f t="shared" si="4"/>
        <v>1</v>
      </c>
      <c r="I34" s="115">
        <v>41295</v>
      </c>
      <c r="J34" s="109">
        <f t="shared" si="5"/>
        <v>1</v>
      </c>
      <c r="K34" s="115">
        <v>41659</v>
      </c>
      <c r="L34" s="109">
        <f t="shared" si="6"/>
        <v>1</v>
      </c>
      <c r="M34" s="110">
        <v>48175.769150088818</v>
      </c>
      <c r="N34" s="110">
        <v>47644.220096063793</v>
      </c>
      <c r="O34" s="110">
        <v>56744.165389588343</v>
      </c>
      <c r="P34" s="110">
        <v>60854.676386810555</v>
      </c>
      <c r="Q34" s="110">
        <v>74605.345865597905</v>
      </c>
      <c r="R34" s="110">
        <v>70466.913033749996</v>
      </c>
      <c r="S34" s="112">
        <v>-304.56466666666665</v>
      </c>
      <c r="T34" s="112">
        <v>-1407.3982777777778</v>
      </c>
      <c r="U34" s="112">
        <v>-887.48577777777768</v>
      </c>
      <c r="V34" s="112">
        <v>-858.11408333333281</v>
      </c>
      <c r="W34" s="112">
        <v>-948.6324444444449</v>
      </c>
      <c r="X34" s="112">
        <v>-765.87216158333342</v>
      </c>
      <c r="Y34" s="114"/>
    </row>
    <row r="35" spans="1:25" x14ac:dyDescent="0.35">
      <c r="A35" s="108">
        <v>39840</v>
      </c>
      <c r="B35" s="109">
        <f t="shared" si="1"/>
        <v>2</v>
      </c>
      <c r="C35" s="108">
        <v>40204</v>
      </c>
      <c r="D35" s="109">
        <f t="shared" si="2"/>
        <v>2</v>
      </c>
      <c r="E35" s="108">
        <v>40568</v>
      </c>
      <c r="F35" s="109">
        <f t="shared" si="3"/>
        <v>2</v>
      </c>
      <c r="G35" s="115">
        <v>40932</v>
      </c>
      <c r="H35" s="109">
        <f t="shared" si="4"/>
        <v>2</v>
      </c>
      <c r="I35" s="115">
        <v>41296</v>
      </c>
      <c r="J35" s="109">
        <f t="shared" si="5"/>
        <v>2</v>
      </c>
      <c r="K35" s="115">
        <v>41660</v>
      </c>
      <c r="L35" s="109">
        <f t="shared" si="6"/>
        <v>2</v>
      </c>
      <c r="M35" s="110">
        <v>47867.857455644356</v>
      </c>
      <c r="N35" s="110">
        <v>46249.588484952685</v>
      </c>
      <c r="O35" s="110">
        <v>55676.213806255008</v>
      </c>
      <c r="P35" s="110">
        <v>60000.213692366095</v>
      </c>
      <c r="Q35" s="110">
        <v>73653.874060042348</v>
      </c>
      <c r="R35" s="110">
        <v>69625.700033749992</v>
      </c>
      <c r="S35" s="112">
        <v>-307.91169444444449</v>
      </c>
      <c r="T35" s="112">
        <v>-1394.6316111111112</v>
      </c>
      <c r="U35" s="112">
        <v>-1067.9515833333335</v>
      </c>
      <c r="V35" s="112">
        <v>-854.46269444444442</v>
      </c>
      <c r="W35" s="112">
        <v>-951.47180555555599</v>
      </c>
      <c r="X35" s="112">
        <v>-841.21301269444439</v>
      </c>
      <c r="Y35" s="114"/>
    </row>
    <row r="36" spans="1:25" x14ac:dyDescent="0.35">
      <c r="A36" s="108">
        <v>39841</v>
      </c>
      <c r="B36" s="109">
        <f t="shared" si="1"/>
        <v>3</v>
      </c>
      <c r="C36" s="108">
        <v>40205</v>
      </c>
      <c r="D36" s="109">
        <f t="shared" si="2"/>
        <v>3</v>
      </c>
      <c r="E36" s="108">
        <v>40569</v>
      </c>
      <c r="F36" s="109">
        <f t="shared" si="3"/>
        <v>3</v>
      </c>
      <c r="G36" s="115">
        <v>40933</v>
      </c>
      <c r="H36" s="109">
        <f t="shared" si="4"/>
        <v>3</v>
      </c>
      <c r="I36" s="115">
        <v>41297</v>
      </c>
      <c r="J36" s="109">
        <f t="shared" si="5"/>
        <v>3</v>
      </c>
      <c r="K36" s="115">
        <v>41661</v>
      </c>
      <c r="L36" s="109">
        <f t="shared" si="6"/>
        <v>3</v>
      </c>
      <c r="M36" s="110">
        <v>47547.733788977712</v>
      </c>
      <c r="N36" s="110">
        <v>44960.464873841571</v>
      </c>
      <c r="O36" s="110">
        <v>54686.291139588349</v>
      </c>
      <c r="P36" s="110">
        <v>59287.645359032758</v>
      </c>
      <c r="Q36" s="110">
        <v>72492.693310042348</v>
      </c>
      <c r="R36" s="110">
        <v>68821.314894861105</v>
      </c>
      <c r="S36" s="112">
        <v>-320.12366666666668</v>
      </c>
      <c r="T36" s="112">
        <v>-1289.1236111111111</v>
      </c>
      <c r="U36" s="112">
        <v>-989.92266666666671</v>
      </c>
      <c r="V36" s="112">
        <v>-712.56833333333316</v>
      </c>
      <c r="W36" s="112">
        <v>-1161.1807499999998</v>
      </c>
      <c r="X36" s="112">
        <v>-804.38514827777783</v>
      </c>
      <c r="Y36" s="114"/>
    </row>
    <row r="37" spans="1:25" x14ac:dyDescent="0.35">
      <c r="A37" s="108">
        <v>39842</v>
      </c>
      <c r="B37" s="109">
        <f t="shared" si="1"/>
        <v>4</v>
      </c>
      <c r="C37" s="108">
        <v>40206</v>
      </c>
      <c r="D37" s="109">
        <f t="shared" si="2"/>
        <v>4</v>
      </c>
      <c r="E37" s="108">
        <v>40570</v>
      </c>
      <c r="F37" s="109">
        <f t="shared" si="3"/>
        <v>4</v>
      </c>
      <c r="G37" s="115">
        <v>40934</v>
      </c>
      <c r="H37" s="109">
        <f t="shared" si="4"/>
        <v>4</v>
      </c>
      <c r="I37" s="115">
        <v>41298</v>
      </c>
      <c r="J37" s="109">
        <f t="shared" si="5"/>
        <v>4</v>
      </c>
      <c r="K37" s="115">
        <v>41662</v>
      </c>
      <c r="L37" s="109">
        <f t="shared" si="6"/>
        <v>4</v>
      </c>
      <c r="M37" s="110">
        <v>47209.481733422144</v>
      </c>
      <c r="N37" s="110">
        <v>43806.520901619326</v>
      </c>
      <c r="O37" s="110">
        <v>53914.418972921674</v>
      </c>
      <c r="P37" s="110">
        <v>58416.169192366076</v>
      </c>
      <c r="Q37" s="110">
        <v>71403.443282264532</v>
      </c>
      <c r="R37" s="110">
        <v>67992.793589305555</v>
      </c>
      <c r="S37" s="112">
        <v>-338.25205555555556</v>
      </c>
      <c r="T37" s="112">
        <v>-1153.9439722222221</v>
      </c>
      <c r="U37" s="112">
        <v>-771.87216666666666</v>
      </c>
      <c r="V37" s="112">
        <v>-871.47616666666636</v>
      </c>
      <c r="W37" s="112">
        <v>-1089.2463055555556</v>
      </c>
      <c r="X37" s="112">
        <v>-828.52132491666669</v>
      </c>
      <c r="Y37" s="114"/>
    </row>
    <row r="38" spans="1:25" x14ac:dyDescent="0.35">
      <c r="A38" s="108">
        <v>39843</v>
      </c>
      <c r="B38" s="109">
        <f t="shared" si="1"/>
        <v>5</v>
      </c>
      <c r="C38" s="108">
        <v>40207</v>
      </c>
      <c r="D38" s="109">
        <f t="shared" si="2"/>
        <v>5</v>
      </c>
      <c r="E38" s="108">
        <v>40571</v>
      </c>
      <c r="F38" s="109">
        <f t="shared" si="3"/>
        <v>5</v>
      </c>
      <c r="G38" s="115">
        <v>40935</v>
      </c>
      <c r="H38" s="109">
        <f t="shared" si="4"/>
        <v>5</v>
      </c>
      <c r="I38" s="115">
        <v>41299</v>
      </c>
      <c r="J38" s="109">
        <f t="shared" si="5"/>
        <v>5</v>
      </c>
      <c r="K38" s="115">
        <v>41663</v>
      </c>
      <c r="L38" s="109">
        <f t="shared" si="6"/>
        <v>5</v>
      </c>
      <c r="M38" s="110">
        <v>46895.130316755523</v>
      </c>
      <c r="N38" s="110">
        <v>42735.916151619349</v>
      </c>
      <c r="O38" s="110">
        <v>53268.628917366128</v>
      </c>
      <c r="P38" s="110">
        <v>57477.831331254987</v>
      </c>
      <c r="Q38" s="110">
        <v>70347.439865597902</v>
      </c>
      <c r="R38" s="110">
        <v>67308.789894861111</v>
      </c>
      <c r="S38" s="112">
        <v>-314.35141666666669</v>
      </c>
      <c r="T38" s="112">
        <v>-1070.60475</v>
      </c>
      <c r="U38" s="112">
        <v>-645.79005555555557</v>
      </c>
      <c r="V38" s="112">
        <v>-938.33786111111147</v>
      </c>
      <c r="W38" s="112">
        <v>-1055.9976388888886</v>
      </c>
      <c r="X38" s="112">
        <v>-684.00368391666666</v>
      </c>
      <c r="Y38" s="114"/>
    </row>
    <row r="39" spans="1:25" x14ac:dyDescent="0.35">
      <c r="A39" s="108">
        <v>39844</v>
      </c>
      <c r="B39" s="109">
        <f t="shared" si="1"/>
        <v>6</v>
      </c>
      <c r="C39" s="108">
        <v>40208</v>
      </c>
      <c r="D39" s="109">
        <f t="shared" si="2"/>
        <v>6</v>
      </c>
      <c r="E39" s="108">
        <v>40572</v>
      </c>
      <c r="F39" s="109">
        <f t="shared" si="3"/>
        <v>6</v>
      </c>
      <c r="G39" s="115">
        <v>40936</v>
      </c>
      <c r="H39" s="109">
        <f t="shared" si="4"/>
        <v>6</v>
      </c>
      <c r="I39" s="115">
        <v>41300</v>
      </c>
      <c r="J39" s="109">
        <f t="shared" si="5"/>
        <v>6</v>
      </c>
      <c r="K39" s="115">
        <v>41664</v>
      </c>
      <c r="L39" s="109">
        <f t="shared" si="6"/>
        <v>6</v>
      </c>
      <c r="M39" s="110">
        <v>46434.120677866616</v>
      </c>
      <c r="N39" s="110">
        <v>42117.195651619353</v>
      </c>
      <c r="O39" s="110">
        <v>52911.571417366089</v>
      </c>
      <c r="P39" s="110">
        <v>56675.730331254963</v>
      </c>
      <c r="Q39" s="110">
        <v>69755.329060042335</v>
      </c>
      <c r="R39" s="110">
        <v>66920.086339305562</v>
      </c>
      <c r="S39" s="112">
        <v>-461.0096388888889</v>
      </c>
      <c r="T39" s="112">
        <v>-618.7204999999999</v>
      </c>
      <c r="U39" s="112">
        <v>-357.0575</v>
      </c>
      <c r="V39" s="112">
        <v>-802.101</v>
      </c>
      <c r="W39" s="112">
        <v>-592.10497222222216</v>
      </c>
      <c r="X39" s="112">
        <v>-388.70356611111112</v>
      </c>
      <c r="Y39" s="114"/>
    </row>
    <row r="40" spans="1:25" x14ac:dyDescent="0.35">
      <c r="A40" s="108">
        <v>39845</v>
      </c>
      <c r="B40" s="109">
        <f t="shared" si="1"/>
        <v>7</v>
      </c>
      <c r="C40" s="108">
        <v>40209</v>
      </c>
      <c r="D40" s="109">
        <f t="shared" si="2"/>
        <v>7</v>
      </c>
      <c r="E40" s="108">
        <v>40573</v>
      </c>
      <c r="F40" s="109">
        <f t="shared" si="3"/>
        <v>7</v>
      </c>
      <c r="G40" s="115">
        <v>40937</v>
      </c>
      <c r="H40" s="109">
        <f t="shared" si="4"/>
        <v>7</v>
      </c>
      <c r="I40" s="115">
        <v>41301</v>
      </c>
      <c r="J40" s="109">
        <f t="shared" si="5"/>
        <v>7</v>
      </c>
      <c r="K40" s="115">
        <v>41665</v>
      </c>
      <c r="L40" s="109">
        <f t="shared" si="6"/>
        <v>7</v>
      </c>
      <c r="M40" s="110">
        <v>45844.224005157012</v>
      </c>
      <c r="N40" s="110">
        <v>41457.893373841587</v>
      </c>
      <c r="O40" s="110">
        <v>52690.196889588355</v>
      </c>
      <c r="P40" s="110">
        <v>56069.079609032779</v>
      </c>
      <c r="Q40" s="110">
        <v>69112.687921153454</v>
      </c>
      <c r="R40" s="110">
        <v>66526.097367083334</v>
      </c>
      <c r="S40" s="112">
        <v>-589.89666666666665</v>
      </c>
      <c r="T40" s="112">
        <v>-659.30227777777782</v>
      </c>
      <c r="U40" s="112">
        <v>-221.37452777777779</v>
      </c>
      <c r="V40" s="112">
        <v>-606.65072222222227</v>
      </c>
      <c r="W40" s="112">
        <v>-642.63244444444467</v>
      </c>
      <c r="X40" s="112">
        <v>-393.98895319444443</v>
      </c>
      <c r="Y40" s="114"/>
    </row>
    <row r="41" spans="1:25" x14ac:dyDescent="0.35">
      <c r="A41" s="108">
        <v>39846</v>
      </c>
      <c r="B41" s="109">
        <f t="shared" ref="B41:B72" si="7">WEEKDAY(A41,2)</f>
        <v>1</v>
      </c>
      <c r="C41" s="108">
        <v>40210</v>
      </c>
      <c r="D41" s="109">
        <f t="shared" si="2"/>
        <v>1</v>
      </c>
      <c r="E41" s="108">
        <v>40574</v>
      </c>
      <c r="F41" s="109">
        <f t="shared" si="3"/>
        <v>1</v>
      </c>
      <c r="G41" s="115">
        <v>40938</v>
      </c>
      <c r="H41" s="109">
        <f t="shared" si="4"/>
        <v>1</v>
      </c>
      <c r="I41" s="115">
        <v>41302</v>
      </c>
      <c r="J41" s="109">
        <f t="shared" si="5"/>
        <v>1</v>
      </c>
      <c r="K41" s="115">
        <v>41666</v>
      </c>
      <c r="L41" s="109">
        <f t="shared" si="6"/>
        <v>1</v>
      </c>
      <c r="M41" s="110">
        <v>44759.021144045888</v>
      </c>
      <c r="N41" s="110">
        <v>40177.31534606382</v>
      </c>
      <c r="O41" s="110">
        <v>51931.605056255015</v>
      </c>
      <c r="P41" s="110">
        <v>54905.571831254958</v>
      </c>
      <c r="Q41" s="110">
        <v>67728.016171153475</v>
      </c>
      <c r="R41" s="110">
        <v>65490.801839305554</v>
      </c>
      <c r="S41" s="112">
        <v>-1085.2028611111111</v>
      </c>
      <c r="T41" s="112">
        <v>-1280.5780277777778</v>
      </c>
      <c r="U41" s="112">
        <v>-765.89163888888891</v>
      </c>
      <c r="V41" s="112">
        <v>-1163.5077777777781</v>
      </c>
      <c r="W41" s="112">
        <v>-1384.639138888889</v>
      </c>
      <c r="X41" s="112">
        <v>-1035.2955362500002</v>
      </c>
      <c r="Y41" s="114"/>
    </row>
    <row r="42" spans="1:25" x14ac:dyDescent="0.35">
      <c r="A42" s="108">
        <v>39847</v>
      </c>
      <c r="B42" s="109">
        <f t="shared" si="7"/>
        <v>2</v>
      </c>
      <c r="C42" s="108">
        <v>40211</v>
      </c>
      <c r="D42" s="109">
        <f t="shared" ref="D42:D73" si="8">WEEKDAY(C42,2)</f>
        <v>2</v>
      </c>
      <c r="E42" s="108">
        <v>40575</v>
      </c>
      <c r="F42" s="109">
        <f t="shared" si="3"/>
        <v>2</v>
      </c>
      <c r="G42" s="115">
        <v>40939</v>
      </c>
      <c r="H42" s="109">
        <f t="shared" si="4"/>
        <v>2</v>
      </c>
      <c r="I42" s="115">
        <v>41303</v>
      </c>
      <c r="J42" s="109">
        <f t="shared" si="5"/>
        <v>2</v>
      </c>
      <c r="K42" s="115">
        <v>41667</v>
      </c>
      <c r="L42" s="109">
        <f t="shared" si="6"/>
        <v>2</v>
      </c>
      <c r="M42" s="110">
        <v>43934.354616268123</v>
      </c>
      <c r="N42" s="110">
        <v>38904.499540508252</v>
      </c>
      <c r="O42" s="110">
        <v>51106.888778477223</v>
      </c>
      <c r="P42" s="110">
        <v>53319.749970143865</v>
      </c>
      <c r="Q42" s="110">
        <v>66406.42072670901</v>
      </c>
      <c r="R42" s="110">
        <v>64339.654255972222</v>
      </c>
      <c r="S42" s="112">
        <v>-824.66652777777779</v>
      </c>
      <c r="T42" s="112">
        <v>-1272.8158055555557</v>
      </c>
      <c r="U42" s="112">
        <v>-824.7162777777778</v>
      </c>
      <c r="V42" s="112">
        <v>-1484.4329722222226</v>
      </c>
      <c r="W42" s="112">
        <v>-1321.5761666666665</v>
      </c>
      <c r="X42" s="112">
        <v>-1151.1301688888889</v>
      </c>
      <c r="Y42" s="114"/>
    </row>
    <row r="43" spans="1:25" x14ac:dyDescent="0.35">
      <c r="A43" s="108">
        <v>39848</v>
      </c>
      <c r="B43" s="109">
        <f t="shared" si="7"/>
        <v>3</v>
      </c>
      <c r="C43" s="108">
        <v>40212</v>
      </c>
      <c r="D43" s="109">
        <f t="shared" si="8"/>
        <v>3</v>
      </c>
      <c r="E43" s="108">
        <v>40576</v>
      </c>
      <c r="F43" s="109">
        <f t="shared" ref="F43:F74" si="9">WEEKDAY(E43,2)</f>
        <v>3</v>
      </c>
      <c r="G43" s="115">
        <v>40940</v>
      </c>
      <c r="H43" s="109">
        <f t="shared" si="4"/>
        <v>3</v>
      </c>
      <c r="I43" s="115">
        <v>41304</v>
      </c>
      <c r="J43" s="109">
        <f t="shared" si="5"/>
        <v>3</v>
      </c>
      <c r="K43" s="115">
        <v>41668</v>
      </c>
      <c r="L43" s="109">
        <f t="shared" si="6"/>
        <v>3</v>
      </c>
      <c r="M43" s="110">
        <v>43310.296282934789</v>
      </c>
      <c r="N43" s="110">
        <v>37791.774929397128</v>
      </c>
      <c r="O43" s="110">
        <v>50292.723917366115</v>
      </c>
      <c r="P43" s="110">
        <v>51843.152775699411</v>
      </c>
      <c r="Q43" s="110">
        <v>65198.917532264561</v>
      </c>
      <c r="R43" s="110">
        <v>63028.305811527774</v>
      </c>
      <c r="S43" s="112">
        <v>-624.05833333333328</v>
      </c>
      <c r="T43" s="112">
        <v>-1112.7246111111112</v>
      </c>
      <c r="U43" s="112">
        <v>-814.16486111111112</v>
      </c>
      <c r="V43" s="112">
        <v>-1476.5971944444448</v>
      </c>
      <c r="W43" s="112">
        <v>-1207.4914722222222</v>
      </c>
      <c r="X43" s="112">
        <v>-1311.3484433611113</v>
      </c>
      <c r="Y43" s="114"/>
    </row>
    <row r="44" spans="1:25" x14ac:dyDescent="0.35">
      <c r="A44" s="108">
        <v>39849</v>
      </c>
      <c r="B44" s="109">
        <f t="shared" si="7"/>
        <v>4</v>
      </c>
      <c r="C44" s="108">
        <v>40213</v>
      </c>
      <c r="D44" s="109">
        <f t="shared" si="8"/>
        <v>4</v>
      </c>
      <c r="E44" s="108">
        <v>40577</v>
      </c>
      <c r="F44" s="109">
        <f t="shared" si="9"/>
        <v>4</v>
      </c>
      <c r="G44" s="115">
        <v>40941</v>
      </c>
      <c r="H44" s="109">
        <f t="shared" ref="H44:H75" si="10">WEEKDAY(G44,2)</f>
        <v>4</v>
      </c>
      <c r="I44" s="115">
        <v>41305</v>
      </c>
      <c r="J44" s="109">
        <f t="shared" si="5"/>
        <v>4</v>
      </c>
      <c r="K44" s="115">
        <v>41669</v>
      </c>
      <c r="L44" s="109">
        <f t="shared" si="6"/>
        <v>4</v>
      </c>
      <c r="M44" s="110">
        <v>42799.182755157002</v>
      </c>
      <c r="N44" s="110">
        <v>36816.747846063809</v>
      </c>
      <c r="O44" s="110">
        <v>49528.568167366109</v>
      </c>
      <c r="P44" s="110">
        <v>50264.261942366102</v>
      </c>
      <c r="Q44" s="110">
        <v>64225.480365597898</v>
      </c>
      <c r="R44" s="110">
        <v>61770.948089305552</v>
      </c>
      <c r="S44" s="112">
        <v>-511.11352777777779</v>
      </c>
      <c r="T44" s="112">
        <v>-975.02708333333328</v>
      </c>
      <c r="U44" s="112">
        <v>-760.94858333333332</v>
      </c>
      <c r="V44" s="112">
        <v>-1578.8908333333331</v>
      </c>
      <c r="W44" s="112">
        <v>-973.42991666666694</v>
      </c>
      <c r="X44" s="112">
        <v>-1257.3577222222225</v>
      </c>
      <c r="Y44" s="114"/>
    </row>
    <row r="45" spans="1:25" x14ac:dyDescent="0.35">
      <c r="A45" s="108">
        <v>39850</v>
      </c>
      <c r="B45" s="109">
        <f t="shared" si="7"/>
        <v>5</v>
      </c>
      <c r="C45" s="108">
        <v>40214</v>
      </c>
      <c r="D45" s="109">
        <f t="shared" si="8"/>
        <v>5</v>
      </c>
      <c r="E45" s="108">
        <v>40578</v>
      </c>
      <c r="F45" s="109">
        <f t="shared" si="9"/>
        <v>5</v>
      </c>
      <c r="G45" s="115">
        <v>40942</v>
      </c>
      <c r="H45" s="109">
        <f t="shared" si="10"/>
        <v>5</v>
      </c>
      <c r="I45" s="115">
        <v>41306</v>
      </c>
      <c r="J45" s="109">
        <f t="shared" si="5"/>
        <v>5</v>
      </c>
      <c r="K45" s="115">
        <v>41670</v>
      </c>
      <c r="L45" s="109">
        <f t="shared" si="6"/>
        <v>5</v>
      </c>
      <c r="M45" s="110">
        <v>42411.708477379223</v>
      </c>
      <c r="N45" s="110">
        <v>35826.911540508256</v>
      </c>
      <c r="O45" s="110">
        <v>49022.490500699423</v>
      </c>
      <c r="P45" s="110">
        <v>48551.789220143881</v>
      </c>
      <c r="Q45" s="110">
        <v>63369.043643375655</v>
      </c>
      <c r="R45" s="110">
        <v>60723.258839305556</v>
      </c>
      <c r="S45" s="112">
        <v>-387.47427777777773</v>
      </c>
      <c r="T45" s="112">
        <v>-989.83630555555555</v>
      </c>
      <c r="U45" s="112">
        <v>-501.50183333333337</v>
      </c>
      <c r="V45" s="112">
        <v>-1712.4727222222225</v>
      </c>
      <c r="W45" s="112">
        <v>-856.4329444444445</v>
      </c>
      <c r="X45" s="112">
        <v>-1047.6892358888888</v>
      </c>
      <c r="Y45" s="114"/>
    </row>
    <row r="46" spans="1:25" x14ac:dyDescent="0.35">
      <c r="A46" s="108">
        <v>39851</v>
      </c>
      <c r="B46" s="109">
        <f t="shared" si="7"/>
        <v>6</v>
      </c>
      <c r="C46" s="108">
        <v>40215</v>
      </c>
      <c r="D46" s="109">
        <f t="shared" si="8"/>
        <v>6</v>
      </c>
      <c r="E46" s="108">
        <v>40579</v>
      </c>
      <c r="F46" s="109">
        <f t="shared" si="9"/>
        <v>6</v>
      </c>
      <c r="G46" s="115">
        <v>40943</v>
      </c>
      <c r="H46" s="109">
        <f t="shared" si="10"/>
        <v>6</v>
      </c>
      <c r="I46" s="115">
        <v>41307</v>
      </c>
      <c r="J46" s="109">
        <f t="shared" si="5"/>
        <v>6</v>
      </c>
      <c r="K46" s="115">
        <v>41671</v>
      </c>
      <c r="L46" s="109">
        <f t="shared" si="6"/>
        <v>6</v>
      </c>
      <c r="M46" s="110">
        <v>42308.795032934795</v>
      </c>
      <c r="N46" s="110">
        <v>35343.732096063795</v>
      </c>
      <c r="O46" s="110">
        <v>48914.015084032813</v>
      </c>
      <c r="P46" s="110">
        <v>46838.560497921644</v>
      </c>
      <c r="Q46" s="110">
        <v>63037.807393375646</v>
      </c>
      <c r="R46" s="110">
        <v>60166.735228194448</v>
      </c>
      <c r="S46" s="112">
        <v>-102.91344444444445</v>
      </c>
      <c r="T46" s="112">
        <v>-483.17944444444447</v>
      </c>
      <c r="U46" s="112">
        <v>-104.52044444444444</v>
      </c>
      <c r="V46" s="112">
        <v>-1713.2287222222226</v>
      </c>
      <c r="W46" s="112">
        <v>-331.23624999999987</v>
      </c>
      <c r="X46" s="112">
        <v>-556.52362558333334</v>
      </c>
      <c r="Y46" s="114"/>
    </row>
    <row r="47" spans="1:25" x14ac:dyDescent="0.35">
      <c r="A47" s="108">
        <v>39852</v>
      </c>
      <c r="B47" s="109">
        <f t="shared" si="7"/>
        <v>7</v>
      </c>
      <c r="C47" s="108">
        <v>40216</v>
      </c>
      <c r="D47" s="109">
        <f t="shared" si="8"/>
        <v>7</v>
      </c>
      <c r="E47" s="108">
        <v>40580</v>
      </c>
      <c r="F47" s="109">
        <f t="shared" si="9"/>
        <v>7</v>
      </c>
      <c r="G47" s="115">
        <v>40944</v>
      </c>
      <c r="H47" s="109">
        <f t="shared" si="10"/>
        <v>7</v>
      </c>
      <c r="I47" s="115">
        <v>41308</v>
      </c>
      <c r="J47" s="109">
        <f t="shared" si="5"/>
        <v>7</v>
      </c>
      <c r="K47" s="115">
        <v>41672</v>
      </c>
      <c r="L47" s="109">
        <f t="shared" si="6"/>
        <v>7</v>
      </c>
      <c r="M47" s="110">
        <v>42104.585366268133</v>
      </c>
      <c r="N47" s="110">
        <v>35015.78759606379</v>
      </c>
      <c r="O47" s="110">
        <v>48838.76172292167</v>
      </c>
      <c r="P47" s="110">
        <v>45295.322997921648</v>
      </c>
      <c r="Q47" s="110">
        <v>62758.832726708992</v>
      </c>
      <c r="R47" s="110">
        <v>59708.127478194445</v>
      </c>
      <c r="S47" s="112">
        <v>-204.20966666666669</v>
      </c>
      <c r="T47" s="112">
        <v>-327.94450000000001</v>
      </c>
      <c r="U47" s="112">
        <v>-71.272000000000006</v>
      </c>
      <c r="V47" s="112">
        <v>-1543.2374999999995</v>
      </c>
      <c r="W47" s="112">
        <v>-278.97466666666668</v>
      </c>
      <c r="X47" s="112">
        <v>-458.60776588888893</v>
      </c>
      <c r="Y47" s="114"/>
    </row>
    <row r="48" spans="1:25" x14ac:dyDescent="0.35">
      <c r="A48" s="108">
        <v>39853</v>
      </c>
      <c r="B48" s="109">
        <f t="shared" si="7"/>
        <v>1</v>
      </c>
      <c r="C48" s="108">
        <v>40217</v>
      </c>
      <c r="D48" s="109">
        <f t="shared" si="8"/>
        <v>1</v>
      </c>
      <c r="E48" s="108">
        <v>40581</v>
      </c>
      <c r="F48" s="109">
        <f t="shared" si="9"/>
        <v>1</v>
      </c>
      <c r="G48" s="115">
        <v>40945</v>
      </c>
      <c r="H48" s="109">
        <f t="shared" si="10"/>
        <v>1</v>
      </c>
      <c r="I48" s="115">
        <v>41309</v>
      </c>
      <c r="J48" s="109">
        <f t="shared" si="5"/>
        <v>1</v>
      </c>
      <c r="K48" s="115">
        <v>41673</v>
      </c>
      <c r="L48" s="109">
        <f t="shared" si="6"/>
        <v>1</v>
      </c>
      <c r="M48" s="110">
        <v>41542.226060712565</v>
      </c>
      <c r="N48" s="110">
        <v>34014.028846063804</v>
      </c>
      <c r="O48" s="110">
        <v>48346.760750699454</v>
      </c>
      <c r="P48" s="110">
        <v>43551.190775699433</v>
      </c>
      <c r="Q48" s="110">
        <v>61689.84986559792</v>
      </c>
      <c r="R48" s="110">
        <v>58810.536005972215</v>
      </c>
      <c r="S48" s="112">
        <v>-562.35930555555558</v>
      </c>
      <c r="T48" s="112">
        <v>-999.52497222222223</v>
      </c>
      <c r="U48" s="112">
        <v>-489.53208333333333</v>
      </c>
      <c r="V48" s="112">
        <v>-1744.1322222222218</v>
      </c>
      <c r="W48" s="112">
        <v>-1068.9766666666665</v>
      </c>
      <c r="X48" s="112">
        <v>-897.59147158333337</v>
      </c>
      <c r="Y48" s="114"/>
    </row>
    <row r="49" spans="1:25" x14ac:dyDescent="0.35">
      <c r="A49" s="108">
        <v>39854</v>
      </c>
      <c r="B49" s="109">
        <f t="shared" si="7"/>
        <v>2</v>
      </c>
      <c r="C49" s="108">
        <v>40218</v>
      </c>
      <c r="D49" s="109">
        <f t="shared" si="8"/>
        <v>2</v>
      </c>
      <c r="E49" s="108">
        <v>40582</v>
      </c>
      <c r="F49" s="109">
        <f t="shared" si="9"/>
        <v>2</v>
      </c>
      <c r="G49" s="115">
        <v>40946</v>
      </c>
      <c r="H49" s="109">
        <f t="shared" si="10"/>
        <v>2</v>
      </c>
      <c r="I49" s="115">
        <v>41310</v>
      </c>
      <c r="J49" s="109">
        <f t="shared" si="5"/>
        <v>2</v>
      </c>
      <c r="K49" s="115">
        <v>41674</v>
      </c>
      <c r="L49" s="109">
        <f t="shared" si="6"/>
        <v>2</v>
      </c>
      <c r="M49" s="110">
        <v>40819.758310712539</v>
      </c>
      <c r="N49" s="110">
        <v>33019.879679397127</v>
      </c>
      <c r="O49" s="110">
        <v>47791.407639588331</v>
      </c>
      <c r="P49" s="110">
        <v>41766.055136810544</v>
      </c>
      <c r="Q49" s="110">
        <v>60592.179226709006</v>
      </c>
      <c r="R49" s="110">
        <v>57906.814589305555</v>
      </c>
      <c r="S49" s="112">
        <v>-722.46775000000002</v>
      </c>
      <c r="T49" s="112">
        <v>-990.62047222222225</v>
      </c>
      <c r="U49" s="112">
        <v>-553.11038888888891</v>
      </c>
      <c r="V49" s="112">
        <v>-1785.1356388888894</v>
      </c>
      <c r="W49" s="112">
        <v>-1097.6556944444444</v>
      </c>
      <c r="X49" s="112">
        <v>-903.72142388888892</v>
      </c>
      <c r="Y49" s="114"/>
    </row>
    <row r="50" spans="1:25" x14ac:dyDescent="0.35">
      <c r="A50" s="108">
        <v>39855</v>
      </c>
      <c r="B50" s="109">
        <f t="shared" si="7"/>
        <v>3</v>
      </c>
      <c r="C50" s="108">
        <v>40219</v>
      </c>
      <c r="D50" s="109">
        <f t="shared" si="8"/>
        <v>3</v>
      </c>
      <c r="E50" s="108">
        <v>40583</v>
      </c>
      <c r="F50" s="109">
        <f t="shared" si="9"/>
        <v>3</v>
      </c>
      <c r="G50" s="115">
        <v>40947</v>
      </c>
      <c r="H50" s="109">
        <f t="shared" si="10"/>
        <v>3</v>
      </c>
      <c r="I50" s="115">
        <v>41311</v>
      </c>
      <c r="J50" s="109">
        <f t="shared" si="5"/>
        <v>3</v>
      </c>
      <c r="K50" s="115">
        <v>41675</v>
      </c>
      <c r="L50" s="109">
        <f t="shared" si="6"/>
        <v>3</v>
      </c>
      <c r="M50" s="110">
        <v>40011.624144045913</v>
      </c>
      <c r="N50" s="110">
        <v>32067.264484952691</v>
      </c>
      <c r="O50" s="110">
        <v>47290.203389588329</v>
      </c>
      <c r="P50" s="110">
        <v>40293.485747921652</v>
      </c>
      <c r="Q50" s="110">
        <v>59633.957365597882</v>
      </c>
      <c r="R50" s="110">
        <v>57051.63675597222</v>
      </c>
      <c r="S50" s="112">
        <v>-808.13416666666672</v>
      </c>
      <c r="T50" s="112">
        <v>-948.46844444444446</v>
      </c>
      <c r="U50" s="112">
        <v>-498.15924999999999</v>
      </c>
      <c r="V50" s="112">
        <v>-1472.5693888888886</v>
      </c>
      <c r="W50" s="112">
        <v>-958.21825000000001</v>
      </c>
      <c r="X50" s="112">
        <v>-855.17782355555562</v>
      </c>
      <c r="Y50" s="114"/>
    </row>
    <row r="51" spans="1:25" x14ac:dyDescent="0.35">
      <c r="A51" s="108">
        <v>39856</v>
      </c>
      <c r="B51" s="109">
        <f t="shared" si="7"/>
        <v>4</v>
      </c>
      <c r="C51" s="108">
        <v>40220</v>
      </c>
      <c r="D51" s="109">
        <f t="shared" si="8"/>
        <v>4</v>
      </c>
      <c r="E51" s="108">
        <v>40584</v>
      </c>
      <c r="F51" s="109">
        <f t="shared" si="9"/>
        <v>4</v>
      </c>
      <c r="G51" s="115">
        <v>40948</v>
      </c>
      <c r="H51" s="109">
        <f t="shared" si="10"/>
        <v>4</v>
      </c>
      <c r="I51" s="115">
        <v>41312</v>
      </c>
      <c r="J51" s="109">
        <f t="shared" si="5"/>
        <v>4</v>
      </c>
      <c r="K51" s="115">
        <v>41676</v>
      </c>
      <c r="L51" s="109">
        <f t="shared" si="6"/>
        <v>4</v>
      </c>
      <c r="M51" s="110">
        <v>38869.597421823659</v>
      </c>
      <c r="N51" s="110">
        <v>31027.689068286039</v>
      </c>
      <c r="O51" s="110">
        <v>46793.798834032816</v>
      </c>
      <c r="P51" s="110">
        <v>39010.483442366109</v>
      </c>
      <c r="Q51" s="110">
        <v>58516.095476709001</v>
      </c>
      <c r="R51" s="110">
        <v>56349.419700416664</v>
      </c>
      <c r="S51" s="112">
        <v>-1142.0267222222224</v>
      </c>
      <c r="T51" s="112">
        <v>-1038.9930277777778</v>
      </c>
      <c r="U51" s="112">
        <v>-493.26388888888891</v>
      </c>
      <c r="V51" s="112">
        <v>-1283.0023055555555</v>
      </c>
      <c r="W51" s="112">
        <v>-1117.8585833333329</v>
      </c>
      <c r="X51" s="112">
        <v>-702.21703980555549</v>
      </c>
      <c r="Y51" s="114"/>
    </row>
    <row r="52" spans="1:25" x14ac:dyDescent="0.35">
      <c r="A52" s="108">
        <v>39857</v>
      </c>
      <c r="B52" s="109">
        <f t="shared" si="7"/>
        <v>5</v>
      </c>
      <c r="C52" s="108">
        <v>40221</v>
      </c>
      <c r="D52" s="109">
        <f t="shared" si="8"/>
        <v>5</v>
      </c>
      <c r="E52" s="108">
        <v>40585</v>
      </c>
      <c r="F52" s="109">
        <f t="shared" si="9"/>
        <v>5</v>
      </c>
      <c r="G52" s="115">
        <v>40949</v>
      </c>
      <c r="H52" s="109">
        <f t="shared" si="10"/>
        <v>5</v>
      </c>
      <c r="I52" s="115">
        <v>41313</v>
      </c>
      <c r="J52" s="109">
        <f t="shared" si="5"/>
        <v>5</v>
      </c>
      <c r="K52" s="115">
        <v>41677</v>
      </c>
      <c r="L52" s="109">
        <f t="shared" si="6"/>
        <v>5</v>
      </c>
      <c r="M52" s="110">
        <v>37821.880532934774</v>
      </c>
      <c r="N52" s="110">
        <v>30184.952234952689</v>
      </c>
      <c r="O52" s="110">
        <v>46378.16863958833</v>
      </c>
      <c r="P52" s="110">
        <v>37585.453109032765</v>
      </c>
      <c r="Q52" s="110">
        <v>57343.219560042322</v>
      </c>
      <c r="R52" s="110">
        <v>55650.53386708333</v>
      </c>
      <c r="S52" s="112">
        <v>-1047.7168888888889</v>
      </c>
      <c r="T52" s="112">
        <v>-839.81177777777771</v>
      </c>
      <c r="U52" s="112">
        <v>-415.63019444444444</v>
      </c>
      <c r="V52" s="112">
        <v>-1425.0303333333331</v>
      </c>
      <c r="W52" s="112">
        <v>-1172.8693611111112</v>
      </c>
      <c r="X52" s="112">
        <v>-698.88582025000005</v>
      </c>
      <c r="Y52" s="114"/>
    </row>
    <row r="53" spans="1:25" x14ac:dyDescent="0.35">
      <c r="A53" s="108">
        <v>39858</v>
      </c>
      <c r="B53" s="109">
        <f t="shared" si="7"/>
        <v>6</v>
      </c>
      <c r="C53" s="108">
        <v>40222</v>
      </c>
      <c r="D53" s="109">
        <f t="shared" si="8"/>
        <v>6</v>
      </c>
      <c r="E53" s="108">
        <v>40586</v>
      </c>
      <c r="F53" s="109">
        <f t="shared" si="9"/>
        <v>6</v>
      </c>
      <c r="G53" s="115">
        <v>40950</v>
      </c>
      <c r="H53" s="109">
        <f t="shared" si="10"/>
        <v>6</v>
      </c>
      <c r="I53" s="115">
        <v>41314</v>
      </c>
      <c r="J53" s="109">
        <f t="shared" si="5"/>
        <v>6</v>
      </c>
      <c r="K53" s="115">
        <v>41678</v>
      </c>
      <c r="L53" s="109">
        <f t="shared" si="6"/>
        <v>6</v>
      </c>
      <c r="M53" s="110">
        <v>36906.904755156989</v>
      </c>
      <c r="N53" s="110">
        <v>29730.105846063787</v>
      </c>
      <c r="O53" s="110">
        <v>46326.442445143883</v>
      </c>
      <c r="P53" s="110">
        <v>36528.574192366097</v>
      </c>
      <c r="Q53" s="110">
        <v>56267.022671153456</v>
      </c>
      <c r="R53" s="110">
        <v>55167.002367083333</v>
      </c>
      <c r="S53" s="112">
        <v>-914.97577777777769</v>
      </c>
      <c r="T53" s="112">
        <v>-450.8296666666667</v>
      </c>
      <c r="U53" s="112">
        <v>-51.726194444444438</v>
      </c>
      <c r="V53" s="112">
        <v>-1056.8789166666668</v>
      </c>
      <c r="W53" s="112">
        <v>-1076.193055555555</v>
      </c>
      <c r="X53" s="112">
        <v>-483.5315064444444</v>
      </c>
      <c r="Y53" s="114"/>
    </row>
    <row r="54" spans="1:25" x14ac:dyDescent="0.35">
      <c r="A54" s="108">
        <v>39859</v>
      </c>
      <c r="B54" s="109">
        <f t="shared" si="7"/>
        <v>7</v>
      </c>
      <c r="C54" s="108">
        <v>40223</v>
      </c>
      <c r="D54" s="109">
        <f t="shared" si="8"/>
        <v>7</v>
      </c>
      <c r="E54" s="108">
        <v>40587</v>
      </c>
      <c r="F54" s="109">
        <f t="shared" si="9"/>
        <v>7</v>
      </c>
      <c r="G54" s="115">
        <v>40951</v>
      </c>
      <c r="H54" s="109">
        <f t="shared" si="10"/>
        <v>7</v>
      </c>
      <c r="I54" s="115">
        <v>41315</v>
      </c>
      <c r="J54" s="109">
        <f t="shared" si="5"/>
        <v>7</v>
      </c>
      <c r="K54" s="115">
        <v>41679</v>
      </c>
      <c r="L54" s="109">
        <f t="shared" si="6"/>
        <v>7</v>
      </c>
      <c r="M54" s="110">
        <v>36100.408005156991</v>
      </c>
      <c r="N54" s="110">
        <v>29204.948568286014</v>
      </c>
      <c r="O54" s="110">
        <v>46326.132834032782</v>
      </c>
      <c r="P54" s="110">
        <v>35460.510053477221</v>
      </c>
      <c r="Q54" s="110">
        <v>55246.402254486769</v>
      </c>
      <c r="R54" s="110">
        <v>54763.903033750001</v>
      </c>
      <c r="S54" s="112">
        <v>-806.49674999999991</v>
      </c>
      <c r="T54" s="112">
        <v>-521.46588888888891</v>
      </c>
      <c r="U54" s="112">
        <v>-0.30961111111111433</v>
      </c>
      <c r="V54" s="112">
        <v>-1068.0641388888887</v>
      </c>
      <c r="W54" s="112">
        <v>-1020.6162777777777</v>
      </c>
      <c r="X54" s="112">
        <v>-403.0993208611111</v>
      </c>
      <c r="Y54" s="114"/>
    </row>
    <row r="55" spans="1:25" x14ac:dyDescent="0.35">
      <c r="A55" s="108">
        <v>39860</v>
      </c>
      <c r="B55" s="109">
        <f t="shared" si="7"/>
        <v>1</v>
      </c>
      <c r="C55" s="108">
        <v>40224</v>
      </c>
      <c r="D55" s="109">
        <f t="shared" si="8"/>
        <v>1</v>
      </c>
      <c r="E55" s="108">
        <v>40588</v>
      </c>
      <c r="F55" s="109">
        <f t="shared" si="9"/>
        <v>1</v>
      </c>
      <c r="G55" s="115">
        <v>40952</v>
      </c>
      <c r="H55" s="109">
        <f t="shared" si="10"/>
        <v>1</v>
      </c>
      <c r="I55" s="115">
        <v>41316</v>
      </c>
      <c r="J55" s="109">
        <f t="shared" si="5"/>
        <v>1</v>
      </c>
      <c r="K55" s="115">
        <v>41680</v>
      </c>
      <c r="L55" s="109">
        <f t="shared" si="6"/>
        <v>1</v>
      </c>
      <c r="M55" s="110">
        <v>34819.143338490328</v>
      </c>
      <c r="N55" s="110">
        <v>28152.804457174909</v>
      </c>
      <c r="O55" s="110">
        <v>45751.558556255019</v>
      </c>
      <c r="P55" s="110">
        <v>33955.199970143876</v>
      </c>
      <c r="Q55" s="110">
        <v>53745.541226709</v>
      </c>
      <c r="R55" s="110">
        <v>53903.805005972223</v>
      </c>
      <c r="S55" s="112">
        <v>-1281.2646666666667</v>
      </c>
      <c r="T55" s="112">
        <v>-1048.6949444444444</v>
      </c>
      <c r="U55" s="112">
        <v>-572.75244444444445</v>
      </c>
      <c r="V55" s="112">
        <v>-1505.3100833333331</v>
      </c>
      <c r="W55" s="112">
        <v>-1500.8578055555552</v>
      </c>
      <c r="X55" s="112">
        <v>-860.09802436111124</v>
      </c>
      <c r="Y55" s="114"/>
    </row>
    <row r="56" spans="1:25" x14ac:dyDescent="0.35">
      <c r="A56" s="108">
        <v>39861</v>
      </c>
      <c r="B56" s="109">
        <f t="shared" si="7"/>
        <v>2</v>
      </c>
      <c r="C56" s="108">
        <v>40225</v>
      </c>
      <c r="D56" s="109">
        <f t="shared" si="8"/>
        <v>2</v>
      </c>
      <c r="E56" s="108">
        <v>40589</v>
      </c>
      <c r="F56" s="109">
        <f t="shared" si="9"/>
        <v>2</v>
      </c>
      <c r="G56" s="115">
        <v>40953</v>
      </c>
      <c r="H56" s="109">
        <f t="shared" si="10"/>
        <v>2</v>
      </c>
      <c r="I56" s="115">
        <v>41317</v>
      </c>
      <c r="J56" s="109">
        <f t="shared" si="5"/>
        <v>2</v>
      </c>
      <c r="K56" s="115">
        <v>41681</v>
      </c>
      <c r="L56" s="109">
        <f t="shared" si="6"/>
        <v>2</v>
      </c>
      <c r="M56" s="110">
        <v>33457.45664404588</v>
      </c>
      <c r="N56" s="110">
        <v>27200.746207174911</v>
      </c>
      <c r="O56" s="110">
        <v>45042.155917366115</v>
      </c>
      <c r="P56" s="110">
        <v>32690.977497921664</v>
      </c>
      <c r="Q56" s="110">
        <v>52332.412865597886</v>
      </c>
      <c r="R56" s="110">
        <v>53157.251783749998</v>
      </c>
      <c r="S56" s="112">
        <v>-1361.6866944444444</v>
      </c>
      <c r="T56" s="112">
        <v>-951.85880555555559</v>
      </c>
      <c r="U56" s="112">
        <v>-707.72483333333332</v>
      </c>
      <c r="V56" s="112">
        <v>-1264.2224722222227</v>
      </c>
      <c r="W56" s="112">
        <v>-1413.123805555555</v>
      </c>
      <c r="X56" s="112">
        <v>-746.55320494444447</v>
      </c>
      <c r="Y56" s="114"/>
    </row>
    <row r="57" spans="1:25" x14ac:dyDescent="0.35">
      <c r="A57" s="108">
        <v>39862</v>
      </c>
      <c r="B57" s="109">
        <f t="shared" si="7"/>
        <v>3</v>
      </c>
      <c r="C57" s="108">
        <v>40226</v>
      </c>
      <c r="D57" s="109">
        <f t="shared" si="8"/>
        <v>3</v>
      </c>
      <c r="E57" s="108">
        <v>40590</v>
      </c>
      <c r="F57" s="109">
        <f t="shared" si="9"/>
        <v>3</v>
      </c>
      <c r="G57" s="115">
        <v>40954</v>
      </c>
      <c r="H57" s="109">
        <f t="shared" si="10"/>
        <v>3</v>
      </c>
      <c r="I57" s="115">
        <v>41318</v>
      </c>
      <c r="J57" s="109">
        <f t="shared" si="5"/>
        <v>3</v>
      </c>
      <c r="K57" s="115">
        <v>41682</v>
      </c>
      <c r="L57" s="109">
        <f t="shared" si="6"/>
        <v>3</v>
      </c>
      <c r="M57" s="110">
        <v>32073.074616268106</v>
      </c>
      <c r="N57" s="110">
        <v>26348.783457174904</v>
      </c>
      <c r="O57" s="110">
        <v>44188.007250699447</v>
      </c>
      <c r="P57" s="110">
        <v>31752.996109032763</v>
      </c>
      <c r="Q57" s="110">
        <v>50795.40936559788</v>
      </c>
      <c r="R57" s="110">
        <v>52394.99078375</v>
      </c>
      <c r="S57" s="112">
        <v>-1384.3820277777777</v>
      </c>
      <c r="T57" s="112">
        <v>-851.96275000000003</v>
      </c>
      <c r="U57" s="112">
        <v>-848.26041666666663</v>
      </c>
      <c r="V57" s="112">
        <v>-937.98138888888889</v>
      </c>
      <c r="W57" s="112">
        <v>-1536.994138888889</v>
      </c>
      <c r="X57" s="112">
        <v>-762.26098791666664</v>
      </c>
      <c r="Y57" s="114"/>
    </row>
    <row r="58" spans="1:25" x14ac:dyDescent="0.35">
      <c r="A58" s="108">
        <v>39863</v>
      </c>
      <c r="B58" s="109">
        <f t="shared" si="7"/>
        <v>4</v>
      </c>
      <c r="C58" s="108">
        <v>40227</v>
      </c>
      <c r="D58" s="109">
        <f t="shared" si="8"/>
        <v>4</v>
      </c>
      <c r="E58" s="108">
        <v>40591</v>
      </c>
      <c r="F58" s="109">
        <f t="shared" si="9"/>
        <v>4</v>
      </c>
      <c r="G58" s="115">
        <v>40955</v>
      </c>
      <c r="H58" s="109">
        <f t="shared" si="10"/>
        <v>4</v>
      </c>
      <c r="I58" s="115">
        <v>41319</v>
      </c>
      <c r="J58" s="109">
        <f t="shared" si="5"/>
        <v>4</v>
      </c>
      <c r="K58" s="115">
        <v>41683</v>
      </c>
      <c r="L58" s="109">
        <f t="shared" si="6"/>
        <v>4</v>
      </c>
      <c r="M58" s="110">
        <v>30760.824144045877</v>
      </c>
      <c r="N58" s="110">
        <v>25726.744040508253</v>
      </c>
      <c r="O58" s="110">
        <v>43606.463056255008</v>
      </c>
      <c r="P58" s="110">
        <v>31226.696414588321</v>
      </c>
      <c r="Q58" s="110">
        <v>49452.57275448677</v>
      </c>
      <c r="R58" s="110">
        <v>51560.248811527781</v>
      </c>
      <c r="S58" s="112">
        <v>-1312.2504722222222</v>
      </c>
      <c r="T58" s="112">
        <v>-620.24447222222227</v>
      </c>
      <c r="U58" s="112">
        <v>-574.67388888888888</v>
      </c>
      <c r="V58" s="112">
        <v>-526.29969444444441</v>
      </c>
      <c r="W58" s="112">
        <v>-1342.8359166666667</v>
      </c>
      <c r="X58" s="112">
        <v>-834.74196811111119</v>
      </c>
      <c r="Y58" s="114"/>
    </row>
    <row r="59" spans="1:25" x14ac:dyDescent="0.35">
      <c r="A59" s="108">
        <v>39864</v>
      </c>
      <c r="B59" s="109">
        <f t="shared" si="7"/>
        <v>5</v>
      </c>
      <c r="C59" s="108">
        <v>40228</v>
      </c>
      <c r="D59" s="109">
        <f t="shared" si="8"/>
        <v>5</v>
      </c>
      <c r="E59" s="108">
        <v>40592</v>
      </c>
      <c r="F59" s="109">
        <f t="shared" si="9"/>
        <v>5</v>
      </c>
      <c r="G59" s="115">
        <v>40956</v>
      </c>
      <c r="H59" s="109">
        <f t="shared" si="10"/>
        <v>5</v>
      </c>
      <c r="I59" s="115">
        <v>41320</v>
      </c>
      <c r="J59" s="109">
        <f t="shared" si="5"/>
        <v>5</v>
      </c>
      <c r="K59" s="115">
        <v>41684</v>
      </c>
      <c r="L59" s="109">
        <f t="shared" si="6"/>
        <v>5</v>
      </c>
      <c r="M59" s="110">
        <v>29686.181727379222</v>
      </c>
      <c r="N59" s="110">
        <v>25253.273651619354</v>
      </c>
      <c r="O59" s="110">
        <v>43329.721167366108</v>
      </c>
      <c r="P59" s="110">
        <v>30840.155692366105</v>
      </c>
      <c r="Q59" s="110">
        <v>48357.863254486794</v>
      </c>
      <c r="R59" s="110">
        <v>50982.709339305555</v>
      </c>
      <c r="S59" s="112">
        <v>-1074.6424166666668</v>
      </c>
      <c r="T59" s="112">
        <v>-469.69097222222223</v>
      </c>
      <c r="U59" s="112">
        <v>-266.57694444444445</v>
      </c>
      <c r="V59" s="112">
        <v>-386.5407222222222</v>
      </c>
      <c r="W59" s="112">
        <v>-1094.7095000000002</v>
      </c>
      <c r="X59" s="112">
        <v>-577.53948791666664</v>
      </c>
      <c r="Y59" s="114"/>
    </row>
    <row r="60" spans="1:25" x14ac:dyDescent="0.35">
      <c r="A60" s="108">
        <v>39865</v>
      </c>
      <c r="B60" s="109">
        <f t="shared" si="7"/>
        <v>6</v>
      </c>
      <c r="C60" s="108">
        <v>40229</v>
      </c>
      <c r="D60" s="109">
        <f t="shared" si="8"/>
        <v>6</v>
      </c>
      <c r="E60" s="108">
        <v>40593</v>
      </c>
      <c r="F60" s="109">
        <f t="shared" si="9"/>
        <v>6</v>
      </c>
      <c r="G60" s="115">
        <v>40957</v>
      </c>
      <c r="H60" s="109">
        <f t="shared" si="10"/>
        <v>6</v>
      </c>
      <c r="I60" s="115">
        <v>41321</v>
      </c>
      <c r="J60" s="109">
        <f t="shared" si="5"/>
        <v>6</v>
      </c>
      <c r="K60" s="115">
        <v>41685</v>
      </c>
      <c r="L60" s="109">
        <f t="shared" si="6"/>
        <v>6</v>
      </c>
      <c r="M60" s="110">
        <v>28971.690532934772</v>
      </c>
      <c r="N60" s="110">
        <v>25318.268540508241</v>
      </c>
      <c r="O60" s="110">
        <v>43446.867445143915</v>
      </c>
      <c r="P60" s="110">
        <v>30624.860414588326</v>
      </c>
      <c r="Q60" s="110">
        <v>47661.63878226457</v>
      </c>
      <c r="R60" s="110">
        <v>50477.042005972224</v>
      </c>
      <c r="S60" s="112">
        <v>-714.49119444444443</v>
      </c>
      <c r="T60" s="112">
        <v>68.801888888888882</v>
      </c>
      <c r="U60" s="112">
        <v>121.89444444444445</v>
      </c>
      <c r="V60" s="112">
        <v>-215.29527777777776</v>
      </c>
      <c r="W60" s="112">
        <v>-696.22447222222229</v>
      </c>
      <c r="X60" s="112">
        <v>-505.66735688888889</v>
      </c>
      <c r="Y60" s="114"/>
    </row>
    <row r="61" spans="1:25" x14ac:dyDescent="0.35">
      <c r="A61" s="108">
        <v>39866</v>
      </c>
      <c r="B61" s="109">
        <f t="shared" si="7"/>
        <v>7</v>
      </c>
      <c r="C61" s="108">
        <v>40230</v>
      </c>
      <c r="D61" s="109">
        <f t="shared" si="8"/>
        <v>7</v>
      </c>
      <c r="E61" s="108">
        <v>40594</v>
      </c>
      <c r="F61" s="109">
        <f t="shared" si="9"/>
        <v>7</v>
      </c>
      <c r="G61" s="115">
        <v>40958</v>
      </c>
      <c r="H61" s="109">
        <f t="shared" si="10"/>
        <v>7</v>
      </c>
      <c r="I61" s="115">
        <v>41322</v>
      </c>
      <c r="J61" s="109">
        <f t="shared" si="5"/>
        <v>7</v>
      </c>
      <c r="K61" s="115">
        <v>41686</v>
      </c>
      <c r="L61" s="109">
        <f t="shared" ref="L61:L124" si="11">WEEKDAY(K61,2)</f>
        <v>7</v>
      </c>
      <c r="M61" s="110">
        <v>28286.209282934768</v>
      </c>
      <c r="N61" s="110">
        <v>25383.334596063811</v>
      </c>
      <c r="O61" s="110">
        <v>43476.884556254969</v>
      </c>
      <c r="P61" s="110">
        <v>30624.452692366103</v>
      </c>
      <c r="Q61" s="110">
        <v>46940.169032264537</v>
      </c>
      <c r="R61" s="110">
        <v>50069.888144861114</v>
      </c>
      <c r="S61" s="112">
        <v>-685.48125000000005</v>
      </c>
      <c r="T61" s="112">
        <v>68.846666666666664</v>
      </c>
      <c r="U61" s="112">
        <v>33.865805555555553</v>
      </c>
      <c r="V61" s="112">
        <v>-0.40772222222225518</v>
      </c>
      <c r="W61" s="112">
        <v>-721.46974999999986</v>
      </c>
      <c r="X61" s="112">
        <v>-407.15386369444445</v>
      </c>
      <c r="Y61" s="114"/>
    </row>
    <row r="62" spans="1:25" x14ac:dyDescent="0.35">
      <c r="A62" s="108">
        <v>39867</v>
      </c>
      <c r="B62" s="109">
        <f t="shared" si="7"/>
        <v>1</v>
      </c>
      <c r="C62" s="108">
        <v>40231</v>
      </c>
      <c r="D62" s="109">
        <f t="shared" si="8"/>
        <v>1</v>
      </c>
      <c r="E62" s="108">
        <v>40595</v>
      </c>
      <c r="F62" s="109">
        <f t="shared" si="9"/>
        <v>1</v>
      </c>
      <c r="G62" s="115">
        <v>40959</v>
      </c>
      <c r="H62" s="109">
        <f t="shared" si="10"/>
        <v>1</v>
      </c>
      <c r="I62" s="115">
        <v>41323</v>
      </c>
      <c r="J62" s="109">
        <f t="shared" si="5"/>
        <v>1</v>
      </c>
      <c r="K62" s="115">
        <v>41687</v>
      </c>
      <c r="L62" s="109">
        <f t="shared" si="11"/>
        <v>1</v>
      </c>
      <c r="M62" s="110">
        <v>27356.83875515699</v>
      </c>
      <c r="N62" s="110">
        <v>24804.466734952679</v>
      </c>
      <c r="O62" s="110">
        <v>42824.133139588354</v>
      </c>
      <c r="P62" s="110">
        <v>29795.146942366107</v>
      </c>
      <c r="Q62" s="110">
        <v>45749.462893375661</v>
      </c>
      <c r="R62" s="110">
        <v>49451.709867083329</v>
      </c>
      <c r="S62" s="112">
        <v>-929.37052777777774</v>
      </c>
      <c r="T62" s="112">
        <v>-574.96652777777774</v>
      </c>
      <c r="U62" s="112">
        <v>-645.45663888888885</v>
      </c>
      <c r="V62" s="112">
        <v>-829.30575000000022</v>
      </c>
      <c r="W62" s="112">
        <v>-1190.6925000000003</v>
      </c>
      <c r="X62" s="112">
        <v>-618.17827127777775</v>
      </c>
      <c r="Y62" s="114"/>
    </row>
    <row r="63" spans="1:25" x14ac:dyDescent="0.35">
      <c r="A63" s="108">
        <v>39868</v>
      </c>
      <c r="B63" s="109">
        <f t="shared" si="7"/>
        <v>2</v>
      </c>
      <c r="C63" s="108">
        <v>40232</v>
      </c>
      <c r="D63" s="109">
        <f t="shared" si="8"/>
        <v>2</v>
      </c>
      <c r="E63" s="108">
        <v>40596</v>
      </c>
      <c r="F63" s="109">
        <f t="shared" si="9"/>
        <v>2</v>
      </c>
      <c r="G63" s="115">
        <v>40960</v>
      </c>
      <c r="H63" s="109">
        <f t="shared" si="10"/>
        <v>2</v>
      </c>
      <c r="I63" s="115">
        <v>41324</v>
      </c>
      <c r="J63" s="109">
        <f t="shared" si="5"/>
        <v>2</v>
      </c>
      <c r="K63" s="115">
        <v>41688</v>
      </c>
      <c r="L63" s="109">
        <f t="shared" si="11"/>
        <v>2</v>
      </c>
      <c r="M63" s="110">
        <v>26390.162699601435</v>
      </c>
      <c r="N63" s="110">
        <v>24312.478401619359</v>
      </c>
      <c r="O63" s="110">
        <v>41865.747556255024</v>
      </c>
      <c r="P63" s="110">
        <v>29142.431081254999</v>
      </c>
      <c r="Q63" s="110">
        <v>44502.174421153431</v>
      </c>
      <c r="R63" s="110">
        <v>48832.737783749995</v>
      </c>
      <c r="S63" s="112">
        <v>-966.67605555555554</v>
      </c>
      <c r="T63" s="112">
        <v>-488.16047222222221</v>
      </c>
      <c r="U63" s="112">
        <v>-951.10727777777788</v>
      </c>
      <c r="V63" s="112">
        <v>-652.71586111111128</v>
      </c>
      <c r="W63" s="112">
        <v>-1247.2844444444447</v>
      </c>
      <c r="X63" s="112">
        <v>-618.97208786111105</v>
      </c>
      <c r="Y63" s="114"/>
    </row>
    <row r="64" spans="1:25" x14ac:dyDescent="0.35">
      <c r="A64" s="108">
        <v>39869</v>
      </c>
      <c r="B64" s="109">
        <f t="shared" si="7"/>
        <v>3</v>
      </c>
      <c r="C64" s="108">
        <v>40233</v>
      </c>
      <c r="D64" s="109">
        <f t="shared" si="8"/>
        <v>3</v>
      </c>
      <c r="E64" s="108">
        <v>40597</v>
      </c>
      <c r="F64" s="109">
        <f t="shared" si="9"/>
        <v>3</v>
      </c>
      <c r="G64" s="115">
        <v>40961</v>
      </c>
      <c r="H64" s="109">
        <f t="shared" si="10"/>
        <v>3</v>
      </c>
      <c r="I64" s="115">
        <v>41325</v>
      </c>
      <c r="J64" s="109">
        <f t="shared" si="5"/>
        <v>3</v>
      </c>
      <c r="K64" s="115">
        <v>41689</v>
      </c>
      <c r="L64" s="109">
        <f t="shared" si="11"/>
        <v>3</v>
      </c>
      <c r="M64" s="110">
        <v>25555.378255156993</v>
      </c>
      <c r="N64" s="110">
        <v>24000.388484952691</v>
      </c>
      <c r="O64" s="110">
        <v>40976.907695143884</v>
      </c>
      <c r="P64" s="110">
        <v>28635.67219236611</v>
      </c>
      <c r="Q64" s="110">
        <v>43069.051171153442</v>
      </c>
      <c r="R64" s="110">
        <v>48227.52839486111</v>
      </c>
      <c r="S64" s="112">
        <v>-834.78444444444449</v>
      </c>
      <c r="T64" s="112">
        <v>-308.33941666666664</v>
      </c>
      <c r="U64" s="112">
        <v>-883.52394444444451</v>
      </c>
      <c r="V64" s="112">
        <v>-506.75888888888881</v>
      </c>
      <c r="W64" s="112">
        <v>-1433.1177222222213</v>
      </c>
      <c r="X64" s="112">
        <v>-605.20937858333332</v>
      </c>
      <c r="Y64" s="114"/>
    </row>
    <row r="65" spans="1:25" x14ac:dyDescent="0.35">
      <c r="A65" s="108">
        <v>39870</v>
      </c>
      <c r="B65" s="109">
        <f t="shared" si="7"/>
        <v>4</v>
      </c>
      <c r="C65" s="108">
        <v>40234</v>
      </c>
      <c r="D65" s="109">
        <f t="shared" si="8"/>
        <v>4</v>
      </c>
      <c r="E65" s="108">
        <v>40598</v>
      </c>
      <c r="F65" s="109">
        <f t="shared" si="9"/>
        <v>4</v>
      </c>
      <c r="G65" s="115">
        <v>40962</v>
      </c>
      <c r="H65" s="109">
        <f t="shared" si="10"/>
        <v>4</v>
      </c>
      <c r="I65" s="115">
        <v>41326</v>
      </c>
      <c r="J65" s="109">
        <f t="shared" si="5"/>
        <v>4</v>
      </c>
      <c r="K65" s="115">
        <v>41690</v>
      </c>
      <c r="L65" s="109">
        <f t="shared" si="11"/>
        <v>4</v>
      </c>
      <c r="M65" s="110">
        <v>24663.542755156996</v>
      </c>
      <c r="N65" s="110">
        <v>23890.492123841588</v>
      </c>
      <c r="O65" s="110">
        <v>39976.700500699437</v>
      </c>
      <c r="P65" s="110">
        <v>28261.843025699447</v>
      </c>
      <c r="Q65" s="110">
        <v>41555.902171153444</v>
      </c>
      <c r="R65" s="110">
        <v>47490.69658930556</v>
      </c>
      <c r="S65" s="112">
        <v>-891.83549999999991</v>
      </c>
      <c r="T65" s="112">
        <v>-106.33327777777778</v>
      </c>
      <c r="U65" s="112">
        <v>-994.97277777777776</v>
      </c>
      <c r="V65" s="112">
        <v>-373.82916666666671</v>
      </c>
      <c r="W65" s="112">
        <v>-1513.1398888888891</v>
      </c>
      <c r="X65" s="112">
        <v>-736.8317859166666</v>
      </c>
      <c r="Y65" s="114"/>
    </row>
    <row r="66" spans="1:25" x14ac:dyDescent="0.35">
      <c r="A66" s="108">
        <v>39871</v>
      </c>
      <c r="B66" s="109">
        <f t="shared" si="7"/>
        <v>5</v>
      </c>
      <c r="C66" s="108">
        <v>40235</v>
      </c>
      <c r="D66" s="109">
        <f t="shared" si="8"/>
        <v>5</v>
      </c>
      <c r="E66" s="108">
        <v>40599</v>
      </c>
      <c r="F66" s="109">
        <f t="shared" si="9"/>
        <v>5</v>
      </c>
      <c r="G66" s="115">
        <v>40963</v>
      </c>
      <c r="H66" s="109">
        <f t="shared" si="10"/>
        <v>5</v>
      </c>
      <c r="I66" s="115">
        <v>41327</v>
      </c>
      <c r="J66" s="109">
        <f t="shared" si="5"/>
        <v>5</v>
      </c>
      <c r="K66" s="115">
        <v>41691</v>
      </c>
      <c r="L66" s="109">
        <f t="shared" si="11"/>
        <v>5</v>
      </c>
      <c r="M66" s="110">
        <v>24102.829782934761</v>
      </c>
      <c r="N66" s="110">
        <v>23857.251596063816</v>
      </c>
      <c r="O66" s="110">
        <v>39067.498834032798</v>
      </c>
      <c r="P66" s="110">
        <v>28061.208303477208</v>
      </c>
      <c r="Q66" s="110">
        <v>40092.591226708988</v>
      </c>
      <c r="R66" s="110">
        <v>46939.977311527779</v>
      </c>
      <c r="S66" s="112">
        <v>-560.71297222222222</v>
      </c>
      <c r="T66" s="112">
        <v>-29.455333333333332</v>
      </c>
      <c r="U66" s="112">
        <v>-901.33047222222228</v>
      </c>
      <c r="V66" s="112">
        <v>-200.63472222222225</v>
      </c>
      <c r="W66" s="112">
        <v>-1463.29675</v>
      </c>
      <c r="X66" s="112">
        <v>-550.71926386111113</v>
      </c>
      <c r="Y66" s="114"/>
    </row>
    <row r="67" spans="1:25" x14ac:dyDescent="0.35">
      <c r="A67" s="108">
        <v>39872</v>
      </c>
      <c r="B67" s="109">
        <f t="shared" si="7"/>
        <v>6</v>
      </c>
      <c r="C67" s="108">
        <v>40236</v>
      </c>
      <c r="D67" s="109">
        <f t="shared" si="8"/>
        <v>6</v>
      </c>
      <c r="E67" s="108">
        <v>40600</v>
      </c>
      <c r="F67" s="109">
        <f t="shared" si="9"/>
        <v>6</v>
      </c>
      <c r="G67" s="115">
        <v>40964</v>
      </c>
      <c r="H67" s="109">
        <f t="shared" si="10"/>
        <v>6</v>
      </c>
      <c r="I67" s="115">
        <v>41328</v>
      </c>
      <c r="J67" s="109">
        <f t="shared" si="5"/>
        <v>6</v>
      </c>
      <c r="K67" s="115">
        <v>41692</v>
      </c>
      <c r="L67" s="109">
        <f t="shared" si="11"/>
        <v>6</v>
      </c>
      <c r="M67" s="110">
        <v>23837.613060712545</v>
      </c>
      <c r="N67" s="110">
        <v>24089.577540508239</v>
      </c>
      <c r="O67" s="110">
        <v>38472.269584032772</v>
      </c>
      <c r="P67" s="110">
        <v>28131.270692366114</v>
      </c>
      <c r="Q67" s="110">
        <v>39035.297393375666</v>
      </c>
      <c r="R67" s="110">
        <v>46685.095589305551</v>
      </c>
      <c r="S67" s="112">
        <v>-265.21672222222219</v>
      </c>
      <c r="T67" s="112">
        <v>233.75650000000002</v>
      </c>
      <c r="U67" s="112">
        <v>-589.07524999999998</v>
      </c>
      <c r="V67" s="112">
        <v>70.062388888888862</v>
      </c>
      <c r="W67" s="112">
        <v>-1057.2893333333334</v>
      </c>
      <c r="X67" s="112">
        <v>-254.88174169444446</v>
      </c>
      <c r="Y67" s="114"/>
    </row>
    <row r="68" spans="1:25" x14ac:dyDescent="0.35">
      <c r="A68" s="108">
        <v>39873</v>
      </c>
      <c r="B68" s="109">
        <f t="shared" si="7"/>
        <v>7</v>
      </c>
      <c r="C68" s="108">
        <v>40237</v>
      </c>
      <c r="D68" s="109">
        <f t="shared" si="8"/>
        <v>7</v>
      </c>
      <c r="E68" s="108">
        <v>40601</v>
      </c>
      <c r="F68" s="109">
        <f t="shared" si="9"/>
        <v>7</v>
      </c>
      <c r="G68" s="115">
        <v>40965</v>
      </c>
      <c r="H68" s="109">
        <f t="shared" si="10"/>
        <v>7</v>
      </c>
      <c r="I68" s="115">
        <v>41329</v>
      </c>
      <c r="J68" s="109">
        <f t="shared" si="5"/>
        <v>7</v>
      </c>
      <c r="K68" s="115">
        <v>41693</v>
      </c>
      <c r="L68" s="109">
        <f t="shared" si="11"/>
        <v>7</v>
      </c>
      <c r="M68" s="110">
        <v>23371.539282934769</v>
      </c>
      <c r="N68" s="110">
        <v>24350.156484952699</v>
      </c>
      <c r="O68" s="110">
        <v>37918.107222921688</v>
      </c>
      <c r="P68" s="110">
        <v>28231.258803477216</v>
      </c>
      <c r="Q68" s="110">
        <v>38077.256921153443</v>
      </c>
      <c r="R68" s="110">
        <v>46400.722228194441</v>
      </c>
      <c r="S68" s="112">
        <v>-466.07377777777782</v>
      </c>
      <c r="T68" s="112">
        <v>262.58402777777781</v>
      </c>
      <c r="U68" s="112">
        <v>-547.98419444444448</v>
      </c>
      <c r="V68" s="112">
        <v>99.988111111111095</v>
      </c>
      <c r="W68" s="112">
        <v>-958.03538888888852</v>
      </c>
      <c r="X68" s="112">
        <v>-284.37338125000002</v>
      </c>
      <c r="Y68" s="114"/>
    </row>
    <row r="69" spans="1:25" x14ac:dyDescent="0.35">
      <c r="A69" s="108">
        <v>39874</v>
      </c>
      <c r="B69" s="109">
        <f t="shared" si="7"/>
        <v>1</v>
      </c>
      <c r="C69" s="108">
        <v>40238</v>
      </c>
      <c r="D69" s="109">
        <f t="shared" si="8"/>
        <v>1</v>
      </c>
      <c r="E69" s="108">
        <v>40602</v>
      </c>
      <c r="F69" s="109">
        <f t="shared" si="9"/>
        <v>1</v>
      </c>
      <c r="G69" s="115">
        <v>40966</v>
      </c>
      <c r="H69" s="109">
        <f t="shared" si="10"/>
        <v>1</v>
      </c>
      <c r="I69" s="115">
        <v>41330</v>
      </c>
      <c r="J69" s="109">
        <f t="shared" si="5"/>
        <v>1</v>
      </c>
      <c r="K69" s="115">
        <v>41694</v>
      </c>
      <c r="L69" s="109">
        <f t="shared" si="11"/>
        <v>1</v>
      </c>
      <c r="M69" s="110">
        <v>22793.402532934775</v>
      </c>
      <c r="N69" s="110">
        <v>24181.594540508249</v>
      </c>
      <c r="O69" s="110">
        <v>37469.290167366111</v>
      </c>
      <c r="P69" s="110">
        <v>27974.880497921658</v>
      </c>
      <c r="Q69" s="110">
        <v>36776.67514337568</v>
      </c>
      <c r="R69" s="110">
        <v>45772.551394861111</v>
      </c>
      <c r="S69" s="112">
        <v>-578.13675000000001</v>
      </c>
      <c r="T69" s="112">
        <v>-167.42052777777778</v>
      </c>
      <c r="U69" s="112">
        <v>-1033.9789166666667</v>
      </c>
      <c r="V69" s="112">
        <v>-256.37830555555553</v>
      </c>
      <c r="W69" s="112">
        <v>-1300.566222222222</v>
      </c>
      <c r="X69" s="112">
        <v>-628.17083961111109</v>
      </c>
      <c r="Y69" s="114"/>
    </row>
    <row r="70" spans="1:25" x14ac:dyDescent="0.35">
      <c r="A70" s="108">
        <v>39875</v>
      </c>
      <c r="B70" s="109">
        <f t="shared" si="7"/>
        <v>2</v>
      </c>
      <c r="C70" s="108">
        <v>40239</v>
      </c>
      <c r="D70" s="109">
        <f t="shared" si="8"/>
        <v>2</v>
      </c>
      <c r="E70" s="108">
        <v>40603</v>
      </c>
      <c r="F70" s="109">
        <f t="shared" si="9"/>
        <v>2</v>
      </c>
      <c r="G70" s="115">
        <v>40967</v>
      </c>
      <c r="H70" s="109">
        <f t="shared" si="10"/>
        <v>2</v>
      </c>
      <c r="I70" s="115">
        <v>41331</v>
      </c>
      <c r="J70" s="109">
        <f t="shared" si="5"/>
        <v>2</v>
      </c>
      <c r="K70" s="115">
        <v>41695</v>
      </c>
      <c r="L70" s="109">
        <f t="shared" si="11"/>
        <v>2</v>
      </c>
      <c r="M70" s="110">
        <v>22208.261449601439</v>
      </c>
      <c r="N70" s="110">
        <v>24078.489179397151</v>
      </c>
      <c r="O70" s="110">
        <v>36453.233000699445</v>
      </c>
      <c r="P70" s="110">
        <v>27527.822803477215</v>
      </c>
      <c r="Q70" s="110">
        <v>35588.607310042338</v>
      </c>
      <c r="R70" s="110">
        <v>45062.765311694442</v>
      </c>
      <c r="S70" s="112">
        <v>-585.14108333333331</v>
      </c>
      <c r="T70" s="112">
        <v>-103.10536111111111</v>
      </c>
      <c r="U70" s="112">
        <v>-1006.4264166666667</v>
      </c>
      <c r="V70" s="112">
        <v>-447.05769444444428</v>
      </c>
      <c r="W70" s="112">
        <v>-1188.059777777778</v>
      </c>
      <c r="X70" s="112">
        <v>-709.7860921111112</v>
      </c>
      <c r="Y70" s="114"/>
    </row>
    <row r="71" spans="1:25" x14ac:dyDescent="0.35">
      <c r="A71" s="108">
        <v>39876</v>
      </c>
      <c r="B71" s="109">
        <f t="shared" si="7"/>
        <v>3</v>
      </c>
      <c r="C71" s="108">
        <v>40240</v>
      </c>
      <c r="D71" s="109">
        <f t="shared" si="8"/>
        <v>3</v>
      </c>
      <c r="E71" s="108">
        <v>40604</v>
      </c>
      <c r="F71" s="109">
        <f t="shared" si="9"/>
        <v>3</v>
      </c>
      <c r="G71" s="115">
        <v>40968</v>
      </c>
      <c r="H71" s="109">
        <f t="shared" si="10"/>
        <v>3</v>
      </c>
      <c r="I71" s="115">
        <v>41332</v>
      </c>
      <c r="J71" s="109">
        <f t="shared" si="5"/>
        <v>3</v>
      </c>
      <c r="K71" s="115">
        <v>41696</v>
      </c>
      <c r="L71" s="109">
        <f t="shared" si="11"/>
        <v>3</v>
      </c>
      <c r="M71" s="110">
        <v>21493.203366268113</v>
      </c>
      <c r="N71" s="110">
        <v>23685.458012730465</v>
      </c>
      <c r="O71" s="110">
        <v>35195.457470143912</v>
      </c>
      <c r="P71" s="110">
        <v>27097.742220143882</v>
      </c>
      <c r="Q71" s="110">
        <v>34477.212726709004</v>
      </c>
      <c r="R71" s="110">
        <v>44226.643422805559</v>
      </c>
      <c r="S71" s="112">
        <v>-715.05808333333334</v>
      </c>
      <c r="T71" s="112">
        <v>-389.77786111111112</v>
      </c>
      <c r="U71" s="112">
        <v>-1246.8084166666665</v>
      </c>
      <c r="V71" s="112">
        <v>-430.08058333333338</v>
      </c>
      <c r="W71" s="112">
        <v>-1111.3642500000001</v>
      </c>
      <c r="X71" s="112">
        <v>-836.12187419444456</v>
      </c>
      <c r="Y71" s="114"/>
    </row>
    <row r="72" spans="1:25" x14ac:dyDescent="0.35">
      <c r="A72" s="108">
        <v>39877</v>
      </c>
      <c r="B72" s="109">
        <f t="shared" si="7"/>
        <v>4</v>
      </c>
      <c r="C72" s="108">
        <v>40241</v>
      </c>
      <c r="D72" s="109">
        <f t="shared" si="8"/>
        <v>4</v>
      </c>
      <c r="E72" s="108">
        <v>40605</v>
      </c>
      <c r="F72" s="109">
        <f t="shared" si="9"/>
        <v>4</v>
      </c>
      <c r="G72" s="115">
        <v>40969</v>
      </c>
      <c r="H72" s="109">
        <f t="shared" si="10"/>
        <v>4</v>
      </c>
      <c r="I72" s="115">
        <v>41333</v>
      </c>
      <c r="J72" s="109">
        <f t="shared" si="5"/>
        <v>4</v>
      </c>
      <c r="K72" s="115">
        <v>41697</v>
      </c>
      <c r="L72" s="109">
        <f t="shared" si="11"/>
        <v>4</v>
      </c>
      <c r="M72" s="110">
        <v>20855.128394045878</v>
      </c>
      <c r="N72" s="110">
        <v>23243.900401619358</v>
      </c>
      <c r="O72" s="110">
        <v>33934.99740625501</v>
      </c>
      <c r="P72" s="110">
        <v>26917.419414588319</v>
      </c>
      <c r="Q72" s="110">
        <v>33606.534310042327</v>
      </c>
      <c r="R72" s="110">
        <v>43470.942117250001</v>
      </c>
      <c r="S72" s="112">
        <v>-638.07497222222219</v>
      </c>
      <c r="T72" s="112">
        <v>-437.53705555555553</v>
      </c>
      <c r="U72" s="112">
        <v>-1251.5213611111112</v>
      </c>
      <c r="V72" s="112">
        <v>-180.32280555555545</v>
      </c>
      <c r="W72" s="112">
        <v>-870.67841666666698</v>
      </c>
      <c r="X72" s="112">
        <v>-755.70132324999997</v>
      </c>
      <c r="Y72" s="114"/>
    </row>
    <row r="73" spans="1:25" x14ac:dyDescent="0.35">
      <c r="A73" s="108">
        <v>39878</v>
      </c>
      <c r="B73" s="109">
        <f t="shared" ref="B73:B99" si="12">WEEKDAY(A73,2)</f>
        <v>5</v>
      </c>
      <c r="C73" s="108">
        <v>40242</v>
      </c>
      <c r="D73" s="109">
        <f t="shared" si="8"/>
        <v>5</v>
      </c>
      <c r="E73" s="108">
        <v>40606</v>
      </c>
      <c r="F73" s="109">
        <f t="shared" si="9"/>
        <v>5</v>
      </c>
      <c r="G73" s="115">
        <v>40970</v>
      </c>
      <c r="H73" s="109">
        <f t="shared" si="10"/>
        <v>5</v>
      </c>
      <c r="I73" s="115">
        <v>41334</v>
      </c>
      <c r="J73" s="109">
        <f t="shared" si="5"/>
        <v>5</v>
      </c>
      <c r="K73" s="115">
        <v>41698</v>
      </c>
      <c r="L73" s="109">
        <f t="shared" si="11"/>
        <v>5</v>
      </c>
      <c r="M73" s="110">
        <v>20412.895838490331</v>
      </c>
      <c r="N73" s="110">
        <v>22549.119457174907</v>
      </c>
      <c r="O73" s="110">
        <v>33016.89309236611</v>
      </c>
      <c r="P73" s="110">
        <v>26823.163025699429</v>
      </c>
      <c r="Q73" s="110">
        <v>32863.272087820107</v>
      </c>
      <c r="R73" s="110">
        <v>42778.248811694444</v>
      </c>
      <c r="S73" s="112">
        <v>-442.23255555555556</v>
      </c>
      <c r="T73" s="112">
        <v>-690.80088888888895</v>
      </c>
      <c r="U73" s="112">
        <v>-911.12808333333339</v>
      </c>
      <c r="V73" s="112">
        <v>-94.256388888888949</v>
      </c>
      <c r="W73" s="112">
        <v>-743.25608333333321</v>
      </c>
      <c r="X73" s="112">
        <v>-692.69329958333333</v>
      </c>
      <c r="Y73" s="114"/>
    </row>
    <row r="74" spans="1:25" x14ac:dyDescent="0.35">
      <c r="A74" s="108">
        <v>39879</v>
      </c>
      <c r="B74" s="109">
        <f t="shared" si="12"/>
        <v>6</v>
      </c>
      <c r="C74" s="108">
        <v>40243</v>
      </c>
      <c r="D74" s="109">
        <f t="shared" ref="D74:D100" si="13">WEEKDAY(C74,2)</f>
        <v>6</v>
      </c>
      <c r="E74" s="108">
        <v>40607</v>
      </c>
      <c r="F74" s="109">
        <f t="shared" si="9"/>
        <v>6</v>
      </c>
      <c r="G74" s="115">
        <v>40971</v>
      </c>
      <c r="H74" s="109">
        <f t="shared" si="10"/>
        <v>6</v>
      </c>
      <c r="I74" s="115">
        <v>41335</v>
      </c>
      <c r="J74" s="109">
        <f t="shared" si="5"/>
        <v>6</v>
      </c>
      <c r="K74" s="115">
        <v>41699</v>
      </c>
      <c r="L74" s="109">
        <f t="shared" si="11"/>
        <v>6</v>
      </c>
      <c r="M74" s="110">
        <v>20100.173310712555</v>
      </c>
      <c r="N74" s="110">
        <v>22056.36856828602</v>
      </c>
      <c r="O74" s="110">
        <v>32628.660520143887</v>
      </c>
      <c r="P74" s="110">
        <v>26939.822053477215</v>
      </c>
      <c r="Q74" s="110">
        <v>32418.039393375664</v>
      </c>
      <c r="R74" s="110">
        <v>42037.221922805555</v>
      </c>
      <c r="S74" s="112">
        <v>-312.72252777777783</v>
      </c>
      <c r="T74" s="112">
        <v>-488.87794444444449</v>
      </c>
      <c r="U74" s="112">
        <v>-381.50886111111106</v>
      </c>
      <c r="V74" s="112">
        <v>116.65902777777775</v>
      </c>
      <c r="W74" s="112">
        <v>-445.2234722222222</v>
      </c>
      <c r="X74" s="112">
        <v>-741.02690144444443</v>
      </c>
      <c r="Y74" s="114"/>
    </row>
    <row r="75" spans="1:25" x14ac:dyDescent="0.35">
      <c r="A75" s="108">
        <v>39880</v>
      </c>
      <c r="B75" s="109">
        <f t="shared" si="12"/>
        <v>7</v>
      </c>
      <c r="C75" s="108">
        <v>40244</v>
      </c>
      <c r="D75" s="109">
        <f t="shared" si="13"/>
        <v>7</v>
      </c>
      <c r="E75" s="108">
        <v>40608</v>
      </c>
      <c r="F75" s="109">
        <f t="shared" ref="F75:F101" si="14">WEEKDAY(E75,2)</f>
        <v>7</v>
      </c>
      <c r="G75" s="115">
        <v>40972</v>
      </c>
      <c r="H75" s="109">
        <f t="shared" si="10"/>
        <v>7</v>
      </c>
      <c r="I75" s="115">
        <v>41336</v>
      </c>
      <c r="J75" s="109">
        <f t="shared" si="5"/>
        <v>7</v>
      </c>
      <c r="K75" s="115">
        <v>41700</v>
      </c>
      <c r="L75" s="109">
        <f t="shared" si="11"/>
        <v>7</v>
      </c>
      <c r="M75" s="110">
        <v>19690.930144045884</v>
      </c>
      <c r="N75" s="110">
        <v>21488.622484952688</v>
      </c>
      <c r="O75" s="110">
        <v>32548.622472921659</v>
      </c>
      <c r="P75" s="110">
        <v>27051.071192366104</v>
      </c>
      <c r="Q75" s="110">
        <v>31948.23175448678</v>
      </c>
      <c r="R75" s="110">
        <v>41471.592950583334</v>
      </c>
      <c r="S75" s="112">
        <v>-409.24316666666664</v>
      </c>
      <c r="T75" s="112">
        <v>-563.81297222222224</v>
      </c>
      <c r="U75" s="112">
        <v>-73.421333333333337</v>
      </c>
      <c r="V75" s="112">
        <v>111.24913888888892</v>
      </c>
      <c r="W75" s="112">
        <v>-469.80258333333336</v>
      </c>
      <c r="X75" s="112">
        <v>-565.62895827777777</v>
      </c>
      <c r="Y75" s="114"/>
    </row>
    <row r="76" spans="1:25" x14ac:dyDescent="0.35">
      <c r="A76" s="108">
        <v>39881</v>
      </c>
      <c r="B76" s="109">
        <f t="shared" si="12"/>
        <v>1</v>
      </c>
      <c r="C76" s="108">
        <v>40245</v>
      </c>
      <c r="D76" s="109">
        <f t="shared" si="13"/>
        <v>1</v>
      </c>
      <c r="E76" s="108">
        <v>40609</v>
      </c>
      <c r="F76" s="109">
        <f t="shared" si="14"/>
        <v>1</v>
      </c>
      <c r="G76" s="115">
        <v>40973</v>
      </c>
      <c r="H76" s="109">
        <f t="shared" ref="H76:H103" si="15">WEEKDAY(G76,2)</f>
        <v>1</v>
      </c>
      <c r="I76" s="115">
        <v>41337</v>
      </c>
      <c r="J76" s="109">
        <f t="shared" si="5"/>
        <v>1</v>
      </c>
      <c r="K76" s="115">
        <v>41701</v>
      </c>
      <c r="L76" s="109">
        <f t="shared" si="11"/>
        <v>1</v>
      </c>
      <c r="M76" s="110">
        <v>19148.107505157001</v>
      </c>
      <c r="N76" s="110">
        <v>20577.984762730473</v>
      </c>
      <c r="O76" s="110">
        <v>31642.094634032801</v>
      </c>
      <c r="P76" s="110">
        <v>26683.166581254995</v>
      </c>
      <c r="Q76" s="110">
        <v>31137.470310042336</v>
      </c>
      <c r="R76" s="110">
        <v>40773.588228361106</v>
      </c>
      <c r="S76" s="112">
        <v>-542.82263888888883</v>
      </c>
      <c r="T76" s="112">
        <v>-909.45688888888878</v>
      </c>
      <c r="U76" s="112">
        <v>-895.67950000000008</v>
      </c>
      <c r="V76" s="112">
        <v>-367.90461111111125</v>
      </c>
      <c r="W76" s="112">
        <v>-810.66258333333349</v>
      </c>
      <c r="X76" s="112">
        <v>-698.00472988888896</v>
      </c>
      <c r="Y76" s="114"/>
    </row>
    <row r="77" spans="1:25" x14ac:dyDescent="0.35">
      <c r="A77" s="108">
        <v>39882</v>
      </c>
      <c r="B77" s="109">
        <f t="shared" si="12"/>
        <v>2</v>
      </c>
      <c r="C77" s="108">
        <v>40246</v>
      </c>
      <c r="D77" s="109">
        <f t="shared" si="13"/>
        <v>2</v>
      </c>
      <c r="E77" s="108">
        <v>40610</v>
      </c>
      <c r="F77" s="109">
        <f t="shared" si="14"/>
        <v>2</v>
      </c>
      <c r="G77" s="115">
        <v>40974</v>
      </c>
      <c r="H77" s="109">
        <f t="shared" si="15"/>
        <v>2</v>
      </c>
      <c r="I77" s="115">
        <v>41338</v>
      </c>
      <c r="J77" s="109">
        <f t="shared" si="5"/>
        <v>2</v>
      </c>
      <c r="K77" s="115">
        <v>41702</v>
      </c>
      <c r="L77" s="109">
        <f t="shared" si="11"/>
        <v>2</v>
      </c>
      <c r="M77" s="110">
        <v>18481.647560712547</v>
      </c>
      <c r="N77" s="110">
        <v>19223.965262730464</v>
      </c>
      <c r="O77" s="110">
        <v>30760.933142366102</v>
      </c>
      <c r="P77" s="110">
        <v>26082.06416458833</v>
      </c>
      <c r="Q77" s="110">
        <v>30222.131310042343</v>
      </c>
      <c r="R77" s="110">
        <v>39929.05833947222</v>
      </c>
      <c r="S77" s="112">
        <v>-666.45994444444443</v>
      </c>
      <c r="T77" s="112">
        <v>-1350.7728888888889</v>
      </c>
      <c r="U77" s="112">
        <v>-864.21119444444435</v>
      </c>
      <c r="V77" s="112">
        <v>-601.10241666666661</v>
      </c>
      <c r="W77" s="112">
        <v>-915.21472222222167</v>
      </c>
      <c r="X77" s="112">
        <v>-844.52987916666677</v>
      </c>
      <c r="Y77" s="114"/>
    </row>
    <row r="78" spans="1:25" x14ac:dyDescent="0.35">
      <c r="A78" s="108">
        <v>39883</v>
      </c>
      <c r="B78" s="109">
        <f t="shared" si="12"/>
        <v>3</v>
      </c>
      <c r="C78" s="108">
        <v>40247</v>
      </c>
      <c r="D78" s="109">
        <f t="shared" si="13"/>
        <v>3</v>
      </c>
      <c r="E78" s="108">
        <v>40611</v>
      </c>
      <c r="F78" s="109">
        <f t="shared" si="14"/>
        <v>3</v>
      </c>
      <c r="G78" s="115">
        <v>40975</v>
      </c>
      <c r="H78" s="109">
        <f t="shared" si="15"/>
        <v>3</v>
      </c>
      <c r="I78" s="115">
        <v>41339</v>
      </c>
      <c r="J78" s="109">
        <f t="shared" ref="J78:J141" si="16">WEEKDAY(I78,2)</f>
        <v>3</v>
      </c>
      <c r="K78" s="115">
        <v>41703</v>
      </c>
      <c r="L78" s="109">
        <f t="shared" si="11"/>
        <v>3</v>
      </c>
      <c r="M78" s="110">
        <v>17829.534921823662</v>
      </c>
      <c r="N78" s="110">
        <v>18015.58392939714</v>
      </c>
      <c r="O78" s="110">
        <v>29856.515353477233</v>
      </c>
      <c r="P78" s="110">
        <v>25635.187525699435</v>
      </c>
      <c r="Q78" s="110">
        <v>29155.290976708988</v>
      </c>
      <c r="R78" s="110">
        <v>39178.210978361109</v>
      </c>
      <c r="S78" s="112">
        <v>-652.11263888888891</v>
      </c>
      <c r="T78" s="112">
        <v>-1204.6246666666666</v>
      </c>
      <c r="U78" s="112">
        <v>-883.02863888888896</v>
      </c>
      <c r="V78" s="112">
        <v>-446.87663888888869</v>
      </c>
      <c r="W78" s="112">
        <v>-1066.7143055555557</v>
      </c>
      <c r="X78" s="112">
        <v>-750.8473659166666</v>
      </c>
      <c r="Y78" s="114"/>
    </row>
    <row r="79" spans="1:25" x14ac:dyDescent="0.35">
      <c r="A79" s="108">
        <v>39884</v>
      </c>
      <c r="B79" s="109">
        <f t="shared" si="12"/>
        <v>4</v>
      </c>
      <c r="C79" s="108">
        <v>40248</v>
      </c>
      <c r="D79" s="109">
        <f t="shared" si="13"/>
        <v>4</v>
      </c>
      <c r="E79" s="108">
        <v>40612</v>
      </c>
      <c r="F79" s="109">
        <f t="shared" si="14"/>
        <v>4</v>
      </c>
      <c r="G79" s="115">
        <v>40976</v>
      </c>
      <c r="H79" s="109">
        <f t="shared" si="15"/>
        <v>4</v>
      </c>
      <c r="I79" s="115">
        <v>41340</v>
      </c>
      <c r="J79" s="109">
        <f t="shared" si="16"/>
        <v>4</v>
      </c>
      <c r="K79" s="115">
        <v>41704</v>
      </c>
      <c r="L79" s="109">
        <f t="shared" si="11"/>
        <v>4</v>
      </c>
      <c r="M79" s="110">
        <v>17234.743171823666</v>
      </c>
      <c r="N79" s="110">
        <v>17031.928484952681</v>
      </c>
      <c r="O79" s="110">
        <v>29044.837878477221</v>
      </c>
      <c r="P79" s="110">
        <v>25235.854609032765</v>
      </c>
      <c r="Q79" s="110">
        <v>28407.379060042324</v>
      </c>
      <c r="R79" s="110">
        <v>38573.673367249998</v>
      </c>
      <c r="S79" s="112">
        <v>-594.79174999999998</v>
      </c>
      <c r="T79" s="112">
        <v>-979.93544444444444</v>
      </c>
      <c r="U79" s="112">
        <v>-787.60152777777773</v>
      </c>
      <c r="V79" s="112">
        <v>-399.33291666666673</v>
      </c>
      <c r="W79" s="112">
        <v>-747.74180555555563</v>
      </c>
      <c r="X79" s="112">
        <v>-604.53759616666673</v>
      </c>
      <c r="Y79" s="114"/>
    </row>
    <row r="80" spans="1:25" x14ac:dyDescent="0.35">
      <c r="A80" s="108">
        <v>39885</v>
      </c>
      <c r="B80" s="109">
        <f t="shared" si="12"/>
        <v>5</v>
      </c>
      <c r="C80" s="108">
        <v>40249</v>
      </c>
      <c r="D80" s="109">
        <f t="shared" si="13"/>
        <v>5</v>
      </c>
      <c r="E80" s="108">
        <v>40613</v>
      </c>
      <c r="F80" s="109">
        <f t="shared" si="14"/>
        <v>5</v>
      </c>
      <c r="G80" s="115">
        <v>40977</v>
      </c>
      <c r="H80" s="109">
        <f t="shared" si="15"/>
        <v>5</v>
      </c>
      <c r="I80" s="115">
        <v>41341</v>
      </c>
      <c r="J80" s="109">
        <f t="shared" si="16"/>
        <v>5</v>
      </c>
      <c r="K80" s="115">
        <v>41705</v>
      </c>
      <c r="L80" s="109">
        <f t="shared" si="11"/>
        <v>5</v>
      </c>
      <c r="M80" s="110">
        <v>16868.596505156998</v>
      </c>
      <c r="N80" s="110">
        <v>16349.829373841576</v>
      </c>
      <c r="O80" s="110">
        <v>28444.198900699444</v>
      </c>
      <c r="P80" s="110">
        <v>25068.517386810545</v>
      </c>
      <c r="Q80" s="110">
        <v>27929.851226709001</v>
      </c>
      <c r="R80" s="110">
        <v>38142.85656169444</v>
      </c>
      <c r="S80" s="112">
        <v>-366.14666666666665</v>
      </c>
      <c r="T80" s="112">
        <v>-678.38333333333333</v>
      </c>
      <c r="U80" s="112">
        <v>-573.08955555555553</v>
      </c>
      <c r="V80" s="112">
        <v>-167.33722222222218</v>
      </c>
      <c r="W80" s="112">
        <v>-477.34797222222221</v>
      </c>
      <c r="X80" s="112">
        <v>-430.81681355555554</v>
      </c>
      <c r="Y80" s="114"/>
    </row>
    <row r="81" spans="1:25" x14ac:dyDescent="0.35">
      <c r="A81" s="108">
        <v>39886</v>
      </c>
      <c r="B81" s="109">
        <f t="shared" si="12"/>
        <v>6</v>
      </c>
      <c r="C81" s="108">
        <v>40250</v>
      </c>
      <c r="D81" s="109">
        <f t="shared" si="13"/>
        <v>6</v>
      </c>
      <c r="E81" s="108">
        <v>40614</v>
      </c>
      <c r="F81" s="109">
        <f t="shared" si="14"/>
        <v>6</v>
      </c>
      <c r="G81" s="115">
        <v>40978</v>
      </c>
      <c r="H81" s="109">
        <f t="shared" si="15"/>
        <v>6</v>
      </c>
      <c r="I81" s="115">
        <v>41342</v>
      </c>
      <c r="J81" s="109">
        <f t="shared" si="16"/>
        <v>6</v>
      </c>
      <c r="K81" s="115">
        <v>41706</v>
      </c>
      <c r="L81" s="109">
        <f t="shared" si="11"/>
        <v>6</v>
      </c>
      <c r="M81" s="110">
        <v>16569.526644045887</v>
      </c>
      <c r="N81" s="110">
        <v>16090.429318286026</v>
      </c>
      <c r="O81" s="110">
        <v>28286.442247921663</v>
      </c>
      <c r="P81" s="110">
        <v>25068.527775699433</v>
      </c>
      <c r="Q81" s="110">
        <v>27873.560310042325</v>
      </c>
      <c r="R81" s="110">
        <v>37879.245672805555</v>
      </c>
      <c r="S81" s="112">
        <v>-299.06986111111109</v>
      </c>
      <c r="T81" s="112">
        <v>-255.92183333333332</v>
      </c>
      <c r="U81" s="112">
        <v>-130.47813888888888</v>
      </c>
      <c r="V81" s="112">
        <v>1.038888888892367E-2</v>
      </c>
      <c r="W81" s="112">
        <v>-56.080527777777775</v>
      </c>
      <c r="X81" s="112">
        <v>-263.61090733333333</v>
      </c>
      <c r="Y81" s="114"/>
    </row>
    <row r="82" spans="1:25" x14ac:dyDescent="0.35">
      <c r="A82" s="108">
        <v>39887</v>
      </c>
      <c r="B82" s="109">
        <f t="shared" si="12"/>
        <v>7</v>
      </c>
      <c r="C82" s="108">
        <v>40251</v>
      </c>
      <c r="D82" s="109">
        <f t="shared" si="13"/>
        <v>7</v>
      </c>
      <c r="E82" s="108">
        <v>40615</v>
      </c>
      <c r="F82" s="109">
        <f t="shared" si="14"/>
        <v>7</v>
      </c>
      <c r="G82" s="115">
        <v>40979</v>
      </c>
      <c r="H82" s="109">
        <f t="shared" si="15"/>
        <v>7</v>
      </c>
      <c r="I82" s="115">
        <v>41343</v>
      </c>
      <c r="J82" s="109">
        <f t="shared" si="16"/>
        <v>7</v>
      </c>
      <c r="K82" s="115">
        <v>41707</v>
      </c>
      <c r="L82" s="109">
        <f t="shared" si="11"/>
        <v>7</v>
      </c>
      <c r="M82" s="110">
        <v>16269.462782934772</v>
      </c>
      <c r="N82" s="110">
        <v>16123.337929397136</v>
      </c>
      <c r="O82" s="110">
        <v>28119.659456255005</v>
      </c>
      <c r="P82" s="110">
        <v>25068.562109032777</v>
      </c>
      <c r="Q82" s="110">
        <v>27847.997143375665</v>
      </c>
      <c r="R82" s="110">
        <v>37735.913922805557</v>
      </c>
      <c r="S82" s="112">
        <v>-300.06386111111107</v>
      </c>
      <c r="T82" s="112">
        <v>36.552694444444448</v>
      </c>
      <c r="U82" s="112">
        <v>-138.78691666666668</v>
      </c>
      <c r="V82" s="112">
        <v>3.4333333333322079E-2</v>
      </c>
      <c r="W82" s="112">
        <v>-25.366638888888897</v>
      </c>
      <c r="X82" s="112">
        <v>-143.33174513888889</v>
      </c>
      <c r="Y82" s="114"/>
    </row>
    <row r="83" spans="1:25" x14ac:dyDescent="0.35">
      <c r="A83" s="108">
        <v>39888</v>
      </c>
      <c r="B83" s="109">
        <f t="shared" si="12"/>
        <v>1</v>
      </c>
      <c r="C83" s="108">
        <v>40252</v>
      </c>
      <c r="D83" s="109">
        <f t="shared" si="13"/>
        <v>1</v>
      </c>
      <c r="E83" s="108">
        <v>40616</v>
      </c>
      <c r="F83" s="109">
        <f t="shared" si="14"/>
        <v>1</v>
      </c>
      <c r="G83" s="115">
        <v>40980</v>
      </c>
      <c r="H83" s="109">
        <f t="shared" si="15"/>
        <v>1</v>
      </c>
      <c r="I83" s="115">
        <v>41344</v>
      </c>
      <c r="J83" s="109">
        <f t="shared" si="16"/>
        <v>1</v>
      </c>
      <c r="K83" s="115">
        <v>41708</v>
      </c>
      <c r="L83" s="109">
        <f t="shared" si="11"/>
        <v>1</v>
      </c>
      <c r="M83" s="110">
        <v>16038.030477379221</v>
      </c>
      <c r="N83" s="110">
        <v>15859.532540508242</v>
      </c>
      <c r="O83" s="110">
        <v>27692.288306255003</v>
      </c>
      <c r="P83" s="110">
        <v>24838.082997921669</v>
      </c>
      <c r="Q83" s="110">
        <v>27461.339893375643</v>
      </c>
      <c r="R83" s="110">
        <v>37085.648561694441</v>
      </c>
      <c r="S83" s="112">
        <v>-231.43230555555556</v>
      </c>
      <c r="T83" s="112">
        <v>-260.12344444444443</v>
      </c>
      <c r="U83" s="112">
        <v>-400.16819444444445</v>
      </c>
      <c r="V83" s="112">
        <v>-230.47911111111117</v>
      </c>
      <c r="W83" s="112">
        <v>-386.47936111111119</v>
      </c>
      <c r="X83" s="112">
        <v>-650.26536105555545</v>
      </c>
      <c r="Y83" s="114"/>
    </row>
    <row r="84" spans="1:25" x14ac:dyDescent="0.35">
      <c r="A84" s="108">
        <v>39889</v>
      </c>
      <c r="B84" s="109">
        <f t="shared" si="12"/>
        <v>2</v>
      </c>
      <c r="C84" s="108">
        <v>40253</v>
      </c>
      <c r="D84" s="109">
        <f t="shared" si="13"/>
        <v>2</v>
      </c>
      <c r="E84" s="108">
        <v>40617</v>
      </c>
      <c r="F84" s="109">
        <f t="shared" si="14"/>
        <v>2</v>
      </c>
      <c r="G84" s="115">
        <v>40981</v>
      </c>
      <c r="H84" s="109">
        <f t="shared" si="15"/>
        <v>2</v>
      </c>
      <c r="I84" s="115">
        <v>41345</v>
      </c>
      <c r="J84" s="109">
        <f t="shared" si="16"/>
        <v>2</v>
      </c>
      <c r="K84" s="115">
        <v>41709</v>
      </c>
      <c r="L84" s="109">
        <f t="shared" si="11"/>
        <v>2</v>
      </c>
      <c r="M84" s="110">
        <v>15762.239088490325</v>
      </c>
      <c r="N84" s="110">
        <v>15618.650123841571</v>
      </c>
      <c r="O84" s="110">
        <v>27287.712559032785</v>
      </c>
      <c r="P84" s="110">
        <v>24699.607831254994</v>
      </c>
      <c r="Q84" s="110">
        <v>26913.589754486769</v>
      </c>
      <c r="R84" s="110">
        <v>36394.391533916671</v>
      </c>
      <c r="S84" s="112">
        <v>-275.79138888888889</v>
      </c>
      <c r="T84" s="112">
        <v>-237.21022222222223</v>
      </c>
      <c r="U84" s="112">
        <v>-380.55119444444443</v>
      </c>
      <c r="V84" s="112">
        <v>-138.47516666666667</v>
      </c>
      <c r="W84" s="112">
        <v>-547.56275000000005</v>
      </c>
      <c r="X84" s="112">
        <v>-691.25701038888883</v>
      </c>
      <c r="Y84" s="114"/>
    </row>
    <row r="85" spans="1:25" x14ac:dyDescent="0.35">
      <c r="A85" s="108">
        <v>39890</v>
      </c>
      <c r="B85" s="109">
        <f t="shared" si="12"/>
        <v>3</v>
      </c>
      <c r="C85" s="108">
        <v>40254</v>
      </c>
      <c r="D85" s="109">
        <f t="shared" si="13"/>
        <v>3</v>
      </c>
      <c r="E85" s="108">
        <v>40618</v>
      </c>
      <c r="F85" s="109">
        <f t="shared" si="14"/>
        <v>3</v>
      </c>
      <c r="G85" s="115">
        <v>40982</v>
      </c>
      <c r="H85" s="109">
        <f t="shared" si="15"/>
        <v>3</v>
      </c>
      <c r="I85" s="115">
        <v>41346</v>
      </c>
      <c r="J85" s="109">
        <f t="shared" si="16"/>
        <v>3</v>
      </c>
      <c r="K85" s="115">
        <v>41710</v>
      </c>
      <c r="L85" s="109">
        <f t="shared" si="11"/>
        <v>3</v>
      </c>
      <c r="M85" s="110">
        <v>15425.275144045885</v>
      </c>
      <c r="N85" s="110">
        <v>15382.421568286021</v>
      </c>
      <c r="O85" s="110">
        <v>26892.783178477224</v>
      </c>
      <c r="P85" s="110">
        <v>24617.598442366103</v>
      </c>
      <c r="Q85" s="110">
        <v>26204.691393375648</v>
      </c>
      <c r="R85" s="110">
        <v>35853.48367280556</v>
      </c>
      <c r="S85" s="112">
        <v>-336.96394444444445</v>
      </c>
      <c r="T85" s="112">
        <v>-235.69122222222222</v>
      </c>
      <c r="U85" s="112">
        <v>-365.88741666666664</v>
      </c>
      <c r="V85" s="112">
        <v>-82.009388888888822</v>
      </c>
      <c r="W85" s="112">
        <v>-708.71794444444481</v>
      </c>
      <c r="X85" s="112">
        <v>-540.90784641666664</v>
      </c>
      <c r="Y85" s="114"/>
    </row>
    <row r="86" spans="1:25" x14ac:dyDescent="0.35">
      <c r="A86" s="108">
        <v>39891</v>
      </c>
      <c r="B86" s="109">
        <f t="shared" si="12"/>
        <v>4</v>
      </c>
      <c r="C86" s="108">
        <v>40255</v>
      </c>
      <c r="D86" s="109">
        <f t="shared" si="13"/>
        <v>4</v>
      </c>
      <c r="E86" s="108">
        <v>40619</v>
      </c>
      <c r="F86" s="109">
        <f t="shared" si="14"/>
        <v>4</v>
      </c>
      <c r="G86" s="115">
        <v>40983</v>
      </c>
      <c r="H86" s="109">
        <f t="shared" si="15"/>
        <v>4</v>
      </c>
      <c r="I86" s="115">
        <v>41347</v>
      </c>
      <c r="J86" s="109">
        <f t="shared" si="16"/>
        <v>4</v>
      </c>
      <c r="K86" s="115">
        <v>41711</v>
      </c>
      <c r="L86" s="109">
        <f t="shared" si="11"/>
        <v>4</v>
      </c>
      <c r="M86" s="110">
        <v>15062.202782934773</v>
      </c>
      <c r="N86" s="110">
        <v>15232.578318286029</v>
      </c>
      <c r="O86" s="110">
        <v>26846.705820143892</v>
      </c>
      <c r="P86" s="110">
        <v>24661.541414588326</v>
      </c>
      <c r="Q86" s="110">
        <v>25298.612421153437</v>
      </c>
      <c r="R86" s="110">
        <v>35399.462700583332</v>
      </c>
      <c r="S86" s="112">
        <v>-363.07236111111109</v>
      </c>
      <c r="T86" s="112">
        <v>-149.65466666666669</v>
      </c>
      <c r="U86" s="112">
        <v>-21.718194444444467</v>
      </c>
      <c r="V86" s="112">
        <v>43.942972222222217</v>
      </c>
      <c r="W86" s="112">
        <v>-905.99061111111075</v>
      </c>
      <c r="X86" s="112">
        <v>-454.02096622222217</v>
      </c>
      <c r="Y86" s="114"/>
    </row>
    <row r="87" spans="1:25" x14ac:dyDescent="0.35">
      <c r="A87" s="108">
        <v>39892</v>
      </c>
      <c r="B87" s="109">
        <f t="shared" si="12"/>
        <v>5</v>
      </c>
      <c r="C87" s="108">
        <v>40256</v>
      </c>
      <c r="D87" s="109">
        <f t="shared" si="13"/>
        <v>5</v>
      </c>
      <c r="E87" s="108">
        <v>40620</v>
      </c>
      <c r="F87" s="109">
        <f t="shared" si="14"/>
        <v>5</v>
      </c>
      <c r="G87" s="115">
        <v>40984</v>
      </c>
      <c r="H87" s="109">
        <f t="shared" si="15"/>
        <v>5</v>
      </c>
      <c r="I87" s="115">
        <v>41348</v>
      </c>
      <c r="J87" s="109">
        <f t="shared" si="16"/>
        <v>5</v>
      </c>
      <c r="K87" s="115">
        <v>41712</v>
      </c>
      <c r="L87" s="109">
        <f t="shared" si="11"/>
        <v>5</v>
      </c>
      <c r="M87" s="110">
        <v>14415.901477379219</v>
      </c>
      <c r="N87" s="110">
        <v>15104.396429397138</v>
      </c>
      <c r="O87" s="110">
        <v>26825.879539588335</v>
      </c>
      <c r="P87" s="110">
        <v>24831.542303477207</v>
      </c>
      <c r="Q87" s="110">
        <v>24331.634226709004</v>
      </c>
      <c r="R87" s="110">
        <v>35025.608895027777</v>
      </c>
      <c r="S87" s="112">
        <v>-646.30130555555559</v>
      </c>
      <c r="T87" s="112">
        <v>-128.09652777777777</v>
      </c>
      <c r="U87" s="112">
        <v>5.9123055555555712</v>
      </c>
      <c r="V87" s="112">
        <v>170.00088888888888</v>
      </c>
      <c r="W87" s="112">
        <v>-966.82277777777813</v>
      </c>
      <c r="X87" s="112">
        <v>-373.85380422222221</v>
      </c>
      <c r="Y87" s="114"/>
    </row>
    <row r="88" spans="1:25" x14ac:dyDescent="0.35">
      <c r="A88" s="108">
        <v>39893</v>
      </c>
      <c r="B88" s="109">
        <f t="shared" si="12"/>
        <v>6</v>
      </c>
      <c r="C88" s="108">
        <v>40257</v>
      </c>
      <c r="D88" s="109">
        <f t="shared" si="13"/>
        <v>6</v>
      </c>
      <c r="E88" s="108">
        <v>40621</v>
      </c>
      <c r="F88" s="109">
        <f t="shared" si="14"/>
        <v>6</v>
      </c>
      <c r="G88" s="115">
        <v>40985</v>
      </c>
      <c r="H88" s="109">
        <f t="shared" si="15"/>
        <v>6</v>
      </c>
      <c r="I88" s="115">
        <v>41349</v>
      </c>
      <c r="J88" s="109">
        <f t="shared" si="16"/>
        <v>6</v>
      </c>
      <c r="K88" s="115">
        <v>41713</v>
      </c>
      <c r="L88" s="109">
        <f t="shared" si="11"/>
        <v>6</v>
      </c>
      <c r="M88" s="110">
        <v>13930.566949601442</v>
      </c>
      <c r="N88" s="110">
        <v>15228.065846063801</v>
      </c>
      <c r="O88" s="110">
        <v>26824.856689588327</v>
      </c>
      <c r="P88" s="110">
        <v>25140.536692366095</v>
      </c>
      <c r="Q88" s="110">
        <v>23505.510310042318</v>
      </c>
      <c r="R88" s="110">
        <v>35019.029228361112</v>
      </c>
      <c r="S88" s="112">
        <v>-485.33452777777779</v>
      </c>
      <c r="T88" s="112">
        <v>126.14936111111112</v>
      </c>
      <c r="U88" s="112">
        <v>27.618833333333335</v>
      </c>
      <c r="V88" s="112">
        <v>308.99438888888898</v>
      </c>
      <c r="W88" s="112">
        <v>-825.94938888888885</v>
      </c>
      <c r="X88" s="112">
        <v>-6.5796614444444446</v>
      </c>
      <c r="Y88" s="114"/>
    </row>
    <row r="89" spans="1:25" x14ac:dyDescent="0.35">
      <c r="A89" s="108">
        <v>39894</v>
      </c>
      <c r="B89" s="109">
        <f t="shared" si="12"/>
        <v>7</v>
      </c>
      <c r="C89" s="108">
        <v>40258</v>
      </c>
      <c r="D89" s="109">
        <f t="shared" si="13"/>
        <v>7</v>
      </c>
      <c r="E89" s="108">
        <v>40622</v>
      </c>
      <c r="F89" s="109">
        <f t="shared" si="14"/>
        <v>7</v>
      </c>
      <c r="G89" s="115">
        <v>40986</v>
      </c>
      <c r="H89" s="109">
        <f t="shared" si="15"/>
        <v>7</v>
      </c>
      <c r="I89" s="115">
        <v>41350</v>
      </c>
      <c r="J89" s="109">
        <f t="shared" si="16"/>
        <v>7</v>
      </c>
      <c r="K89" s="115">
        <v>41714</v>
      </c>
      <c r="L89" s="109">
        <f t="shared" si="11"/>
        <v>7</v>
      </c>
      <c r="M89" s="110">
        <v>13460.504032934772</v>
      </c>
      <c r="N89" s="110">
        <v>15473.225707174919</v>
      </c>
      <c r="O89" s="110">
        <v>26823.826028477219</v>
      </c>
      <c r="P89" s="110">
        <v>25352.259664588328</v>
      </c>
      <c r="Q89" s="110">
        <v>22773.711476709002</v>
      </c>
      <c r="R89" s="110">
        <v>35134.751922805553</v>
      </c>
      <c r="S89" s="112">
        <v>-470.06291666666669</v>
      </c>
      <c r="T89" s="112">
        <v>248.48522222222223</v>
      </c>
      <c r="U89" s="112">
        <v>26.996527777777779</v>
      </c>
      <c r="V89" s="112">
        <v>211.72297222222224</v>
      </c>
      <c r="W89" s="112">
        <v>-731.62780555555571</v>
      </c>
      <c r="X89" s="112">
        <v>115.72268188888887</v>
      </c>
      <c r="Y89" s="114"/>
    </row>
    <row r="90" spans="1:25" x14ac:dyDescent="0.35">
      <c r="A90" s="108">
        <v>39895</v>
      </c>
      <c r="B90" s="109">
        <f t="shared" si="12"/>
        <v>1</v>
      </c>
      <c r="C90" s="108">
        <v>40259</v>
      </c>
      <c r="D90" s="109">
        <f t="shared" si="13"/>
        <v>1</v>
      </c>
      <c r="E90" s="108">
        <v>40623</v>
      </c>
      <c r="F90" s="109">
        <f t="shared" si="14"/>
        <v>1</v>
      </c>
      <c r="G90" s="115">
        <v>40987</v>
      </c>
      <c r="H90" s="109">
        <f t="shared" si="15"/>
        <v>1</v>
      </c>
      <c r="I90" s="115">
        <v>41351</v>
      </c>
      <c r="J90" s="109">
        <f t="shared" si="16"/>
        <v>1</v>
      </c>
      <c r="K90" s="115">
        <v>41715</v>
      </c>
      <c r="L90" s="109">
        <f t="shared" si="11"/>
        <v>1</v>
      </c>
      <c r="M90" s="110">
        <v>12949.984505156996</v>
      </c>
      <c r="N90" s="110">
        <v>15316.623901619354</v>
      </c>
      <c r="O90" s="110">
        <v>26392.634050699442</v>
      </c>
      <c r="P90" s="110">
        <v>25352.119053477218</v>
      </c>
      <c r="Q90" s="110">
        <v>21804.285233948442</v>
      </c>
      <c r="R90" s="110">
        <v>34969.167783916666</v>
      </c>
      <c r="S90" s="112">
        <v>-510.5195277777778</v>
      </c>
      <c r="T90" s="112">
        <v>-153.65847222222223</v>
      </c>
      <c r="U90" s="112">
        <v>-402.07011111111109</v>
      </c>
      <c r="V90" s="112">
        <v>-0.14061111111112051</v>
      </c>
      <c r="W90" s="112">
        <v>-969.36719444444464</v>
      </c>
      <c r="X90" s="112">
        <v>-165.74986505555555</v>
      </c>
      <c r="Y90" s="114"/>
    </row>
    <row r="91" spans="1:25" x14ac:dyDescent="0.35">
      <c r="A91" s="108">
        <v>39896</v>
      </c>
      <c r="B91" s="109">
        <f t="shared" si="12"/>
        <v>2</v>
      </c>
      <c r="C91" s="108">
        <v>40260</v>
      </c>
      <c r="D91" s="109">
        <f t="shared" si="13"/>
        <v>2</v>
      </c>
      <c r="E91" s="108">
        <v>40624</v>
      </c>
      <c r="F91" s="109">
        <f t="shared" si="14"/>
        <v>2</v>
      </c>
      <c r="G91" s="115">
        <v>40988</v>
      </c>
      <c r="H91" s="109">
        <f t="shared" si="15"/>
        <v>2</v>
      </c>
      <c r="I91" s="115">
        <v>41352</v>
      </c>
      <c r="J91" s="109">
        <f t="shared" si="16"/>
        <v>2</v>
      </c>
      <c r="K91" s="115">
        <v>41716</v>
      </c>
      <c r="L91" s="109">
        <f t="shared" si="11"/>
        <v>2</v>
      </c>
      <c r="M91" s="110">
        <v>12460.156199601439</v>
      </c>
      <c r="N91" s="110">
        <v>15343.245290508248</v>
      </c>
      <c r="O91" s="110">
        <v>25975.44831458835</v>
      </c>
      <c r="P91" s="110">
        <v>25325.358803477211</v>
      </c>
      <c r="Q91" s="110">
        <v>21054.944464386226</v>
      </c>
      <c r="R91" s="110">
        <v>34817.160589472223</v>
      </c>
      <c r="S91" s="112">
        <v>-489.82830555555552</v>
      </c>
      <c r="T91" s="112">
        <v>29.787833333333332</v>
      </c>
      <c r="U91" s="112">
        <v>-388.32869444444447</v>
      </c>
      <c r="V91" s="112">
        <v>-26.760249999999985</v>
      </c>
      <c r="W91" s="112">
        <v>-749.23247222222221</v>
      </c>
      <c r="X91" s="112">
        <v>-152.00719963888889</v>
      </c>
      <c r="Y91" s="114"/>
    </row>
    <row r="92" spans="1:25" x14ac:dyDescent="0.35">
      <c r="A92" s="108">
        <v>39897</v>
      </c>
      <c r="B92" s="109">
        <f t="shared" si="12"/>
        <v>3</v>
      </c>
      <c r="C92" s="108">
        <v>40261</v>
      </c>
      <c r="D92" s="109">
        <f t="shared" si="13"/>
        <v>3</v>
      </c>
      <c r="E92" s="108">
        <v>40625</v>
      </c>
      <c r="F92" s="109">
        <f t="shared" si="14"/>
        <v>3</v>
      </c>
      <c r="G92" s="115">
        <v>40989</v>
      </c>
      <c r="H92" s="109">
        <f t="shared" si="15"/>
        <v>3</v>
      </c>
      <c r="I92" s="115">
        <v>41353</v>
      </c>
      <c r="J92" s="109">
        <f t="shared" si="16"/>
        <v>3</v>
      </c>
      <c r="K92" s="115">
        <v>41717</v>
      </c>
      <c r="L92" s="109">
        <f t="shared" si="11"/>
        <v>3</v>
      </c>
      <c r="M92" s="110">
        <v>12155.352949601442</v>
      </c>
      <c r="N92" s="110">
        <v>15457.312068286026</v>
      </c>
      <c r="O92" s="110">
        <v>25660.620467366112</v>
      </c>
      <c r="P92" s="110">
        <v>25459.057025699447</v>
      </c>
      <c r="Q92" s="110">
        <v>20321.193544644557</v>
      </c>
      <c r="R92" s="110">
        <v>34687.05089502778</v>
      </c>
      <c r="S92" s="112">
        <v>-304.80324999999999</v>
      </c>
      <c r="T92" s="112">
        <v>115.58208333333333</v>
      </c>
      <c r="U92" s="112">
        <v>-286.16733333333332</v>
      </c>
      <c r="V92" s="112">
        <v>133.69822222222226</v>
      </c>
      <c r="W92" s="112">
        <v>-733.57122222222233</v>
      </c>
      <c r="X92" s="112">
        <v>-130.10967655555555</v>
      </c>
      <c r="Y92" s="114"/>
    </row>
    <row r="93" spans="1:25" x14ac:dyDescent="0.35">
      <c r="A93" s="108">
        <v>39898</v>
      </c>
      <c r="B93" s="109">
        <f t="shared" si="12"/>
        <v>4</v>
      </c>
      <c r="C93" s="108">
        <v>40262</v>
      </c>
      <c r="D93" s="109">
        <f t="shared" si="13"/>
        <v>4</v>
      </c>
      <c r="E93" s="108">
        <v>40626</v>
      </c>
      <c r="F93" s="109">
        <f t="shared" si="14"/>
        <v>4</v>
      </c>
      <c r="G93" s="115">
        <v>40990</v>
      </c>
      <c r="H93" s="109">
        <f t="shared" si="15"/>
        <v>4</v>
      </c>
      <c r="I93" s="115">
        <v>41354</v>
      </c>
      <c r="J93" s="109">
        <f t="shared" si="16"/>
        <v>4</v>
      </c>
      <c r="K93" s="115">
        <v>41718</v>
      </c>
      <c r="L93" s="109">
        <f t="shared" si="11"/>
        <v>4</v>
      </c>
      <c r="M93" s="110">
        <v>11901.989310712552</v>
      </c>
      <c r="N93" s="110">
        <v>15643.320318286031</v>
      </c>
      <c r="O93" s="110">
        <v>25477.831853477226</v>
      </c>
      <c r="P93" s="110">
        <v>25661.534914588327</v>
      </c>
      <c r="Q93" s="110">
        <v>19893.371362619277</v>
      </c>
      <c r="R93" s="110">
        <v>34679.374256138886</v>
      </c>
      <c r="S93" s="112">
        <v>-253.36363888888889</v>
      </c>
      <c r="T93" s="112">
        <v>188.01352777777777</v>
      </c>
      <c r="U93" s="112">
        <v>-152.94838888888887</v>
      </c>
      <c r="V93" s="112">
        <v>202.47788888888883</v>
      </c>
      <c r="W93" s="112">
        <v>-427.64869444444446</v>
      </c>
      <c r="X93" s="112">
        <v>-7.6766376388888897</v>
      </c>
      <c r="Y93" s="114"/>
    </row>
    <row r="94" spans="1:25" x14ac:dyDescent="0.35">
      <c r="A94" s="108">
        <v>39899</v>
      </c>
      <c r="B94" s="109">
        <f t="shared" si="12"/>
        <v>5</v>
      </c>
      <c r="C94" s="108">
        <v>40263</v>
      </c>
      <c r="D94" s="109">
        <f t="shared" si="13"/>
        <v>5</v>
      </c>
      <c r="E94" s="108">
        <v>40627</v>
      </c>
      <c r="F94" s="109">
        <f t="shared" si="14"/>
        <v>5</v>
      </c>
      <c r="G94" s="115">
        <v>40991</v>
      </c>
      <c r="H94" s="109">
        <f t="shared" si="15"/>
        <v>5</v>
      </c>
      <c r="I94" s="115">
        <v>41355</v>
      </c>
      <c r="J94" s="109">
        <f t="shared" si="16"/>
        <v>5</v>
      </c>
      <c r="K94" s="115">
        <v>41719</v>
      </c>
      <c r="L94" s="109">
        <f t="shared" si="11"/>
        <v>5</v>
      </c>
      <c r="M94" s="110">
        <v>11697.875060712548</v>
      </c>
      <c r="N94" s="110">
        <v>15875.222901619351</v>
      </c>
      <c r="O94" s="110">
        <v>25429.326828477235</v>
      </c>
      <c r="P94" s="110">
        <v>25892.100220143886</v>
      </c>
      <c r="Q94" s="110">
        <v>19557.239161367055</v>
      </c>
      <c r="R94" s="110">
        <v>34734.252145027778</v>
      </c>
      <c r="S94" s="112">
        <v>-204.11425000000003</v>
      </c>
      <c r="T94" s="112">
        <v>235.02488888888888</v>
      </c>
      <c r="U94" s="112">
        <v>-17.795083333333302</v>
      </c>
      <c r="V94" s="112">
        <v>230.56530555555551</v>
      </c>
      <c r="W94" s="112">
        <v>-335.96152777777786</v>
      </c>
      <c r="X94" s="112">
        <v>54.877888055555552</v>
      </c>
      <c r="Y94" s="114"/>
    </row>
    <row r="95" spans="1:25" x14ac:dyDescent="0.35">
      <c r="A95" s="108">
        <v>39900</v>
      </c>
      <c r="B95" s="109">
        <f t="shared" si="12"/>
        <v>6</v>
      </c>
      <c r="C95" s="108">
        <v>40264</v>
      </c>
      <c r="D95" s="109">
        <f t="shared" si="13"/>
        <v>6</v>
      </c>
      <c r="E95" s="108">
        <v>40628</v>
      </c>
      <c r="F95" s="109">
        <f t="shared" si="14"/>
        <v>6</v>
      </c>
      <c r="G95" s="115">
        <v>40992</v>
      </c>
      <c r="H95" s="109">
        <f t="shared" si="15"/>
        <v>6</v>
      </c>
      <c r="I95" s="115">
        <v>41356</v>
      </c>
      <c r="J95" s="109">
        <f t="shared" si="16"/>
        <v>6</v>
      </c>
      <c r="K95" s="115">
        <v>41720</v>
      </c>
      <c r="L95" s="109">
        <f t="shared" si="11"/>
        <v>6</v>
      </c>
      <c r="M95" s="110">
        <v>11550.571088490333</v>
      </c>
      <c r="N95" s="110">
        <v>16208.8375960638</v>
      </c>
      <c r="O95" s="110">
        <v>25526.193525699447</v>
      </c>
      <c r="P95" s="110">
        <v>26163.723275699445</v>
      </c>
      <c r="Q95" s="110">
        <v>19131.823319920943</v>
      </c>
      <c r="R95" s="110">
        <v>34932.197478361108</v>
      </c>
      <c r="S95" s="112">
        <v>-147.30397222222223</v>
      </c>
      <c r="T95" s="112">
        <v>336.93397222222222</v>
      </c>
      <c r="U95" s="112">
        <v>246.12994444444445</v>
      </c>
      <c r="V95" s="112">
        <v>271.62305555555554</v>
      </c>
      <c r="W95" s="112">
        <v>-425.23916666666668</v>
      </c>
      <c r="X95" s="112">
        <v>197.94533283333334</v>
      </c>
      <c r="Y95" s="114"/>
    </row>
    <row r="96" spans="1:25" x14ac:dyDescent="0.35">
      <c r="A96" s="108">
        <v>39901</v>
      </c>
      <c r="B96" s="109">
        <f t="shared" si="12"/>
        <v>7</v>
      </c>
      <c r="C96" s="108">
        <v>40265</v>
      </c>
      <c r="D96" s="109">
        <f t="shared" si="13"/>
        <v>7</v>
      </c>
      <c r="E96" s="108">
        <v>40629</v>
      </c>
      <c r="F96" s="109">
        <f t="shared" si="14"/>
        <v>7</v>
      </c>
      <c r="G96" s="115">
        <v>40993</v>
      </c>
      <c r="H96" s="109">
        <f t="shared" si="15"/>
        <v>7</v>
      </c>
      <c r="I96" s="115">
        <v>41357</v>
      </c>
      <c r="J96" s="109">
        <f t="shared" si="16"/>
        <v>7</v>
      </c>
      <c r="K96" s="115">
        <v>41721</v>
      </c>
      <c r="L96" s="109">
        <f t="shared" si="11"/>
        <v>7</v>
      </c>
      <c r="M96" s="110">
        <v>11346.241421823659</v>
      </c>
      <c r="N96" s="110">
        <v>16590.861540508238</v>
      </c>
      <c r="O96" s="110">
        <v>25870.872139588326</v>
      </c>
      <c r="P96" s="110">
        <v>26498.13024792165</v>
      </c>
      <c r="Q96" s="110">
        <v>18767.382514004275</v>
      </c>
      <c r="R96" s="110">
        <v>35021.066895027776</v>
      </c>
      <c r="S96" s="112">
        <v>-204.32966666666667</v>
      </c>
      <c r="T96" s="112">
        <v>385.37133333333333</v>
      </c>
      <c r="U96" s="112">
        <v>375.13419444444446</v>
      </c>
      <c r="V96" s="112">
        <v>334.40697222222229</v>
      </c>
      <c r="W96" s="112">
        <v>-364.3770277777777</v>
      </c>
      <c r="X96" s="112">
        <v>88.869419611111113</v>
      </c>
      <c r="Y96" s="114"/>
    </row>
    <row r="97" spans="1:25" x14ac:dyDescent="0.35">
      <c r="A97" s="108">
        <v>39902</v>
      </c>
      <c r="B97" s="109">
        <f t="shared" si="12"/>
        <v>1</v>
      </c>
      <c r="C97" s="108">
        <v>40266</v>
      </c>
      <c r="D97" s="109">
        <f t="shared" si="13"/>
        <v>1</v>
      </c>
      <c r="E97" s="108">
        <v>40630</v>
      </c>
      <c r="F97" s="109">
        <f t="shared" si="14"/>
        <v>1</v>
      </c>
      <c r="G97" s="115">
        <v>40994</v>
      </c>
      <c r="H97" s="109">
        <f t="shared" si="15"/>
        <v>1</v>
      </c>
      <c r="I97" s="115">
        <v>41358</v>
      </c>
      <c r="J97" s="109">
        <f t="shared" si="16"/>
        <v>1</v>
      </c>
      <c r="K97" s="115">
        <v>41722</v>
      </c>
      <c r="L97" s="109">
        <f t="shared" si="11"/>
        <v>1</v>
      </c>
      <c r="M97" s="110">
        <v>11103.353671823659</v>
      </c>
      <c r="N97" s="110">
        <v>16709.528596063803</v>
      </c>
      <c r="O97" s="110">
        <v>25746.182192366097</v>
      </c>
      <c r="P97" s="110">
        <v>26661.862386810542</v>
      </c>
      <c r="Q97" s="110">
        <v>17916.699237173998</v>
      </c>
      <c r="R97" s="110">
        <v>34615.055922805557</v>
      </c>
      <c r="S97" s="112">
        <v>-242.88775000000001</v>
      </c>
      <c r="T97" s="112">
        <v>122.01852777777778</v>
      </c>
      <c r="U97" s="112">
        <v>-115.4195</v>
      </c>
      <c r="V97" s="112">
        <v>163.7321388888889</v>
      </c>
      <c r="W97" s="112">
        <v>-850.5341111111112</v>
      </c>
      <c r="X97" s="112">
        <v>-406.01096100000007</v>
      </c>
      <c r="Y97" s="114"/>
    </row>
    <row r="98" spans="1:25" x14ac:dyDescent="0.35">
      <c r="A98" s="108">
        <v>39903</v>
      </c>
      <c r="B98" s="109">
        <f t="shared" si="12"/>
        <v>2</v>
      </c>
      <c r="C98" s="108">
        <v>40267</v>
      </c>
      <c r="D98" s="109">
        <f t="shared" si="13"/>
        <v>2</v>
      </c>
      <c r="E98" s="108">
        <v>40631</v>
      </c>
      <c r="F98" s="109">
        <f t="shared" si="14"/>
        <v>2</v>
      </c>
      <c r="G98" s="115">
        <v>40995</v>
      </c>
      <c r="H98" s="109">
        <f t="shared" si="15"/>
        <v>2</v>
      </c>
      <c r="I98" s="115">
        <v>41359</v>
      </c>
      <c r="J98" s="109">
        <f t="shared" si="16"/>
        <v>2</v>
      </c>
      <c r="K98" s="115">
        <v>41723</v>
      </c>
      <c r="L98" s="109">
        <f t="shared" si="11"/>
        <v>2</v>
      </c>
      <c r="M98" s="110">
        <v>10944.143588490329</v>
      </c>
      <c r="N98" s="110">
        <v>16787.817734952692</v>
      </c>
      <c r="O98" s="110">
        <v>25711.845609032771</v>
      </c>
      <c r="P98" s="110">
        <v>26631.942609032769</v>
      </c>
      <c r="Q98" s="110">
        <v>16920.914187343449</v>
      </c>
      <c r="R98" s="110">
        <v>33976.431228361107</v>
      </c>
      <c r="S98" s="112">
        <v>-159.21008333333336</v>
      </c>
      <c r="T98" s="112">
        <v>80.165416666666673</v>
      </c>
      <c r="U98" s="112">
        <v>-25.071083333333352</v>
      </c>
      <c r="V98" s="112">
        <v>-29.919777777777785</v>
      </c>
      <c r="W98" s="112">
        <v>-995.66191666666703</v>
      </c>
      <c r="X98" s="112">
        <v>-638.62469088888895</v>
      </c>
      <c r="Y98" s="114"/>
    </row>
    <row r="99" spans="1:25" x14ac:dyDescent="0.35">
      <c r="A99" s="108">
        <v>39904</v>
      </c>
      <c r="B99" s="109">
        <f t="shared" si="12"/>
        <v>3</v>
      </c>
      <c r="C99" s="108">
        <v>40268</v>
      </c>
      <c r="D99" s="109">
        <f t="shared" si="13"/>
        <v>3</v>
      </c>
      <c r="E99" s="108">
        <v>40632</v>
      </c>
      <c r="F99" s="109">
        <f t="shared" si="14"/>
        <v>3</v>
      </c>
      <c r="G99" s="115">
        <v>40996</v>
      </c>
      <c r="H99" s="109">
        <f t="shared" si="15"/>
        <v>3</v>
      </c>
      <c r="I99" s="115">
        <v>41360</v>
      </c>
      <c r="J99" s="109">
        <f t="shared" si="16"/>
        <v>3</v>
      </c>
      <c r="K99" s="115">
        <v>41724</v>
      </c>
      <c r="L99" s="109">
        <f t="shared" si="11"/>
        <v>3</v>
      </c>
      <c r="M99" s="110">
        <v>11060.458957174931</v>
      </c>
      <c r="N99" s="110">
        <v>16876.566151619361</v>
      </c>
      <c r="O99" s="110">
        <v>25815.407247921674</v>
      </c>
      <c r="P99" s="110">
        <v>26896.533997921662</v>
      </c>
      <c r="Q99" s="110">
        <v>15946.812975294824</v>
      </c>
      <c r="R99" s="110">
        <v>33277.36881183333</v>
      </c>
      <c r="S99" s="112">
        <v>84.122472222222228</v>
      </c>
      <c r="T99" s="112">
        <v>90.242999999999995</v>
      </c>
      <c r="U99" s="112">
        <v>112.16961111111111</v>
      </c>
      <c r="V99" s="112">
        <v>264.5913888888889</v>
      </c>
      <c r="W99" s="112">
        <v>-974.06038888888884</v>
      </c>
      <c r="X99" s="112">
        <v>-699.06241530555565</v>
      </c>
    </row>
    <row r="100" spans="1:25" x14ac:dyDescent="0.35">
      <c r="A100" s="108">
        <v>39905</v>
      </c>
      <c r="B100" s="109">
        <f t="shared" ref="B100:B163" si="17">WEEKDAY(A100,2)</f>
        <v>4</v>
      </c>
      <c r="C100" s="108">
        <v>40269</v>
      </c>
      <c r="D100" s="109">
        <f t="shared" si="13"/>
        <v>4</v>
      </c>
      <c r="E100" s="108">
        <v>40633</v>
      </c>
      <c r="F100" s="109">
        <f t="shared" si="14"/>
        <v>4</v>
      </c>
      <c r="G100" s="115">
        <v>40997</v>
      </c>
      <c r="H100" s="109">
        <f t="shared" si="15"/>
        <v>4</v>
      </c>
      <c r="I100" s="115">
        <v>41361</v>
      </c>
      <c r="J100" s="109">
        <f t="shared" si="16"/>
        <v>4</v>
      </c>
      <c r="K100" s="115">
        <v>41725</v>
      </c>
      <c r="L100" s="109">
        <f t="shared" si="11"/>
        <v>4</v>
      </c>
      <c r="M100" s="110">
        <v>11246.73587384159</v>
      </c>
      <c r="N100" s="110">
        <v>17232.369632028091</v>
      </c>
      <c r="O100" s="110">
        <v>26768.084636810567</v>
      </c>
      <c r="P100" s="110">
        <v>27145.641470143899</v>
      </c>
      <c r="Q100" s="110">
        <v>15160.71387028649</v>
      </c>
      <c r="R100" s="110">
        <v>32760.832561833333</v>
      </c>
      <c r="S100" s="112">
        <v>186.27691666666666</v>
      </c>
      <c r="T100" s="112">
        <v>78.453861111111124</v>
      </c>
      <c r="U100" s="112">
        <v>247.74622222222223</v>
      </c>
      <c r="V100" s="112">
        <v>249.10747222222224</v>
      </c>
      <c r="W100" s="112">
        <v>-775.69375000000014</v>
      </c>
      <c r="X100" s="112">
        <v>-516.53624472222225</v>
      </c>
    </row>
    <row r="101" spans="1:25" x14ac:dyDescent="0.35">
      <c r="A101" s="108">
        <v>39906</v>
      </c>
      <c r="B101" s="109">
        <f t="shared" si="17"/>
        <v>5</v>
      </c>
      <c r="C101" s="108">
        <v>40270</v>
      </c>
      <c r="D101" s="109">
        <f t="shared" ref="D101:D164" si="18">WEEKDAY(C101,2)</f>
        <v>5</v>
      </c>
      <c r="E101" s="115">
        <v>40634</v>
      </c>
      <c r="F101" s="109">
        <f t="shared" si="14"/>
        <v>5</v>
      </c>
      <c r="G101" s="115">
        <v>40998</v>
      </c>
      <c r="H101" s="109">
        <f t="shared" si="15"/>
        <v>5</v>
      </c>
      <c r="I101" s="115">
        <v>41362</v>
      </c>
      <c r="J101" s="109">
        <f t="shared" si="16"/>
        <v>5</v>
      </c>
      <c r="K101" s="115">
        <v>41726</v>
      </c>
      <c r="L101" s="109">
        <f t="shared" si="11"/>
        <v>5</v>
      </c>
      <c r="M101" s="110">
        <v>11683.310429397156</v>
      </c>
      <c r="N101" s="110">
        <v>17365.295882028084</v>
      </c>
      <c r="O101" s="110">
        <v>27136.819003477241</v>
      </c>
      <c r="P101" s="110">
        <v>27454.364136810556</v>
      </c>
      <c r="Q101" s="110">
        <v>14759.601252972616</v>
      </c>
      <c r="R101" s="110">
        <v>32605.791645166668</v>
      </c>
      <c r="S101" s="112">
        <v>436.57455555555555</v>
      </c>
      <c r="T101" s="112">
        <v>136.12447222222221</v>
      </c>
      <c r="U101" s="112">
        <v>361.06794444444455</v>
      </c>
      <c r="V101" s="112">
        <v>308.72266666666678</v>
      </c>
      <c r="W101" s="112">
        <v>-400.93611111111107</v>
      </c>
      <c r="X101" s="112">
        <v>-155.04089852777778</v>
      </c>
    </row>
    <row r="102" spans="1:25" x14ac:dyDescent="0.35">
      <c r="A102" s="108">
        <v>39907</v>
      </c>
      <c r="B102" s="109">
        <f t="shared" si="17"/>
        <v>6</v>
      </c>
      <c r="C102" s="108">
        <v>40271</v>
      </c>
      <c r="D102" s="109">
        <f t="shared" si="18"/>
        <v>6</v>
      </c>
      <c r="E102" s="115">
        <v>40635</v>
      </c>
      <c r="F102" s="109">
        <f t="shared" ref="F102:F165" si="19">WEEKDAY(E102,2)</f>
        <v>6</v>
      </c>
      <c r="G102" s="115">
        <v>40633</v>
      </c>
      <c r="H102" s="109">
        <f t="shared" si="15"/>
        <v>4</v>
      </c>
      <c r="I102" s="115">
        <v>41363</v>
      </c>
      <c r="J102" s="109">
        <f t="shared" si="16"/>
        <v>6</v>
      </c>
      <c r="K102" s="115">
        <v>41727</v>
      </c>
      <c r="L102" s="109">
        <f t="shared" si="11"/>
        <v>6</v>
      </c>
      <c r="M102" s="110">
        <v>12200.721151619371</v>
      </c>
      <c r="N102" s="110">
        <v>17489.805909805869</v>
      </c>
      <c r="O102" s="110">
        <v>27538.441309032773</v>
      </c>
      <c r="P102" s="110">
        <v>27815.432081255003</v>
      </c>
      <c r="Q102" s="110">
        <v>14499.69932563928</v>
      </c>
      <c r="R102" s="110">
        <v>32696.321395166666</v>
      </c>
      <c r="S102" s="112">
        <v>518.1632222222222</v>
      </c>
      <c r="T102" s="112">
        <v>127.84011111111111</v>
      </c>
      <c r="U102" s="112">
        <v>368.7306388888889</v>
      </c>
      <c r="V102" s="112">
        <v>432.00033333333346</v>
      </c>
      <c r="W102" s="112">
        <v>-259.66536111111117</v>
      </c>
      <c r="X102" s="112">
        <v>90.529756166666658</v>
      </c>
    </row>
    <row r="103" spans="1:25" x14ac:dyDescent="0.35">
      <c r="A103" s="108">
        <v>39908</v>
      </c>
      <c r="B103" s="109">
        <f t="shared" si="17"/>
        <v>7</v>
      </c>
      <c r="C103" s="108">
        <v>40272</v>
      </c>
      <c r="D103" s="109">
        <f t="shared" si="18"/>
        <v>7</v>
      </c>
      <c r="E103" s="115">
        <v>40636</v>
      </c>
      <c r="F103" s="109">
        <f t="shared" si="19"/>
        <v>7</v>
      </c>
      <c r="G103" s="115">
        <v>41000</v>
      </c>
      <c r="H103" s="109">
        <f t="shared" si="15"/>
        <v>7</v>
      </c>
      <c r="I103" s="115">
        <v>41364</v>
      </c>
      <c r="J103" s="109">
        <f t="shared" si="16"/>
        <v>7</v>
      </c>
      <c r="K103" s="115">
        <v>41728</v>
      </c>
      <c r="L103" s="109">
        <f t="shared" si="11"/>
        <v>7</v>
      </c>
      <c r="M103" s="110">
        <v>12776.093040508264</v>
      </c>
      <c r="N103" s="110">
        <v>17610.818020916977</v>
      </c>
      <c r="O103" s="110">
        <v>28029.654503477232</v>
      </c>
      <c r="P103" s="110">
        <v>28373.631565875679</v>
      </c>
      <c r="Q103" s="110">
        <v>14612.532133136214</v>
      </c>
      <c r="R103" s="110">
        <v>32931.075285083331</v>
      </c>
      <c r="S103" s="112">
        <v>575.37188888888886</v>
      </c>
      <c r="T103" s="112">
        <v>124.29974999999999</v>
      </c>
      <c r="U103" s="112">
        <v>401.6223055555555</v>
      </c>
      <c r="V103" s="112">
        <v>267.76375000000007</v>
      </c>
      <c r="W103" s="112">
        <v>60.28775000000001</v>
      </c>
      <c r="X103" s="112">
        <v>234.75389325</v>
      </c>
    </row>
    <row r="104" spans="1:25" x14ac:dyDescent="0.35">
      <c r="A104" s="108">
        <v>39909</v>
      </c>
      <c r="B104" s="109">
        <f t="shared" si="17"/>
        <v>1</v>
      </c>
      <c r="C104" s="108">
        <v>40273</v>
      </c>
      <c r="D104" s="109">
        <f t="shared" si="18"/>
        <v>1</v>
      </c>
      <c r="E104" s="115">
        <v>40637</v>
      </c>
      <c r="F104" s="109">
        <f t="shared" si="19"/>
        <v>1</v>
      </c>
      <c r="G104" s="115">
        <v>41001</v>
      </c>
      <c r="H104" s="109">
        <f t="shared" ref="H104:H167" si="20">WEEKDAY(G104,2)</f>
        <v>1</v>
      </c>
      <c r="I104" s="115">
        <v>41365</v>
      </c>
      <c r="J104" s="109">
        <f t="shared" si="16"/>
        <v>1</v>
      </c>
      <c r="K104" s="115">
        <v>41729</v>
      </c>
      <c r="L104" s="109">
        <f t="shared" si="11"/>
        <v>1</v>
      </c>
      <c r="M104" s="110">
        <v>13205.358873841598</v>
      </c>
      <c r="N104" s="110">
        <v>17847.550187583642</v>
      </c>
      <c r="O104" s="110">
        <v>28387.322559032778</v>
      </c>
      <c r="P104" s="110">
        <v>28641.395315875685</v>
      </c>
      <c r="Q104" s="110">
        <v>14451.673044847224</v>
      </c>
      <c r="R104" s="110">
        <v>32931.454416666667</v>
      </c>
      <c r="S104" s="112">
        <v>429.26583333333332</v>
      </c>
      <c r="T104" s="112">
        <v>240.09288888888889</v>
      </c>
      <c r="U104" s="112">
        <v>491.21319444444435</v>
      </c>
      <c r="V104" s="112">
        <v>242.79286111111119</v>
      </c>
      <c r="W104" s="112">
        <v>-107.90550000000003</v>
      </c>
      <c r="X104" s="112"/>
    </row>
    <row r="105" spans="1:25" x14ac:dyDescent="0.35">
      <c r="A105" s="108">
        <v>39910</v>
      </c>
      <c r="B105" s="109">
        <f t="shared" si="17"/>
        <v>2</v>
      </c>
      <c r="C105" s="108">
        <v>40274</v>
      </c>
      <c r="D105" s="109">
        <f t="shared" si="18"/>
        <v>2</v>
      </c>
      <c r="E105" s="115">
        <v>40638</v>
      </c>
      <c r="F105" s="109">
        <f t="shared" si="19"/>
        <v>2</v>
      </c>
      <c r="G105" s="115">
        <v>41002</v>
      </c>
      <c r="H105" s="109">
        <f t="shared" si="20"/>
        <v>2</v>
      </c>
      <c r="I105" s="115">
        <v>41366</v>
      </c>
      <c r="J105" s="109">
        <f t="shared" si="16"/>
        <v>2</v>
      </c>
      <c r="K105" s="108">
        <f>K104+1</f>
        <v>41730</v>
      </c>
      <c r="L105" s="109">
        <f t="shared" si="11"/>
        <v>2</v>
      </c>
      <c r="M105" s="110">
        <v>13592.286957174931</v>
      </c>
      <c r="N105" s="110">
        <v>17861.413159805863</v>
      </c>
      <c r="O105" s="110">
        <v>28833.853270143893</v>
      </c>
      <c r="P105" s="110">
        <v>28884.188176986794</v>
      </c>
      <c r="Q105" s="110">
        <v>13870.001145111948</v>
      </c>
      <c r="R105" s="116"/>
      <c r="S105" s="112">
        <v>386.92808333333335</v>
      </c>
      <c r="T105" s="112">
        <v>14.862305555555556</v>
      </c>
      <c r="U105" s="112">
        <v>357.66805555555561</v>
      </c>
      <c r="V105" s="112">
        <v>254.35572222222225</v>
      </c>
      <c r="W105" s="112">
        <v>-581.42647222222229</v>
      </c>
      <c r="X105" s="112"/>
    </row>
    <row r="106" spans="1:25" x14ac:dyDescent="0.35">
      <c r="A106" s="108">
        <v>39911</v>
      </c>
      <c r="B106" s="109">
        <f t="shared" si="17"/>
        <v>3</v>
      </c>
      <c r="C106" s="108">
        <v>40275</v>
      </c>
      <c r="D106" s="109">
        <f t="shared" si="18"/>
        <v>3</v>
      </c>
      <c r="E106" s="115">
        <v>40639</v>
      </c>
      <c r="F106" s="109">
        <f t="shared" si="19"/>
        <v>3</v>
      </c>
      <c r="G106" s="115">
        <v>41003</v>
      </c>
      <c r="H106" s="109">
        <f t="shared" si="20"/>
        <v>3</v>
      </c>
      <c r="I106" s="115">
        <v>41367</v>
      </c>
      <c r="J106" s="109">
        <f t="shared" si="16"/>
        <v>3</v>
      </c>
      <c r="K106" s="108">
        <f t="shared" ref="K106:K169" si="21">K105+1</f>
        <v>41731</v>
      </c>
      <c r="L106" s="109">
        <f t="shared" si="11"/>
        <v>3</v>
      </c>
      <c r="M106" s="110">
        <v>14073.238096063813</v>
      </c>
      <c r="N106" s="110">
        <v>17912.603382028075</v>
      </c>
      <c r="O106" s="110">
        <v>29265.624092366121</v>
      </c>
      <c r="P106" s="110">
        <v>29138.543899209017</v>
      </c>
      <c r="Q106" s="110">
        <v>13429.748008916249</v>
      </c>
      <c r="R106" s="116"/>
      <c r="S106" s="112">
        <v>480.95113888888892</v>
      </c>
      <c r="T106" s="112">
        <v>52.552305555555556</v>
      </c>
      <c r="U106" s="112">
        <v>446.53071111111097</v>
      </c>
      <c r="V106" s="112">
        <v>337.20725000000004</v>
      </c>
      <c r="W106" s="112">
        <v>-440.07186111111122</v>
      </c>
      <c r="X106" s="112"/>
    </row>
    <row r="107" spans="1:25" x14ac:dyDescent="0.35">
      <c r="A107" s="108">
        <v>39912</v>
      </c>
      <c r="B107" s="109">
        <f t="shared" si="17"/>
        <v>4</v>
      </c>
      <c r="C107" s="108">
        <v>40276</v>
      </c>
      <c r="D107" s="109">
        <f t="shared" si="18"/>
        <v>4</v>
      </c>
      <c r="E107" s="115">
        <v>40640</v>
      </c>
      <c r="F107" s="109">
        <f t="shared" si="19"/>
        <v>4</v>
      </c>
      <c r="G107" s="115">
        <v>41004</v>
      </c>
      <c r="H107" s="109">
        <f t="shared" si="20"/>
        <v>4</v>
      </c>
      <c r="I107" s="115">
        <v>41368</v>
      </c>
      <c r="J107" s="109">
        <f t="shared" si="16"/>
        <v>4</v>
      </c>
      <c r="K107" s="108">
        <f t="shared" si="21"/>
        <v>41732</v>
      </c>
      <c r="L107" s="109">
        <f t="shared" si="11"/>
        <v>4</v>
      </c>
      <c r="M107" s="110">
        <v>14624.314068286043</v>
      </c>
      <c r="N107" s="110">
        <v>18002.786132028094</v>
      </c>
      <c r="O107" s="110">
        <v>29656.445781254992</v>
      </c>
      <c r="P107" s="110">
        <v>29475.751149209027</v>
      </c>
      <c r="Q107" s="110">
        <v>12810.120886312643</v>
      </c>
      <c r="R107" s="116"/>
      <c r="S107" s="112">
        <v>551.07597222222228</v>
      </c>
      <c r="T107" s="112">
        <v>92.515166666666659</v>
      </c>
      <c r="U107" s="112">
        <v>431.77082222222236</v>
      </c>
      <c r="V107" s="112">
        <v>604.37725000000012</v>
      </c>
      <c r="W107" s="112">
        <v>-619.41149999999993</v>
      </c>
      <c r="X107" s="112"/>
    </row>
    <row r="108" spans="1:25" x14ac:dyDescent="0.35">
      <c r="A108" s="108">
        <v>39913</v>
      </c>
      <c r="B108" s="109">
        <f t="shared" si="17"/>
        <v>5</v>
      </c>
      <c r="C108" s="108">
        <v>40277</v>
      </c>
      <c r="D108" s="109">
        <f t="shared" si="18"/>
        <v>5</v>
      </c>
      <c r="E108" s="115">
        <v>40641</v>
      </c>
      <c r="F108" s="109">
        <f t="shared" si="19"/>
        <v>5</v>
      </c>
      <c r="G108" s="115">
        <v>41005</v>
      </c>
      <c r="H108" s="109">
        <f t="shared" si="20"/>
        <v>5</v>
      </c>
      <c r="I108" s="115">
        <v>41369</v>
      </c>
      <c r="J108" s="109">
        <f t="shared" si="16"/>
        <v>5</v>
      </c>
      <c r="K108" s="108">
        <f t="shared" si="21"/>
        <v>41733</v>
      </c>
      <c r="L108" s="109">
        <f t="shared" si="11"/>
        <v>5</v>
      </c>
      <c r="M108" s="110">
        <v>15371.238040508264</v>
      </c>
      <c r="N108" s="110">
        <v>18232.24632647253</v>
      </c>
      <c r="O108" s="110">
        <v>30197.789389588332</v>
      </c>
      <c r="P108" s="110">
        <v>30080.12839920901</v>
      </c>
      <c r="Q108" s="110">
        <v>12111.963863075678</v>
      </c>
      <c r="R108" s="116"/>
      <c r="S108" s="112">
        <v>746.92397222222212</v>
      </c>
      <c r="T108" s="112">
        <v>232.76477777777777</v>
      </c>
      <c r="U108" s="112">
        <v>390.82168888888879</v>
      </c>
      <c r="V108" s="112">
        <v>709.93672222222233</v>
      </c>
      <c r="W108" s="112">
        <v>-697.97363888888901</v>
      </c>
      <c r="X108" s="112"/>
    </row>
    <row r="109" spans="1:25" x14ac:dyDescent="0.35">
      <c r="A109" s="108">
        <v>39914</v>
      </c>
      <c r="B109" s="109">
        <f t="shared" si="17"/>
        <v>6</v>
      </c>
      <c r="C109" s="108">
        <v>40278</v>
      </c>
      <c r="D109" s="109">
        <f t="shared" si="18"/>
        <v>6</v>
      </c>
      <c r="E109" s="115">
        <v>40642</v>
      </c>
      <c r="F109" s="109">
        <f t="shared" si="19"/>
        <v>6</v>
      </c>
      <c r="G109" s="115">
        <v>41006</v>
      </c>
      <c r="H109" s="109">
        <f t="shared" si="20"/>
        <v>6</v>
      </c>
      <c r="I109" s="115">
        <v>41370</v>
      </c>
      <c r="J109" s="109">
        <f t="shared" si="16"/>
        <v>6</v>
      </c>
      <c r="K109" s="108">
        <f t="shared" si="21"/>
        <v>41734</v>
      </c>
      <c r="L109" s="109">
        <f t="shared" si="11"/>
        <v>6</v>
      </c>
      <c r="M109" s="110">
        <v>15950.099290508268</v>
      </c>
      <c r="N109" s="110">
        <v>18653.694437583643</v>
      </c>
      <c r="O109" s="110">
        <v>30717.845903477242</v>
      </c>
      <c r="P109" s="110">
        <v>30790.065121431242</v>
      </c>
      <c r="Q109" s="110">
        <v>11978.399958507343</v>
      </c>
      <c r="R109" s="116"/>
      <c r="S109" s="112">
        <v>578.86125000000004</v>
      </c>
      <c r="T109" s="112">
        <v>424.74352777777779</v>
      </c>
      <c r="U109" s="112">
        <v>541.34360833333324</v>
      </c>
      <c r="V109" s="112">
        <v>705.93233333333342</v>
      </c>
      <c r="W109" s="112">
        <v>-133.38658333333328</v>
      </c>
      <c r="X109" s="112"/>
    </row>
    <row r="110" spans="1:25" x14ac:dyDescent="0.35">
      <c r="A110" s="108">
        <v>39915</v>
      </c>
      <c r="B110" s="109">
        <f t="shared" si="17"/>
        <v>7</v>
      </c>
      <c r="C110" s="108">
        <v>40279</v>
      </c>
      <c r="D110" s="109">
        <f t="shared" si="18"/>
        <v>7</v>
      </c>
      <c r="E110" s="115">
        <v>40643</v>
      </c>
      <c r="F110" s="109">
        <f t="shared" si="19"/>
        <v>7</v>
      </c>
      <c r="G110" s="115">
        <v>41007</v>
      </c>
      <c r="H110" s="109">
        <f t="shared" si="20"/>
        <v>7</v>
      </c>
      <c r="I110" s="115">
        <v>41371</v>
      </c>
      <c r="J110" s="109">
        <f t="shared" si="16"/>
        <v>7</v>
      </c>
      <c r="K110" s="108">
        <f t="shared" si="21"/>
        <v>41735</v>
      </c>
      <c r="L110" s="109">
        <f t="shared" si="11"/>
        <v>7</v>
      </c>
      <c r="M110" s="110">
        <v>16521.872512730482</v>
      </c>
      <c r="N110" s="110">
        <v>18960.832520916971</v>
      </c>
      <c r="O110" s="110">
        <v>31214.92364792166</v>
      </c>
      <c r="P110" s="110">
        <v>31495.99745476458</v>
      </c>
      <c r="Q110" s="110">
        <v>11987.54558139901</v>
      </c>
      <c r="R110" s="116"/>
      <c r="S110" s="112">
        <v>571.77322222222222</v>
      </c>
      <c r="T110" s="112">
        <v>310.46697222222224</v>
      </c>
      <c r="U110" s="112">
        <v>520.05651388888873</v>
      </c>
      <c r="V110" s="112">
        <v>576.70594444444453</v>
      </c>
      <c r="W110" s="112">
        <v>9.3219166666666879</v>
      </c>
      <c r="X110" s="112"/>
    </row>
    <row r="111" spans="1:25" x14ac:dyDescent="0.35">
      <c r="A111" s="108">
        <v>39916</v>
      </c>
      <c r="B111" s="109">
        <f t="shared" si="17"/>
        <v>1</v>
      </c>
      <c r="C111" s="108">
        <v>40280</v>
      </c>
      <c r="D111" s="109">
        <f t="shared" si="18"/>
        <v>1</v>
      </c>
      <c r="E111" s="115">
        <v>40644</v>
      </c>
      <c r="F111" s="109">
        <f t="shared" si="19"/>
        <v>1</v>
      </c>
      <c r="G111" s="115">
        <v>41008</v>
      </c>
      <c r="H111" s="109">
        <f t="shared" si="20"/>
        <v>1</v>
      </c>
      <c r="I111" s="115">
        <v>41372</v>
      </c>
      <c r="J111" s="109">
        <f t="shared" si="16"/>
        <v>1</v>
      </c>
      <c r="K111" s="108">
        <f t="shared" si="21"/>
        <v>41736</v>
      </c>
      <c r="L111" s="109">
        <f t="shared" si="11"/>
        <v>1</v>
      </c>
      <c r="M111" s="110">
        <v>17207.44781828604</v>
      </c>
      <c r="N111" s="110">
        <v>18888.35471536142</v>
      </c>
      <c r="O111" s="110">
        <v>31698.065811810568</v>
      </c>
      <c r="P111" s="110">
        <v>32072.703399209018</v>
      </c>
      <c r="Q111" s="110">
        <v>11263.330055481787</v>
      </c>
      <c r="R111" s="116"/>
      <c r="S111" s="112">
        <v>685.57530555555559</v>
      </c>
      <c r="T111" s="112">
        <v>-72.312222222222218</v>
      </c>
      <c r="U111" s="112">
        <v>497.07774444444442</v>
      </c>
      <c r="V111" s="112">
        <v>257.2091388888889</v>
      </c>
      <c r="W111" s="112">
        <v>-724.03949999999998</v>
      </c>
      <c r="X111" s="112"/>
    </row>
    <row r="112" spans="1:25" x14ac:dyDescent="0.35">
      <c r="A112" s="108">
        <v>39917</v>
      </c>
      <c r="B112" s="109">
        <f t="shared" si="17"/>
        <v>2</v>
      </c>
      <c r="C112" s="108">
        <v>40281</v>
      </c>
      <c r="D112" s="109">
        <f t="shared" si="18"/>
        <v>2</v>
      </c>
      <c r="E112" s="115">
        <v>40645</v>
      </c>
      <c r="F112" s="109">
        <f t="shared" si="19"/>
        <v>2</v>
      </c>
      <c r="G112" s="115">
        <v>41009</v>
      </c>
      <c r="H112" s="109">
        <f t="shared" si="20"/>
        <v>2</v>
      </c>
      <c r="I112" s="115">
        <v>41373</v>
      </c>
      <c r="J112" s="109">
        <f t="shared" si="16"/>
        <v>2</v>
      </c>
      <c r="K112" s="108">
        <f t="shared" si="21"/>
        <v>41737</v>
      </c>
      <c r="L112" s="109">
        <f t="shared" si="11"/>
        <v>2</v>
      </c>
      <c r="M112" s="110">
        <v>17801.064873841602</v>
      </c>
      <c r="N112" s="110">
        <v>18836.702909805863</v>
      </c>
      <c r="O112" s="110">
        <v>32171.773484032783</v>
      </c>
      <c r="P112" s="110">
        <v>32329.912538097906</v>
      </c>
      <c r="Q112" s="110">
        <v>10704.682884058175</v>
      </c>
      <c r="R112" s="116"/>
      <c r="S112" s="112">
        <v>593.61705555555557</v>
      </c>
      <c r="T112" s="112">
        <v>-51.651805555555555</v>
      </c>
      <c r="U112" s="112">
        <v>483.14216388888883</v>
      </c>
      <c r="V112" s="112">
        <v>-41.972722222222224</v>
      </c>
      <c r="W112" s="112">
        <v>-558.49552777777785</v>
      </c>
      <c r="X112" s="112"/>
    </row>
    <row r="113" spans="1:24" x14ac:dyDescent="0.35">
      <c r="A113" s="108">
        <v>39918</v>
      </c>
      <c r="B113" s="109">
        <f t="shared" si="17"/>
        <v>3</v>
      </c>
      <c r="C113" s="108">
        <v>40282</v>
      </c>
      <c r="D113" s="109">
        <f t="shared" si="18"/>
        <v>3</v>
      </c>
      <c r="E113" s="115">
        <v>40646</v>
      </c>
      <c r="F113" s="109">
        <f t="shared" si="19"/>
        <v>3</v>
      </c>
      <c r="G113" s="115">
        <v>41010</v>
      </c>
      <c r="H113" s="109">
        <f t="shared" si="20"/>
        <v>3</v>
      </c>
      <c r="I113" s="115">
        <v>41374</v>
      </c>
      <c r="J113" s="109">
        <f t="shared" si="16"/>
        <v>3</v>
      </c>
      <c r="K113" s="108">
        <f t="shared" si="21"/>
        <v>41738</v>
      </c>
      <c r="L113" s="109">
        <f t="shared" si="11"/>
        <v>3</v>
      </c>
      <c r="M113" s="110">
        <v>18198.676540508262</v>
      </c>
      <c r="N113" s="110">
        <v>18840.559965361415</v>
      </c>
      <c r="O113" s="110">
        <v>32732.947684032781</v>
      </c>
      <c r="P113" s="110">
        <v>32287.939815875685</v>
      </c>
      <c r="Q113" s="110">
        <v>10425.799944404846</v>
      </c>
      <c r="R113" s="116"/>
      <c r="S113" s="112">
        <v>397.61166666666668</v>
      </c>
      <c r="T113" s="112">
        <v>3.8570555555555552</v>
      </c>
      <c r="U113" s="112">
        <v>473.70767222222224</v>
      </c>
      <c r="V113" s="112">
        <v>338.10063888888897</v>
      </c>
      <c r="W113" s="112">
        <v>-278.74502777777775</v>
      </c>
      <c r="X113" s="112"/>
    </row>
    <row r="114" spans="1:24" x14ac:dyDescent="0.35">
      <c r="A114" s="108">
        <v>39919</v>
      </c>
      <c r="B114" s="109">
        <f t="shared" si="17"/>
        <v>4</v>
      </c>
      <c r="C114" s="108">
        <v>40283</v>
      </c>
      <c r="D114" s="109">
        <f t="shared" si="18"/>
        <v>4</v>
      </c>
      <c r="E114" s="115">
        <v>40647</v>
      </c>
      <c r="F114" s="109">
        <f t="shared" si="19"/>
        <v>4</v>
      </c>
      <c r="G114" s="115">
        <v>41011</v>
      </c>
      <c r="H114" s="109">
        <f t="shared" si="20"/>
        <v>4</v>
      </c>
      <c r="I114" s="115">
        <v>41375</v>
      </c>
      <c r="J114" s="109">
        <f t="shared" si="16"/>
        <v>4</v>
      </c>
      <c r="K114" s="108">
        <f t="shared" si="21"/>
        <v>41739</v>
      </c>
      <c r="L114" s="109">
        <f t="shared" si="11"/>
        <v>4</v>
      </c>
      <c r="M114" s="110">
        <v>18573.740734952706</v>
      </c>
      <c r="N114" s="110">
        <v>19007.737437583633</v>
      </c>
      <c r="O114" s="110">
        <v>33097.913697921664</v>
      </c>
      <c r="P114" s="110">
        <v>32626.040454764574</v>
      </c>
      <c r="Q114" s="110">
        <v>10222.511059128728</v>
      </c>
      <c r="R114" s="116"/>
      <c r="S114" s="112">
        <v>375.06419444444447</v>
      </c>
      <c r="T114" s="112">
        <v>169.61530555555555</v>
      </c>
      <c r="U114" s="112">
        <v>561.17419999999981</v>
      </c>
      <c r="V114" s="112">
        <v>331.30916666666661</v>
      </c>
      <c r="W114" s="112">
        <v>-203.11063888888879</v>
      </c>
      <c r="X114" s="112"/>
    </row>
    <row r="115" spans="1:24" x14ac:dyDescent="0.35">
      <c r="A115" s="108">
        <v>39920</v>
      </c>
      <c r="B115" s="109">
        <f t="shared" si="17"/>
        <v>5</v>
      </c>
      <c r="C115" s="108">
        <v>40284</v>
      </c>
      <c r="D115" s="109">
        <f t="shared" si="18"/>
        <v>5</v>
      </c>
      <c r="E115" s="115">
        <v>40648</v>
      </c>
      <c r="F115" s="109">
        <f t="shared" si="19"/>
        <v>5</v>
      </c>
      <c r="G115" s="115">
        <v>41012</v>
      </c>
      <c r="H115" s="109">
        <f t="shared" si="20"/>
        <v>5</v>
      </c>
      <c r="I115" s="115">
        <v>41376</v>
      </c>
      <c r="J115" s="109">
        <f t="shared" si="16"/>
        <v>5</v>
      </c>
      <c r="K115" s="108">
        <f t="shared" si="21"/>
        <v>41740</v>
      </c>
      <c r="L115" s="109">
        <f t="shared" si="11"/>
        <v>5</v>
      </c>
      <c r="M115" s="110">
        <v>18970.119707174934</v>
      </c>
      <c r="N115" s="110">
        <v>19348.740854250314</v>
      </c>
      <c r="O115" s="110">
        <v>33374.586895143897</v>
      </c>
      <c r="P115" s="110">
        <v>32957.349621431233</v>
      </c>
      <c r="Q115" s="110">
        <v>10234.581955495953</v>
      </c>
      <c r="R115" s="116"/>
      <c r="S115" s="112">
        <v>396.37897222222222</v>
      </c>
      <c r="T115" s="112">
        <v>344.35519444444441</v>
      </c>
      <c r="U115" s="112">
        <v>364.96601388888894</v>
      </c>
      <c r="V115" s="112">
        <v>299.36358333333317</v>
      </c>
      <c r="W115" s="112">
        <v>12.196055555555562</v>
      </c>
      <c r="X115" s="112"/>
    </row>
    <row r="116" spans="1:24" x14ac:dyDescent="0.35">
      <c r="A116" s="108">
        <v>39921</v>
      </c>
      <c r="B116" s="109">
        <f t="shared" si="17"/>
        <v>6</v>
      </c>
      <c r="C116" s="108">
        <v>40285</v>
      </c>
      <c r="D116" s="109">
        <f t="shared" si="18"/>
        <v>6</v>
      </c>
      <c r="E116" s="115">
        <v>40649</v>
      </c>
      <c r="F116" s="109">
        <f t="shared" si="19"/>
        <v>6</v>
      </c>
      <c r="G116" s="115">
        <v>41013</v>
      </c>
      <c r="H116" s="109">
        <f t="shared" si="20"/>
        <v>6</v>
      </c>
      <c r="I116" s="115">
        <v>41377</v>
      </c>
      <c r="J116" s="109">
        <f t="shared" si="16"/>
        <v>6</v>
      </c>
      <c r="K116" s="108">
        <f t="shared" si="21"/>
        <v>41741</v>
      </c>
      <c r="L116" s="109">
        <f t="shared" si="11"/>
        <v>6</v>
      </c>
      <c r="M116" s="110">
        <v>19400.648984952713</v>
      </c>
      <c r="N116" s="110">
        <v>19622.621187583634</v>
      </c>
      <c r="O116" s="110">
        <v>33687.095172921669</v>
      </c>
      <c r="P116" s="110">
        <v>33256.713204764565</v>
      </c>
      <c r="Q116" s="110">
        <v>10596.40395178234</v>
      </c>
      <c r="R116" s="116"/>
      <c r="S116" s="112">
        <v>430.52927777777774</v>
      </c>
      <c r="T116" s="112">
        <v>277.2908888888889</v>
      </c>
      <c r="U116" s="112">
        <v>276.67319722222214</v>
      </c>
      <c r="V116" s="112">
        <v>308.91277777777765</v>
      </c>
      <c r="W116" s="112">
        <v>362.00038888888895</v>
      </c>
      <c r="X116" s="112"/>
    </row>
    <row r="117" spans="1:24" x14ac:dyDescent="0.35">
      <c r="A117" s="108">
        <v>39922</v>
      </c>
      <c r="B117" s="109">
        <f t="shared" si="17"/>
        <v>7</v>
      </c>
      <c r="C117" s="108">
        <v>40286</v>
      </c>
      <c r="D117" s="109">
        <f t="shared" si="18"/>
        <v>7</v>
      </c>
      <c r="E117" s="115">
        <v>40650</v>
      </c>
      <c r="F117" s="109">
        <f t="shared" si="19"/>
        <v>7</v>
      </c>
      <c r="G117" s="115">
        <v>41014</v>
      </c>
      <c r="H117" s="109">
        <f t="shared" si="20"/>
        <v>7</v>
      </c>
      <c r="I117" s="115">
        <v>41378</v>
      </c>
      <c r="J117" s="109">
        <f t="shared" si="16"/>
        <v>7</v>
      </c>
      <c r="K117" s="108">
        <f t="shared" si="21"/>
        <v>41742</v>
      </c>
      <c r="L117" s="109">
        <f t="shared" si="11"/>
        <v>7</v>
      </c>
      <c r="M117" s="110">
        <v>19633.517929397141</v>
      </c>
      <c r="N117" s="110">
        <v>19942.116493139205</v>
      </c>
      <c r="O117" s="110">
        <v>34208.825100699454</v>
      </c>
      <c r="P117" s="110">
        <v>33565.625982542355</v>
      </c>
      <c r="Q117" s="110">
        <v>11163.174251149563</v>
      </c>
      <c r="R117" s="116"/>
      <c r="S117" s="112">
        <v>232.86894444444442</v>
      </c>
      <c r="T117" s="112">
        <v>322.88480555555554</v>
      </c>
      <c r="U117" s="112">
        <v>312.50827777777772</v>
      </c>
      <c r="V117" s="112">
        <v>249.63863888888886</v>
      </c>
      <c r="W117" s="112">
        <v>566.94880555555562</v>
      </c>
      <c r="X117" s="112"/>
    </row>
    <row r="118" spans="1:24" x14ac:dyDescent="0.35">
      <c r="A118" s="108">
        <v>39923</v>
      </c>
      <c r="B118" s="109">
        <f t="shared" si="17"/>
        <v>1</v>
      </c>
      <c r="C118" s="108">
        <v>40287</v>
      </c>
      <c r="D118" s="109">
        <f t="shared" si="18"/>
        <v>1</v>
      </c>
      <c r="E118" s="115">
        <v>40651</v>
      </c>
      <c r="F118" s="109">
        <f t="shared" si="19"/>
        <v>1</v>
      </c>
      <c r="G118" s="115">
        <v>41015</v>
      </c>
      <c r="H118" s="109">
        <f t="shared" si="20"/>
        <v>1</v>
      </c>
      <c r="I118" s="115">
        <v>41379</v>
      </c>
      <c r="J118" s="109">
        <f t="shared" si="16"/>
        <v>1</v>
      </c>
      <c r="K118" s="108">
        <f t="shared" si="21"/>
        <v>41743</v>
      </c>
      <c r="L118" s="109">
        <f t="shared" si="11"/>
        <v>1</v>
      </c>
      <c r="M118" s="110">
        <v>19671.726207174936</v>
      </c>
      <c r="N118" s="110">
        <v>20267.832270916966</v>
      </c>
      <c r="O118" s="110">
        <v>34590.088520143909</v>
      </c>
      <c r="P118" s="110">
        <v>33815.264621431234</v>
      </c>
      <c r="Q118" s="110">
        <v>11520.248361994007</v>
      </c>
      <c r="R118" s="116"/>
      <c r="S118" s="112">
        <v>38.208277777777774</v>
      </c>
      <c r="T118" s="112">
        <v>329.09758333333332</v>
      </c>
      <c r="U118" s="112">
        <v>521.72992777777768</v>
      </c>
      <c r="V118" s="112">
        <v>502.45805555555535</v>
      </c>
      <c r="W118" s="112">
        <v>357.13877777777782</v>
      </c>
      <c r="X118" s="112"/>
    </row>
    <row r="119" spans="1:24" x14ac:dyDescent="0.35">
      <c r="A119" s="108">
        <v>39924</v>
      </c>
      <c r="B119" s="109">
        <f t="shared" si="17"/>
        <v>2</v>
      </c>
      <c r="C119" s="108">
        <v>40288</v>
      </c>
      <c r="D119" s="109">
        <f t="shared" si="18"/>
        <v>2</v>
      </c>
      <c r="E119" s="115">
        <v>40652</v>
      </c>
      <c r="F119" s="109">
        <f t="shared" si="19"/>
        <v>2</v>
      </c>
      <c r="G119" s="115">
        <v>41016</v>
      </c>
      <c r="H119" s="109">
        <f t="shared" si="20"/>
        <v>2</v>
      </c>
      <c r="I119" s="115">
        <v>41380</v>
      </c>
      <c r="J119" s="109">
        <f t="shared" si="16"/>
        <v>2</v>
      </c>
      <c r="K119" s="108">
        <f t="shared" si="21"/>
        <v>41744</v>
      </c>
      <c r="L119" s="109">
        <f t="shared" si="11"/>
        <v>2</v>
      </c>
      <c r="M119" s="110">
        <v>19808.886179397156</v>
      </c>
      <c r="N119" s="110">
        <v>20737.047965361417</v>
      </c>
      <c r="O119" s="110">
        <v>34932.335931254995</v>
      </c>
      <c r="P119" s="110">
        <v>34317.722676986785</v>
      </c>
      <c r="Q119" s="110">
        <v>11923.598707195673</v>
      </c>
      <c r="R119" s="116"/>
      <c r="S119" s="112">
        <v>137.15997222222222</v>
      </c>
      <c r="T119" s="112">
        <v>472.57608333333332</v>
      </c>
      <c r="U119" s="112">
        <v>381.26341944444448</v>
      </c>
      <c r="V119" s="112">
        <v>486.78183333333334</v>
      </c>
      <c r="W119" s="112">
        <v>403.52511111111113</v>
      </c>
      <c r="X119" s="112"/>
    </row>
    <row r="120" spans="1:24" x14ac:dyDescent="0.35">
      <c r="A120" s="108">
        <v>39925</v>
      </c>
      <c r="B120" s="109">
        <f t="shared" si="17"/>
        <v>3</v>
      </c>
      <c r="C120" s="108">
        <v>40289</v>
      </c>
      <c r="D120" s="109">
        <f t="shared" si="18"/>
        <v>3</v>
      </c>
      <c r="E120" s="115">
        <v>40653</v>
      </c>
      <c r="F120" s="109">
        <f t="shared" si="19"/>
        <v>3</v>
      </c>
      <c r="G120" s="115">
        <v>41017</v>
      </c>
      <c r="H120" s="109">
        <f t="shared" si="20"/>
        <v>3</v>
      </c>
      <c r="I120" s="115">
        <v>41381</v>
      </c>
      <c r="J120" s="109">
        <f t="shared" si="16"/>
        <v>3</v>
      </c>
      <c r="K120" s="108">
        <f t="shared" si="21"/>
        <v>41745</v>
      </c>
      <c r="L120" s="109">
        <f t="shared" si="11"/>
        <v>3</v>
      </c>
      <c r="M120" s="110">
        <v>20187.714346063814</v>
      </c>
      <c r="N120" s="110">
        <v>21211.639604250304</v>
      </c>
      <c r="O120" s="110">
        <v>35305.517059032776</v>
      </c>
      <c r="P120" s="110">
        <v>34804.504510320126</v>
      </c>
      <c r="Q120" s="110">
        <v>12362.719817464565</v>
      </c>
      <c r="R120" s="116"/>
      <c r="S120" s="112">
        <v>378.82816666666662</v>
      </c>
      <c r="T120" s="112">
        <v>477.9640555555556</v>
      </c>
      <c r="U120" s="112">
        <v>342.24741111111103</v>
      </c>
      <c r="V120" s="112">
        <v>387.73533333333359</v>
      </c>
      <c r="W120" s="112">
        <v>439.29397222222224</v>
      </c>
      <c r="X120" s="112"/>
    </row>
    <row r="121" spans="1:24" x14ac:dyDescent="0.35">
      <c r="A121" s="108">
        <v>39926</v>
      </c>
      <c r="B121" s="109">
        <f t="shared" si="17"/>
        <v>4</v>
      </c>
      <c r="C121" s="108">
        <v>40290</v>
      </c>
      <c r="D121" s="109">
        <f t="shared" si="18"/>
        <v>4</v>
      </c>
      <c r="E121" s="115">
        <v>40654</v>
      </c>
      <c r="F121" s="109">
        <f t="shared" si="19"/>
        <v>4</v>
      </c>
      <c r="G121" s="115">
        <v>41018</v>
      </c>
      <c r="H121" s="109">
        <f t="shared" si="20"/>
        <v>4</v>
      </c>
      <c r="I121" s="115">
        <v>41382</v>
      </c>
      <c r="J121" s="109">
        <f t="shared" si="16"/>
        <v>4</v>
      </c>
      <c r="K121" s="108">
        <f t="shared" si="21"/>
        <v>41746</v>
      </c>
      <c r="L121" s="109">
        <f t="shared" si="11"/>
        <v>4</v>
      </c>
      <c r="M121" s="110">
        <v>20476.118068286039</v>
      </c>
      <c r="N121" s="110">
        <v>21696.241465361411</v>
      </c>
      <c r="O121" s="110">
        <v>35693.829861810562</v>
      </c>
      <c r="P121" s="110">
        <v>35192.239843653449</v>
      </c>
      <c r="Q121" s="110">
        <v>12851.14089861345</v>
      </c>
      <c r="R121" s="116"/>
      <c r="S121" s="112">
        <v>288.40372222222226</v>
      </c>
      <c r="T121" s="112">
        <v>487.7788888888889</v>
      </c>
      <c r="U121" s="112">
        <v>373.18112777777765</v>
      </c>
      <c r="V121" s="112">
        <v>558.60680555555552</v>
      </c>
      <c r="W121" s="112">
        <v>488.60272222222244</v>
      </c>
      <c r="X121" s="112"/>
    </row>
    <row r="122" spans="1:24" x14ac:dyDescent="0.35">
      <c r="A122" s="108">
        <v>39927</v>
      </c>
      <c r="B122" s="109">
        <f t="shared" si="17"/>
        <v>5</v>
      </c>
      <c r="C122" s="108">
        <v>40291</v>
      </c>
      <c r="D122" s="109">
        <f t="shared" si="18"/>
        <v>5</v>
      </c>
      <c r="E122" s="115">
        <v>40655</v>
      </c>
      <c r="F122" s="109">
        <f t="shared" si="19"/>
        <v>5</v>
      </c>
      <c r="G122" s="115">
        <v>41019</v>
      </c>
      <c r="H122" s="109">
        <f t="shared" si="20"/>
        <v>5</v>
      </c>
      <c r="I122" s="115">
        <v>41383</v>
      </c>
      <c r="J122" s="109">
        <f t="shared" si="16"/>
        <v>5</v>
      </c>
      <c r="K122" s="108">
        <f t="shared" si="21"/>
        <v>41747</v>
      </c>
      <c r="L122" s="109">
        <f t="shared" si="11"/>
        <v>5</v>
      </c>
      <c r="M122" s="110">
        <v>20832.225651619377</v>
      </c>
      <c r="N122" s="110">
        <v>22111.503270916972</v>
      </c>
      <c r="O122" s="110">
        <v>36192.107842366109</v>
      </c>
      <c r="P122" s="110">
        <v>35750.846649209016</v>
      </c>
      <c r="Q122" s="110">
        <v>13204.139352853732</v>
      </c>
      <c r="R122" s="116"/>
      <c r="S122" s="112">
        <v>356.10758333333337</v>
      </c>
      <c r="T122" s="112">
        <v>418.55233333333331</v>
      </c>
      <c r="U122" s="112">
        <v>388.31280277777762</v>
      </c>
      <c r="V122" s="112">
        <v>703.48405555555576</v>
      </c>
      <c r="W122" s="112">
        <v>353.17975000000007</v>
      </c>
      <c r="X122" s="112"/>
    </row>
    <row r="123" spans="1:24" x14ac:dyDescent="0.35">
      <c r="A123" s="108">
        <v>39928</v>
      </c>
      <c r="B123" s="109">
        <f t="shared" si="17"/>
        <v>6</v>
      </c>
      <c r="C123" s="108">
        <v>40292</v>
      </c>
      <c r="D123" s="109">
        <f t="shared" si="18"/>
        <v>6</v>
      </c>
      <c r="E123" s="115">
        <v>40656</v>
      </c>
      <c r="F123" s="109">
        <f t="shared" si="19"/>
        <v>6</v>
      </c>
      <c r="G123" s="115">
        <v>41020</v>
      </c>
      <c r="H123" s="109">
        <f t="shared" si="20"/>
        <v>6</v>
      </c>
      <c r="I123" s="115">
        <v>41384</v>
      </c>
      <c r="J123" s="109">
        <f t="shared" si="16"/>
        <v>6</v>
      </c>
      <c r="K123" s="108">
        <f t="shared" si="21"/>
        <v>41748</v>
      </c>
      <c r="L123" s="109">
        <f t="shared" si="11"/>
        <v>6</v>
      </c>
      <c r="M123" s="110">
        <v>21298.627179397154</v>
      </c>
      <c r="N123" s="110">
        <v>22464.205270916955</v>
      </c>
      <c r="O123" s="110">
        <v>36789.249606255005</v>
      </c>
      <c r="P123" s="110">
        <v>36454.330704764565</v>
      </c>
      <c r="Q123" s="110">
        <v>13507.065430141785</v>
      </c>
      <c r="R123" s="116"/>
      <c r="S123" s="112">
        <v>466.4015277777778</v>
      </c>
      <c r="T123" s="112">
        <v>356.05180555555557</v>
      </c>
      <c r="U123" s="112">
        <v>498.27798055555576</v>
      </c>
      <c r="V123" s="112">
        <v>689.34866666666642</v>
      </c>
      <c r="W123" s="112">
        <v>303.04266666666678</v>
      </c>
      <c r="X123" s="112"/>
    </row>
    <row r="124" spans="1:24" x14ac:dyDescent="0.35">
      <c r="A124" s="108">
        <v>39929</v>
      </c>
      <c r="B124" s="109">
        <f t="shared" si="17"/>
        <v>7</v>
      </c>
      <c r="C124" s="108">
        <v>40293</v>
      </c>
      <c r="D124" s="109">
        <f t="shared" si="18"/>
        <v>7</v>
      </c>
      <c r="E124" s="115">
        <v>40657</v>
      </c>
      <c r="F124" s="109">
        <f t="shared" si="19"/>
        <v>7</v>
      </c>
      <c r="G124" s="115">
        <v>41021</v>
      </c>
      <c r="H124" s="109">
        <f t="shared" si="20"/>
        <v>7</v>
      </c>
      <c r="I124" s="115">
        <v>41385</v>
      </c>
      <c r="J124" s="109">
        <f t="shared" si="16"/>
        <v>7</v>
      </c>
      <c r="K124" s="108">
        <f t="shared" si="21"/>
        <v>41749</v>
      </c>
      <c r="L124" s="109">
        <f t="shared" si="11"/>
        <v>7</v>
      </c>
      <c r="M124" s="110">
        <v>21588.64212384159</v>
      </c>
      <c r="N124" s="110">
        <v>22973.043659805855</v>
      </c>
      <c r="O124" s="110">
        <v>37383.491206255007</v>
      </c>
      <c r="P124" s="110">
        <v>37143.67937143123</v>
      </c>
      <c r="Q124" s="110">
        <v>13805.334452297619</v>
      </c>
      <c r="R124" s="116"/>
      <c r="S124" s="112">
        <v>290.01494444444444</v>
      </c>
      <c r="T124" s="112">
        <v>512.12169444444442</v>
      </c>
      <c r="U124" s="112">
        <v>597.14176388888882</v>
      </c>
      <c r="V124" s="112">
        <v>442.27675000000005</v>
      </c>
      <c r="W124" s="112">
        <v>298.51238888888901</v>
      </c>
      <c r="X124" s="112"/>
    </row>
    <row r="125" spans="1:24" x14ac:dyDescent="0.35">
      <c r="A125" s="108">
        <v>39930</v>
      </c>
      <c r="B125" s="109">
        <f t="shared" si="17"/>
        <v>1</v>
      </c>
      <c r="C125" s="108">
        <v>40294</v>
      </c>
      <c r="D125" s="109">
        <f t="shared" si="18"/>
        <v>1</v>
      </c>
      <c r="E125" s="115">
        <v>40658</v>
      </c>
      <c r="F125" s="109">
        <f t="shared" si="19"/>
        <v>1</v>
      </c>
      <c r="G125" s="115">
        <v>41022</v>
      </c>
      <c r="H125" s="109">
        <f t="shared" si="20"/>
        <v>1</v>
      </c>
      <c r="I125" s="115">
        <v>41386</v>
      </c>
      <c r="J125" s="109">
        <f t="shared" si="16"/>
        <v>1</v>
      </c>
      <c r="K125" s="108">
        <f t="shared" si="21"/>
        <v>41750</v>
      </c>
      <c r="L125" s="109">
        <f t="shared" ref="L125:L188" si="22">WEEKDAY(K125,2)</f>
        <v>1</v>
      </c>
      <c r="M125" s="110">
        <v>21687.600207174935</v>
      </c>
      <c r="N125" s="110">
        <v>23516.296937583644</v>
      </c>
      <c r="O125" s="110">
        <v>38030.40631736612</v>
      </c>
      <c r="P125" s="110">
        <v>37585.956121431234</v>
      </c>
      <c r="Q125" s="110">
        <v>13965.180469695955</v>
      </c>
      <c r="R125" s="116"/>
      <c r="S125" s="112">
        <v>98.95808333333332</v>
      </c>
      <c r="T125" s="112">
        <v>546.72405555555554</v>
      </c>
      <c r="U125" s="112">
        <v>594.24160000000018</v>
      </c>
      <c r="V125" s="112">
        <v>463.06897222222233</v>
      </c>
      <c r="W125" s="112">
        <v>160.02533333333332</v>
      </c>
      <c r="X125" s="112"/>
    </row>
    <row r="126" spans="1:24" x14ac:dyDescent="0.35">
      <c r="A126" s="108">
        <v>39931</v>
      </c>
      <c r="B126" s="109">
        <f t="shared" si="17"/>
        <v>2</v>
      </c>
      <c r="C126" s="108">
        <v>40295</v>
      </c>
      <c r="D126" s="109">
        <f t="shared" si="18"/>
        <v>2</v>
      </c>
      <c r="E126" s="115">
        <v>40659</v>
      </c>
      <c r="F126" s="109">
        <f t="shared" si="19"/>
        <v>2</v>
      </c>
      <c r="G126" s="115">
        <v>41023</v>
      </c>
      <c r="H126" s="109">
        <f t="shared" si="20"/>
        <v>2</v>
      </c>
      <c r="I126" s="115">
        <v>41387</v>
      </c>
      <c r="J126" s="109">
        <f t="shared" si="16"/>
        <v>2</v>
      </c>
      <c r="K126" s="108">
        <f t="shared" si="21"/>
        <v>41751</v>
      </c>
      <c r="L126" s="109">
        <f t="shared" si="22"/>
        <v>2</v>
      </c>
      <c r="M126" s="110">
        <v>21809.685484952701</v>
      </c>
      <c r="N126" s="110">
        <v>24008.935770916974</v>
      </c>
      <c r="O126" s="110">
        <v>38335.76591736613</v>
      </c>
      <c r="P126" s="110">
        <v>38049.025093653458</v>
      </c>
      <c r="Q126" s="110">
        <v>14293.900475282067</v>
      </c>
      <c r="R126" s="116"/>
      <c r="S126" s="112">
        <v>122.08527777777778</v>
      </c>
      <c r="T126" s="112">
        <v>495.98133333333334</v>
      </c>
      <c r="U126" s="112">
        <v>646.91511111111117</v>
      </c>
      <c r="V126" s="112">
        <v>819.85794444444434</v>
      </c>
      <c r="W126" s="112">
        <v>328.80466666666666</v>
      </c>
      <c r="X126" s="112"/>
    </row>
    <row r="127" spans="1:24" x14ac:dyDescent="0.35">
      <c r="A127" s="108">
        <v>39932</v>
      </c>
      <c r="B127" s="109">
        <f t="shared" si="17"/>
        <v>3</v>
      </c>
      <c r="C127" s="108">
        <v>40296</v>
      </c>
      <c r="D127" s="109">
        <f t="shared" si="18"/>
        <v>3</v>
      </c>
      <c r="E127" s="115">
        <v>40660</v>
      </c>
      <c r="F127" s="109">
        <f t="shared" si="19"/>
        <v>3</v>
      </c>
      <c r="G127" s="115">
        <v>41024</v>
      </c>
      <c r="H127" s="109">
        <f t="shared" si="20"/>
        <v>3</v>
      </c>
      <c r="I127" s="115">
        <v>41388</v>
      </c>
      <c r="J127" s="109">
        <f t="shared" si="16"/>
        <v>3</v>
      </c>
      <c r="K127" s="108">
        <f t="shared" si="21"/>
        <v>41752</v>
      </c>
      <c r="L127" s="109">
        <f t="shared" si="22"/>
        <v>3</v>
      </c>
      <c r="M127" s="110">
        <v>22217.847484952705</v>
      </c>
      <c r="N127" s="110">
        <v>24610.610020916982</v>
      </c>
      <c r="O127" s="110">
        <v>38674.306359032773</v>
      </c>
      <c r="P127" s="110">
        <v>38868.883038097898</v>
      </c>
      <c r="Q127" s="110">
        <v>14834.635145016784</v>
      </c>
      <c r="R127" s="116"/>
      <c r="S127" s="112">
        <v>408.16199999999998</v>
      </c>
      <c r="T127" s="112">
        <v>605.07980555555548</v>
      </c>
      <c r="U127" s="112">
        <v>305.35960000000017</v>
      </c>
      <c r="V127" s="112">
        <v>620.28505555555591</v>
      </c>
      <c r="W127" s="112">
        <v>541.01024999999993</v>
      </c>
      <c r="X127" s="112"/>
    </row>
    <row r="128" spans="1:24" x14ac:dyDescent="0.35">
      <c r="A128" s="108">
        <v>39933</v>
      </c>
      <c r="B128" s="109">
        <f t="shared" si="17"/>
        <v>4</v>
      </c>
      <c r="C128" s="108">
        <v>40297</v>
      </c>
      <c r="D128" s="109">
        <f t="shared" si="18"/>
        <v>4</v>
      </c>
      <c r="E128" s="115">
        <v>40661</v>
      </c>
      <c r="F128" s="109">
        <f t="shared" si="19"/>
        <v>4</v>
      </c>
      <c r="G128" s="115">
        <v>41025</v>
      </c>
      <c r="H128" s="109">
        <f t="shared" si="20"/>
        <v>4</v>
      </c>
      <c r="I128" s="115">
        <v>41389</v>
      </c>
      <c r="J128" s="109">
        <f t="shared" si="16"/>
        <v>4</v>
      </c>
      <c r="K128" s="108">
        <f t="shared" si="21"/>
        <v>41753</v>
      </c>
      <c r="L128" s="109">
        <f t="shared" si="22"/>
        <v>4</v>
      </c>
      <c r="M128" s="110">
        <v>22700.116151619375</v>
      </c>
      <c r="N128" s="110">
        <v>25180.793632028086</v>
      </c>
      <c r="O128" s="110">
        <v>38961.867909032793</v>
      </c>
      <c r="P128" s="110">
        <v>39489.168093653447</v>
      </c>
      <c r="Q128" s="110">
        <v>15430.956066562343</v>
      </c>
      <c r="R128" s="116"/>
      <c r="S128" s="112">
        <v>513.43144444444442</v>
      </c>
      <c r="T128" s="112">
        <v>573.56102777777778</v>
      </c>
      <c r="U128" s="112">
        <v>338.54044166666671</v>
      </c>
      <c r="V128" s="112">
        <v>658.9846666666665</v>
      </c>
      <c r="W128" s="112">
        <v>596.5017499999999</v>
      </c>
      <c r="X128" s="112"/>
    </row>
    <row r="129" spans="1:24" x14ac:dyDescent="0.35">
      <c r="A129" s="108">
        <v>39934</v>
      </c>
      <c r="B129" s="109">
        <f t="shared" si="17"/>
        <v>5</v>
      </c>
      <c r="C129" s="108">
        <v>40298</v>
      </c>
      <c r="D129" s="109">
        <f t="shared" si="18"/>
        <v>5</v>
      </c>
      <c r="E129" s="115">
        <v>40662</v>
      </c>
      <c r="F129" s="109">
        <f t="shared" si="19"/>
        <v>5</v>
      </c>
      <c r="G129" s="115">
        <v>41026</v>
      </c>
      <c r="H129" s="109">
        <f t="shared" si="20"/>
        <v>5</v>
      </c>
      <c r="I129" s="115">
        <v>41390</v>
      </c>
      <c r="J129" s="109">
        <f t="shared" si="16"/>
        <v>5</v>
      </c>
      <c r="K129" s="108">
        <f t="shared" si="21"/>
        <v>41754</v>
      </c>
      <c r="L129" s="109">
        <f t="shared" si="22"/>
        <v>5</v>
      </c>
      <c r="M129" s="110">
        <v>23391.871707174923</v>
      </c>
      <c r="N129" s="110">
        <v>25732.61552091697</v>
      </c>
      <c r="O129" s="110">
        <v>39173.301684032805</v>
      </c>
      <c r="P129" s="110">
        <v>40148.152788097905</v>
      </c>
      <c r="Q129" s="110">
        <v>16005.13377810262</v>
      </c>
      <c r="R129" s="116"/>
      <c r="S129" s="112">
        <v>691.75555555555559</v>
      </c>
      <c r="T129" s="112">
        <v>555.27086111111112</v>
      </c>
      <c r="U129" s="112">
        <v>287.56155000000007</v>
      </c>
      <c r="V129" s="112">
        <v>717.57108333333315</v>
      </c>
      <c r="W129" s="112">
        <v>574.35850000000005</v>
      </c>
      <c r="X129" s="112"/>
    </row>
    <row r="130" spans="1:24" x14ac:dyDescent="0.35">
      <c r="A130" s="108">
        <v>39935</v>
      </c>
      <c r="B130" s="109">
        <f t="shared" si="17"/>
        <v>6</v>
      </c>
      <c r="C130" s="108">
        <v>40299</v>
      </c>
      <c r="D130" s="109">
        <f t="shared" si="18"/>
        <v>6</v>
      </c>
      <c r="E130" s="115">
        <v>40663</v>
      </c>
      <c r="F130" s="109">
        <f t="shared" si="19"/>
        <v>6</v>
      </c>
      <c r="G130" s="115">
        <v>41027</v>
      </c>
      <c r="H130" s="109">
        <f t="shared" si="20"/>
        <v>6</v>
      </c>
      <c r="I130" s="115">
        <v>41391</v>
      </c>
      <c r="J130" s="109">
        <f t="shared" si="16"/>
        <v>6</v>
      </c>
      <c r="K130" s="108">
        <f t="shared" si="21"/>
        <v>41755</v>
      </c>
      <c r="L130" s="109">
        <f t="shared" si="22"/>
        <v>6</v>
      </c>
      <c r="M130" s="110">
        <v>24191.278401619376</v>
      </c>
      <c r="N130" s="110">
        <v>26414.183718139204</v>
      </c>
      <c r="O130" s="110">
        <v>39446.513822921668</v>
      </c>
      <c r="P130" s="110">
        <v>40865.723871431233</v>
      </c>
      <c r="Q130" s="110">
        <v>16505.004605450402</v>
      </c>
      <c r="R130" s="116"/>
      <c r="S130" s="112">
        <v>799.4066944444445</v>
      </c>
      <c r="T130" s="112">
        <v>685.00722222222225</v>
      </c>
      <c r="U130" s="112">
        <v>211.433775</v>
      </c>
      <c r="V130" s="112">
        <v>763.49833333333345</v>
      </c>
      <c r="W130" s="112">
        <v>499.8986666666666</v>
      </c>
      <c r="X130" s="112"/>
    </row>
    <row r="131" spans="1:24" x14ac:dyDescent="0.35">
      <c r="A131" s="108">
        <v>39936</v>
      </c>
      <c r="B131" s="109">
        <f t="shared" si="17"/>
        <v>7</v>
      </c>
      <c r="C131" s="108">
        <v>40300</v>
      </c>
      <c r="D131" s="109">
        <f t="shared" si="18"/>
        <v>7</v>
      </c>
      <c r="E131" s="115">
        <v>40664</v>
      </c>
      <c r="F131" s="109">
        <f t="shared" si="19"/>
        <v>7</v>
      </c>
      <c r="G131" s="115">
        <v>41028</v>
      </c>
      <c r="H131" s="109">
        <f t="shared" si="20"/>
        <v>7</v>
      </c>
      <c r="I131" s="115">
        <v>41392</v>
      </c>
      <c r="J131" s="109">
        <f t="shared" si="16"/>
        <v>7</v>
      </c>
      <c r="K131" s="108">
        <f t="shared" si="21"/>
        <v>41756</v>
      </c>
      <c r="L131" s="109">
        <f t="shared" si="22"/>
        <v>7</v>
      </c>
      <c r="M131" s="110">
        <v>24838.87042939715</v>
      </c>
      <c r="N131" s="110">
        <v>26985.32095980586</v>
      </c>
      <c r="O131" s="110">
        <v>39935.990478477252</v>
      </c>
      <c r="P131" s="110">
        <v>41629.22220476457</v>
      </c>
      <c r="Q131" s="110">
        <v>16972.014661005956</v>
      </c>
      <c r="R131" s="116"/>
      <c r="S131" s="112">
        <v>647.59202777777773</v>
      </c>
      <c r="T131" s="112">
        <v>574.55355555555559</v>
      </c>
      <c r="U131" s="112">
        <v>273.20872222222209</v>
      </c>
      <c r="V131" s="112">
        <v>786.18505555555566</v>
      </c>
      <c r="W131" s="112">
        <v>467.01005555555554</v>
      </c>
      <c r="X131" s="112"/>
    </row>
    <row r="132" spans="1:24" x14ac:dyDescent="0.35">
      <c r="A132" s="108">
        <v>39937</v>
      </c>
      <c r="B132" s="109">
        <f t="shared" si="17"/>
        <v>1</v>
      </c>
      <c r="C132" s="108">
        <v>40301</v>
      </c>
      <c r="D132" s="109">
        <f t="shared" si="18"/>
        <v>1</v>
      </c>
      <c r="E132" s="115">
        <v>40665</v>
      </c>
      <c r="F132" s="109">
        <f t="shared" si="19"/>
        <v>1</v>
      </c>
      <c r="G132" s="115">
        <v>41029</v>
      </c>
      <c r="H132" s="109">
        <f t="shared" si="20"/>
        <v>1</v>
      </c>
      <c r="I132" s="115">
        <v>41393</v>
      </c>
      <c r="J132" s="109">
        <f t="shared" si="16"/>
        <v>1</v>
      </c>
      <c r="K132" s="108">
        <f t="shared" si="21"/>
        <v>41757</v>
      </c>
      <c r="L132" s="109">
        <f t="shared" si="22"/>
        <v>1</v>
      </c>
      <c r="M132" s="110">
        <v>25341.422734952714</v>
      </c>
      <c r="N132" s="110">
        <v>27449.447387583645</v>
      </c>
      <c r="O132" s="110">
        <v>40316.945506255011</v>
      </c>
      <c r="P132" s="110">
        <v>42415.40726032012</v>
      </c>
      <c r="Q132" s="110">
        <v>17229.21474433929</v>
      </c>
      <c r="R132" s="116"/>
      <c r="S132" s="112">
        <v>502.55230555555556</v>
      </c>
      <c r="T132" s="112">
        <v>467.57663888888885</v>
      </c>
      <c r="U132" s="112">
        <v>489.47665555555534</v>
      </c>
      <c r="V132" s="112">
        <v>763.49005555555527</v>
      </c>
      <c r="W132" s="112">
        <v>257.20008333333345</v>
      </c>
      <c r="X132" s="112"/>
    </row>
    <row r="133" spans="1:24" x14ac:dyDescent="0.35">
      <c r="A133" s="108">
        <v>39938</v>
      </c>
      <c r="B133" s="109">
        <f t="shared" si="17"/>
        <v>2</v>
      </c>
      <c r="C133" s="108">
        <v>40302</v>
      </c>
      <c r="D133" s="109">
        <f t="shared" si="18"/>
        <v>2</v>
      </c>
      <c r="E133" s="115">
        <v>40666</v>
      </c>
      <c r="F133" s="109">
        <f t="shared" si="19"/>
        <v>2</v>
      </c>
      <c r="G133" s="115">
        <v>41030</v>
      </c>
      <c r="H133" s="109">
        <f t="shared" si="20"/>
        <v>2</v>
      </c>
      <c r="I133" s="115">
        <v>41394</v>
      </c>
      <c r="J133" s="109">
        <f t="shared" si="16"/>
        <v>2</v>
      </c>
      <c r="K133" s="108">
        <f t="shared" si="21"/>
        <v>41758</v>
      </c>
      <c r="L133" s="109">
        <f t="shared" si="22"/>
        <v>2</v>
      </c>
      <c r="M133" s="110">
        <v>25827.652179397151</v>
      </c>
      <c r="N133" s="110">
        <v>27852.578165361421</v>
      </c>
      <c r="O133" s="110">
        <v>40680.186567366109</v>
      </c>
      <c r="P133" s="110">
        <v>43178.897288097913</v>
      </c>
      <c r="Q133" s="110">
        <v>17508.120049894846</v>
      </c>
      <c r="R133" s="116"/>
      <c r="S133" s="112">
        <v>486.22944444444443</v>
      </c>
      <c r="T133" s="112">
        <v>406.37725</v>
      </c>
      <c r="U133" s="112">
        <v>380.95502777777773</v>
      </c>
      <c r="V133" s="112">
        <v>581.49502777777775</v>
      </c>
      <c r="W133" s="112">
        <v>278.90530555555563</v>
      </c>
      <c r="X133" s="112"/>
    </row>
    <row r="134" spans="1:24" x14ac:dyDescent="0.35">
      <c r="A134" s="108">
        <v>39939</v>
      </c>
      <c r="B134" s="109">
        <f t="shared" si="17"/>
        <v>3</v>
      </c>
      <c r="C134" s="108">
        <v>40303</v>
      </c>
      <c r="D134" s="109">
        <f t="shared" si="18"/>
        <v>3</v>
      </c>
      <c r="E134" s="115">
        <v>40667</v>
      </c>
      <c r="F134" s="109">
        <f t="shared" si="19"/>
        <v>3</v>
      </c>
      <c r="G134" s="115">
        <v>41031</v>
      </c>
      <c r="H134" s="109">
        <f t="shared" si="20"/>
        <v>3</v>
      </c>
      <c r="I134" s="115">
        <v>41395</v>
      </c>
      <c r="J134" s="109">
        <f t="shared" si="16"/>
        <v>3</v>
      </c>
      <c r="K134" s="108">
        <f t="shared" si="21"/>
        <v>41759</v>
      </c>
      <c r="L134" s="109">
        <f t="shared" si="22"/>
        <v>3</v>
      </c>
      <c r="M134" s="110">
        <v>26337.019790508264</v>
      </c>
      <c r="N134" s="110">
        <v>28240.351398694747</v>
      </c>
      <c r="O134" s="110">
        <v>41109.919795143876</v>
      </c>
      <c r="P134" s="110">
        <v>43760.392315875659</v>
      </c>
      <c r="Q134" s="110">
        <v>18107.901883228176</v>
      </c>
      <c r="R134" s="116"/>
      <c r="S134" s="112">
        <v>509.3676111111111</v>
      </c>
      <c r="T134" s="112">
        <v>391.19288888888889</v>
      </c>
      <c r="U134" s="112">
        <v>363.24106111111121</v>
      </c>
      <c r="V134" s="112">
        <v>597.19480555555572</v>
      </c>
      <c r="W134" s="112">
        <v>599.78183333333322</v>
      </c>
      <c r="X134" s="112"/>
    </row>
    <row r="135" spans="1:24" x14ac:dyDescent="0.35">
      <c r="A135" s="108">
        <v>39940</v>
      </c>
      <c r="B135" s="109">
        <f t="shared" si="17"/>
        <v>4</v>
      </c>
      <c r="C135" s="108">
        <v>40304</v>
      </c>
      <c r="D135" s="109">
        <f t="shared" si="18"/>
        <v>4</v>
      </c>
      <c r="E135" s="115">
        <v>40668</v>
      </c>
      <c r="F135" s="109">
        <f t="shared" si="19"/>
        <v>4</v>
      </c>
      <c r="G135" s="115">
        <v>41032</v>
      </c>
      <c r="H135" s="109">
        <f t="shared" si="20"/>
        <v>4</v>
      </c>
      <c r="I135" s="115">
        <v>41396</v>
      </c>
      <c r="J135" s="109">
        <f t="shared" si="16"/>
        <v>4</v>
      </c>
      <c r="K135" s="108">
        <f t="shared" si="21"/>
        <v>41760</v>
      </c>
      <c r="L135" s="109">
        <f t="shared" si="22"/>
        <v>4</v>
      </c>
      <c r="M135" s="110">
        <v>26915.390679397147</v>
      </c>
      <c r="N135" s="110">
        <v>28627.980359805861</v>
      </c>
      <c r="O135" s="110">
        <v>41536.97450347722</v>
      </c>
      <c r="P135" s="110">
        <v>44357.587121431243</v>
      </c>
      <c r="Q135" s="110">
        <v>18343.793299894838</v>
      </c>
      <c r="R135" s="116"/>
      <c r="S135" s="112">
        <v>578.37088888888889</v>
      </c>
      <c r="T135" s="112">
        <v>391.05572222222224</v>
      </c>
      <c r="U135" s="112">
        <v>429.73322777777776</v>
      </c>
      <c r="V135" s="112">
        <v>697.3378611111109</v>
      </c>
      <c r="W135" s="112">
        <v>235.89141666666669</v>
      </c>
      <c r="X135" s="112"/>
    </row>
    <row r="136" spans="1:24" x14ac:dyDescent="0.35">
      <c r="A136" s="108">
        <v>39941</v>
      </c>
      <c r="B136" s="109">
        <f t="shared" si="17"/>
        <v>5</v>
      </c>
      <c r="C136" s="108">
        <v>40305</v>
      </c>
      <c r="D136" s="109">
        <f t="shared" si="18"/>
        <v>5</v>
      </c>
      <c r="E136" s="115">
        <v>40669</v>
      </c>
      <c r="F136" s="109">
        <f t="shared" si="19"/>
        <v>5</v>
      </c>
      <c r="G136" s="115">
        <v>41033</v>
      </c>
      <c r="H136" s="109">
        <f t="shared" si="20"/>
        <v>5</v>
      </c>
      <c r="I136" s="115">
        <v>41397</v>
      </c>
      <c r="J136" s="109">
        <f t="shared" si="16"/>
        <v>5</v>
      </c>
      <c r="K136" s="108">
        <f t="shared" si="21"/>
        <v>41761</v>
      </c>
      <c r="L136" s="109">
        <f t="shared" si="22"/>
        <v>5</v>
      </c>
      <c r="M136" s="110">
        <v>27587.287540508267</v>
      </c>
      <c r="N136" s="110">
        <v>29031.212920916976</v>
      </c>
      <c r="O136" s="110">
        <v>42199.001692366102</v>
      </c>
      <c r="P136" s="110">
        <v>45054.924982542354</v>
      </c>
      <c r="Q136" s="110">
        <v>18853.193855450394</v>
      </c>
      <c r="R136" s="116"/>
      <c r="S136" s="112">
        <v>671.89686111111121</v>
      </c>
      <c r="T136" s="112">
        <v>406.59986111111112</v>
      </c>
      <c r="U136" s="112">
        <v>427.05470833333339</v>
      </c>
      <c r="V136" s="112">
        <v>717.61730555555539</v>
      </c>
      <c r="W136" s="112">
        <v>509.40055555555568</v>
      </c>
      <c r="X136" s="112"/>
    </row>
    <row r="137" spans="1:24" x14ac:dyDescent="0.35">
      <c r="A137" s="108">
        <v>39942</v>
      </c>
      <c r="B137" s="109">
        <f t="shared" si="17"/>
        <v>6</v>
      </c>
      <c r="C137" s="108">
        <v>40306</v>
      </c>
      <c r="D137" s="109">
        <f t="shared" si="18"/>
        <v>6</v>
      </c>
      <c r="E137" s="115">
        <v>40670</v>
      </c>
      <c r="F137" s="109">
        <f t="shared" si="19"/>
        <v>6</v>
      </c>
      <c r="G137" s="115">
        <v>41034</v>
      </c>
      <c r="H137" s="109">
        <f t="shared" si="20"/>
        <v>6</v>
      </c>
      <c r="I137" s="115">
        <v>41398</v>
      </c>
      <c r="J137" s="109">
        <f t="shared" si="16"/>
        <v>6</v>
      </c>
      <c r="K137" s="108">
        <f t="shared" si="21"/>
        <v>41762</v>
      </c>
      <c r="L137" s="109">
        <f t="shared" si="22"/>
        <v>6</v>
      </c>
      <c r="M137" s="110">
        <v>28299.49470717493</v>
      </c>
      <c r="N137" s="110">
        <v>29526.875543139184</v>
      </c>
      <c r="O137" s="110">
        <v>42844.275622921654</v>
      </c>
      <c r="P137" s="110">
        <v>45772.542288097895</v>
      </c>
      <c r="Q137" s="110">
        <v>19466.061911005945</v>
      </c>
      <c r="R137" s="116"/>
      <c r="S137" s="112">
        <v>712.20716666666658</v>
      </c>
      <c r="T137" s="112">
        <v>499.06941666666665</v>
      </c>
      <c r="U137" s="112">
        <v>662.02718888888876</v>
      </c>
      <c r="V137" s="112">
        <v>671.78247222222217</v>
      </c>
      <c r="W137" s="112">
        <v>612.86805555555554</v>
      </c>
      <c r="X137" s="112"/>
    </row>
    <row r="138" spans="1:24" x14ac:dyDescent="0.35">
      <c r="A138" s="108">
        <v>39943</v>
      </c>
      <c r="B138" s="109">
        <f t="shared" si="17"/>
        <v>7</v>
      </c>
      <c r="C138" s="108">
        <v>40307</v>
      </c>
      <c r="D138" s="109">
        <f t="shared" si="18"/>
        <v>7</v>
      </c>
      <c r="E138" s="115">
        <v>40671</v>
      </c>
      <c r="F138" s="109">
        <f t="shared" si="19"/>
        <v>7</v>
      </c>
      <c r="G138" s="115">
        <v>41035</v>
      </c>
      <c r="H138" s="109">
        <f t="shared" si="20"/>
        <v>7</v>
      </c>
      <c r="I138" s="115">
        <v>41399</v>
      </c>
      <c r="J138" s="109">
        <f t="shared" si="16"/>
        <v>7</v>
      </c>
      <c r="K138" s="108">
        <f t="shared" si="21"/>
        <v>41763</v>
      </c>
      <c r="L138" s="109">
        <f t="shared" si="22"/>
        <v>7</v>
      </c>
      <c r="M138" s="110">
        <v>29013.148762730474</v>
      </c>
      <c r="N138" s="110">
        <v>30016.963448694758</v>
      </c>
      <c r="O138" s="110">
        <v>43491.74346458834</v>
      </c>
      <c r="P138" s="110">
        <v>46444.324760320145</v>
      </c>
      <c r="Q138" s="110">
        <v>20069.201161005956</v>
      </c>
      <c r="R138" s="116"/>
      <c r="S138" s="112">
        <v>713.6540555555556</v>
      </c>
      <c r="T138" s="112">
        <v>493.44136111111106</v>
      </c>
      <c r="U138" s="112">
        <v>645.27393055555558</v>
      </c>
      <c r="V138" s="112">
        <v>492.23661111111119</v>
      </c>
      <c r="W138" s="112">
        <v>603.13925000000006</v>
      </c>
      <c r="X138" s="112"/>
    </row>
    <row r="139" spans="1:24" x14ac:dyDescent="0.35">
      <c r="A139" s="108">
        <v>39944</v>
      </c>
      <c r="B139" s="109">
        <f t="shared" si="17"/>
        <v>1</v>
      </c>
      <c r="C139" s="108">
        <v>40308</v>
      </c>
      <c r="D139" s="109">
        <f t="shared" si="18"/>
        <v>1</v>
      </c>
      <c r="E139" s="115">
        <v>40672</v>
      </c>
      <c r="F139" s="109">
        <f t="shared" si="19"/>
        <v>1</v>
      </c>
      <c r="G139" s="115">
        <v>41036</v>
      </c>
      <c r="H139" s="109">
        <f t="shared" si="20"/>
        <v>1</v>
      </c>
      <c r="I139" s="115">
        <v>41400</v>
      </c>
      <c r="J139" s="109">
        <f t="shared" si="16"/>
        <v>1</v>
      </c>
      <c r="K139" s="108">
        <f t="shared" si="21"/>
        <v>41764</v>
      </c>
      <c r="L139" s="109">
        <f t="shared" si="22"/>
        <v>1</v>
      </c>
      <c r="M139" s="110">
        <v>29621.604790508263</v>
      </c>
      <c r="N139" s="110">
        <v>30414.361009805863</v>
      </c>
      <c r="O139" s="110">
        <v>44045.30980069947</v>
      </c>
      <c r="P139" s="110">
        <v>46936.561371431235</v>
      </c>
      <c r="Q139" s="110">
        <v>20610.609966561507</v>
      </c>
      <c r="R139" s="116"/>
      <c r="S139" s="112">
        <v>608.45602777777788</v>
      </c>
      <c r="T139" s="112">
        <v>399.96169444444445</v>
      </c>
      <c r="U139" s="112">
        <v>647.46784166666669</v>
      </c>
      <c r="V139" s="112">
        <v>454.63313888888888</v>
      </c>
      <c r="W139" s="112">
        <v>541.40880555555555</v>
      </c>
      <c r="X139" s="112"/>
    </row>
    <row r="140" spans="1:24" x14ac:dyDescent="0.35">
      <c r="A140" s="108">
        <v>39945</v>
      </c>
      <c r="B140" s="109">
        <f t="shared" si="17"/>
        <v>2</v>
      </c>
      <c r="C140" s="108">
        <v>40309</v>
      </c>
      <c r="D140" s="109">
        <f t="shared" si="18"/>
        <v>2</v>
      </c>
      <c r="E140" s="115">
        <v>40673</v>
      </c>
      <c r="F140" s="109">
        <f t="shared" si="19"/>
        <v>2</v>
      </c>
      <c r="G140" s="115">
        <v>41037</v>
      </c>
      <c r="H140" s="109">
        <f t="shared" si="20"/>
        <v>2</v>
      </c>
      <c r="I140" s="115">
        <v>41401</v>
      </c>
      <c r="J140" s="109">
        <f t="shared" si="16"/>
        <v>2</v>
      </c>
      <c r="K140" s="108">
        <f t="shared" si="21"/>
        <v>41765</v>
      </c>
      <c r="L140" s="109">
        <f t="shared" si="22"/>
        <v>2</v>
      </c>
      <c r="M140" s="110">
        <v>30271.639151619362</v>
      </c>
      <c r="N140" s="110">
        <v>30700.36219313919</v>
      </c>
      <c r="O140" s="110">
        <v>44633.809250699458</v>
      </c>
      <c r="P140" s="110">
        <v>47391.194510320151</v>
      </c>
      <c r="Q140" s="110">
        <v>21157.353827672618</v>
      </c>
      <c r="R140" s="116"/>
      <c r="S140" s="112">
        <v>650.03436111111114</v>
      </c>
      <c r="T140" s="112">
        <v>295.85538888888885</v>
      </c>
      <c r="U140" s="112">
        <v>553.56633611111124</v>
      </c>
      <c r="V140" s="112">
        <v>530.56249999999977</v>
      </c>
      <c r="W140" s="112">
        <v>546.74386111111107</v>
      </c>
      <c r="X140" s="112"/>
    </row>
    <row r="141" spans="1:24" x14ac:dyDescent="0.35">
      <c r="A141" s="108">
        <v>39946</v>
      </c>
      <c r="B141" s="109">
        <f t="shared" si="17"/>
        <v>3</v>
      </c>
      <c r="C141" s="108">
        <v>40310</v>
      </c>
      <c r="D141" s="109">
        <f t="shared" si="18"/>
        <v>3</v>
      </c>
      <c r="E141" s="115">
        <v>40674</v>
      </c>
      <c r="F141" s="109">
        <f t="shared" si="19"/>
        <v>3</v>
      </c>
      <c r="G141" s="115">
        <v>41038</v>
      </c>
      <c r="H141" s="109">
        <f t="shared" si="20"/>
        <v>3</v>
      </c>
      <c r="I141" s="115">
        <v>41402</v>
      </c>
      <c r="J141" s="109">
        <f t="shared" si="16"/>
        <v>3</v>
      </c>
      <c r="K141" s="108">
        <f t="shared" si="21"/>
        <v>41766</v>
      </c>
      <c r="L141" s="109">
        <f t="shared" si="22"/>
        <v>3</v>
      </c>
      <c r="M141" s="110">
        <v>30861.523512730488</v>
      </c>
      <c r="N141" s="110">
        <v>31077.455818139199</v>
      </c>
      <c r="O141" s="110">
        <v>45168.199595143917</v>
      </c>
      <c r="P141" s="110">
        <v>47921.757010320143</v>
      </c>
      <c r="Q141" s="110">
        <v>21689.894105450396</v>
      </c>
      <c r="R141" s="116"/>
      <c r="S141" s="112">
        <v>589.88436111111116</v>
      </c>
      <c r="T141" s="112">
        <v>379.7428611111111</v>
      </c>
      <c r="U141" s="112">
        <v>588.49945000000002</v>
      </c>
      <c r="V141" s="112">
        <v>489.08286111111113</v>
      </c>
      <c r="W141" s="112">
        <v>532.54027777777787</v>
      </c>
      <c r="X141" s="112"/>
    </row>
    <row r="142" spans="1:24" x14ac:dyDescent="0.35">
      <c r="A142" s="108">
        <v>39947</v>
      </c>
      <c r="B142" s="109">
        <f t="shared" si="17"/>
        <v>4</v>
      </c>
      <c r="C142" s="108">
        <v>40311</v>
      </c>
      <c r="D142" s="109">
        <f t="shared" si="18"/>
        <v>4</v>
      </c>
      <c r="E142" s="115">
        <v>40675</v>
      </c>
      <c r="F142" s="109">
        <f t="shared" si="19"/>
        <v>4</v>
      </c>
      <c r="G142" s="115">
        <v>41039</v>
      </c>
      <c r="H142" s="109">
        <f t="shared" si="20"/>
        <v>4</v>
      </c>
      <c r="I142" s="115">
        <v>41403</v>
      </c>
      <c r="J142" s="109">
        <f t="shared" ref="J142:J205" si="23">WEEKDAY(I142,2)</f>
        <v>4</v>
      </c>
      <c r="K142" s="108">
        <f t="shared" si="21"/>
        <v>41767</v>
      </c>
      <c r="L142" s="109">
        <f t="shared" si="22"/>
        <v>4</v>
      </c>
      <c r="M142" s="110">
        <v>31466.543596063799</v>
      </c>
      <c r="N142" s="110">
        <v>31546.480004250305</v>
      </c>
      <c r="O142" s="110">
        <v>45730.298692366116</v>
      </c>
      <c r="P142" s="110">
        <v>48410.839871431213</v>
      </c>
      <c r="Q142" s="110">
        <v>22299.158938783723</v>
      </c>
      <c r="R142" s="116"/>
      <c r="S142" s="112">
        <v>605.02008333333333</v>
      </c>
      <c r="T142" s="112">
        <v>472.38547222222223</v>
      </c>
      <c r="U142" s="112">
        <v>534.39034444444439</v>
      </c>
      <c r="V142" s="112">
        <v>535.25527777777779</v>
      </c>
      <c r="W142" s="112">
        <v>609.2648333333334</v>
      </c>
      <c r="X142" s="112"/>
    </row>
    <row r="143" spans="1:24" x14ac:dyDescent="0.35">
      <c r="A143" s="108">
        <v>39948</v>
      </c>
      <c r="B143" s="109">
        <f t="shared" si="17"/>
        <v>5</v>
      </c>
      <c r="C143" s="108">
        <v>40312</v>
      </c>
      <c r="D143" s="109">
        <f t="shared" si="18"/>
        <v>5</v>
      </c>
      <c r="E143" s="115">
        <v>40676</v>
      </c>
      <c r="F143" s="109">
        <f t="shared" si="19"/>
        <v>5</v>
      </c>
      <c r="G143" s="115">
        <v>41040</v>
      </c>
      <c r="H143" s="109">
        <f t="shared" si="20"/>
        <v>5</v>
      </c>
      <c r="I143" s="115">
        <v>41404</v>
      </c>
      <c r="J143" s="109">
        <f t="shared" si="23"/>
        <v>5</v>
      </c>
      <c r="K143" s="108">
        <f t="shared" si="21"/>
        <v>41768</v>
      </c>
      <c r="L143" s="109">
        <f t="shared" si="22"/>
        <v>5</v>
      </c>
      <c r="M143" s="110">
        <v>32087.150707174907</v>
      </c>
      <c r="N143" s="110">
        <v>32004.852145916964</v>
      </c>
      <c r="O143" s="110">
        <v>46336.335264588328</v>
      </c>
      <c r="P143" s="110">
        <v>48946.09514920901</v>
      </c>
      <c r="Q143" s="110">
        <v>22884.709049894838</v>
      </c>
      <c r="R143" s="116"/>
      <c r="S143" s="112">
        <v>620.60711111111118</v>
      </c>
      <c r="T143" s="112">
        <v>461.4903333333333</v>
      </c>
      <c r="U143" s="112">
        <v>562.09909722222244</v>
      </c>
      <c r="V143" s="112">
        <v>653.42850000000033</v>
      </c>
      <c r="W143" s="112">
        <v>585.55008333333353</v>
      </c>
      <c r="X143" s="112"/>
    </row>
    <row r="144" spans="1:24" x14ac:dyDescent="0.35">
      <c r="A144" s="108">
        <v>39949</v>
      </c>
      <c r="B144" s="109">
        <f t="shared" si="17"/>
        <v>6</v>
      </c>
      <c r="C144" s="108">
        <v>40313</v>
      </c>
      <c r="D144" s="109">
        <f t="shared" si="18"/>
        <v>6</v>
      </c>
      <c r="E144" s="115">
        <v>40677</v>
      </c>
      <c r="F144" s="109">
        <f t="shared" si="19"/>
        <v>6</v>
      </c>
      <c r="G144" s="115">
        <v>41041</v>
      </c>
      <c r="H144" s="109">
        <f t="shared" si="20"/>
        <v>6</v>
      </c>
      <c r="I144" s="115">
        <v>41405</v>
      </c>
      <c r="J144" s="109">
        <f t="shared" si="23"/>
        <v>6</v>
      </c>
      <c r="K144" s="108">
        <f t="shared" si="21"/>
        <v>41769</v>
      </c>
      <c r="L144" s="109">
        <f t="shared" si="22"/>
        <v>6</v>
      </c>
      <c r="M144" s="110">
        <v>32756.820290508258</v>
      </c>
      <c r="N144" s="110">
        <v>32512.07211258365</v>
      </c>
      <c r="O144" s="110">
        <v>47066.906909032798</v>
      </c>
      <c r="P144" s="110">
        <v>49599.523649208983</v>
      </c>
      <c r="Q144" s="110">
        <v>23495.140577672617</v>
      </c>
      <c r="R144" s="116"/>
      <c r="S144" s="112">
        <v>669.66958333333332</v>
      </c>
      <c r="T144" s="112">
        <v>510.6995277777778</v>
      </c>
      <c r="U144" s="112">
        <v>606.03657222222216</v>
      </c>
      <c r="V144" s="112">
        <v>740.05552777777791</v>
      </c>
      <c r="W144" s="112">
        <v>610.43155555555575</v>
      </c>
      <c r="X144" s="112"/>
    </row>
    <row r="145" spans="1:24" x14ac:dyDescent="0.35">
      <c r="A145" s="108">
        <v>39950</v>
      </c>
      <c r="B145" s="109">
        <f t="shared" si="17"/>
        <v>7</v>
      </c>
      <c r="C145" s="108">
        <v>40314</v>
      </c>
      <c r="D145" s="109">
        <f t="shared" si="18"/>
        <v>7</v>
      </c>
      <c r="E145" s="115">
        <v>40678</v>
      </c>
      <c r="F145" s="109">
        <f t="shared" si="19"/>
        <v>7</v>
      </c>
      <c r="G145" s="115">
        <v>41042</v>
      </c>
      <c r="H145" s="109">
        <f t="shared" si="20"/>
        <v>7</v>
      </c>
      <c r="I145" s="115">
        <v>41406</v>
      </c>
      <c r="J145" s="109">
        <f t="shared" si="23"/>
        <v>7</v>
      </c>
      <c r="K145" s="108">
        <f t="shared" si="21"/>
        <v>41770</v>
      </c>
      <c r="L145" s="109">
        <f t="shared" si="22"/>
        <v>7</v>
      </c>
      <c r="M145" s="110">
        <v>33354.703984952692</v>
      </c>
      <c r="N145" s="110">
        <v>33109.69577647253</v>
      </c>
      <c r="O145" s="110">
        <v>47852.342256255004</v>
      </c>
      <c r="P145" s="110">
        <v>50339.579176986779</v>
      </c>
      <c r="Q145" s="110">
        <v>24108.809911005959</v>
      </c>
      <c r="R145" s="116"/>
      <c r="S145" s="112">
        <v>597.88369444444436</v>
      </c>
      <c r="T145" s="112">
        <v>601.08616666666671</v>
      </c>
      <c r="U145" s="112">
        <v>730.57164444444459</v>
      </c>
      <c r="V145" s="112">
        <v>584.27600000000007</v>
      </c>
      <c r="W145" s="112">
        <v>613.6693333333335</v>
      </c>
      <c r="X145" s="112"/>
    </row>
    <row r="146" spans="1:24" x14ac:dyDescent="0.35">
      <c r="A146" s="108">
        <v>39951</v>
      </c>
      <c r="B146" s="109">
        <f t="shared" si="17"/>
        <v>1</v>
      </c>
      <c r="C146" s="108">
        <v>40315</v>
      </c>
      <c r="D146" s="109">
        <f t="shared" si="18"/>
        <v>1</v>
      </c>
      <c r="E146" s="115">
        <v>40679</v>
      </c>
      <c r="F146" s="109">
        <f t="shared" si="19"/>
        <v>1</v>
      </c>
      <c r="G146" s="115">
        <v>41043</v>
      </c>
      <c r="H146" s="109">
        <f t="shared" si="20"/>
        <v>1</v>
      </c>
      <c r="I146" s="115">
        <v>41407</v>
      </c>
      <c r="J146" s="109">
        <f t="shared" si="23"/>
        <v>1</v>
      </c>
      <c r="K146" s="108">
        <f t="shared" si="21"/>
        <v>41771</v>
      </c>
      <c r="L146" s="109">
        <f t="shared" si="22"/>
        <v>1</v>
      </c>
      <c r="M146" s="110">
        <v>33775.817596063811</v>
      </c>
      <c r="N146" s="110">
        <v>33560.484232028095</v>
      </c>
      <c r="O146" s="110">
        <v>48477.191422921671</v>
      </c>
      <c r="P146" s="110">
        <v>50923.855176986763</v>
      </c>
      <c r="Q146" s="110">
        <v>24593.113022117064</v>
      </c>
      <c r="R146" s="116"/>
      <c r="S146" s="112">
        <v>421.11361111111108</v>
      </c>
      <c r="T146" s="112">
        <v>453.94130555555552</v>
      </c>
      <c r="U146" s="112">
        <v>785.43534722222228</v>
      </c>
      <c r="V146" s="112">
        <v>514.58627777777781</v>
      </c>
      <c r="W146" s="112">
        <v>484.30311111111115</v>
      </c>
      <c r="X146" s="112"/>
    </row>
    <row r="147" spans="1:24" x14ac:dyDescent="0.35">
      <c r="A147" s="108">
        <v>39952</v>
      </c>
      <c r="B147" s="109">
        <f t="shared" si="17"/>
        <v>2</v>
      </c>
      <c r="C147" s="108">
        <v>40316</v>
      </c>
      <c r="D147" s="109">
        <f t="shared" si="18"/>
        <v>2</v>
      </c>
      <c r="E147" s="115">
        <v>40680</v>
      </c>
      <c r="F147" s="109">
        <f t="shared" si="19"/>
        <v>2</v>
      </c>
      <c r="G147" s="115">
        <v>41044</v>
      </c>
      <c r="H147" s="109">
        <f t="shared" si="20"/>
        <v>2</v>
      </c>
      <c r="I147" s="115">
        <v>41408</v>
      </c>
      <c r="J147" s="109">
        <f t="shared" si="23"/>
        <v>2</v>
      </c>
      <c r="K147" s="108">
        <f t="shared" si="21"/>
        <v>41772</v>
      </c>
      <c r="L147" s="109">
        <f t="shared" si="22"/>
        <v>2</v>
      </c>
      <c r="M147" s="110">
        <v>34171.826012730489</v>
      </c>
      <c r="N147" s="110">
        <v>33981.944807028092</v>
      </c>
      <c r="O147" s="110">
        <v>49068.25005625499</v>
      </c>
      <c r="P147" s="110">
        <v>51438.441454764536</v>
      </c>
      <c r="Q147" s="110">
        <v>25157.440077672622</v>
      </c>
      <c r="R147" s="116"/>
      <c r="S147" s="112">
        <v>396.00841666666668</v>
      </c>
      <c r="T147" s="112">
        <v>424.85202777777778</v>
      </c>
      <c r="U147" s="112">
        <v>624.84916666666663</v>
      </c>
      <c r="V147" s="112">
        <v>591.3399166666668</v>
      </c>
      <c r="W147" s="112">
        <v>564.32705555555583</v>
      </c>
      <c r="X147" s="112"/>
    </row>
    <row r="148" spans="1:24" x14ac:dyDescent="0.35">
      <c r="A148" s="108">
        <v>39953</v>
      </c>
      <c r="B148" s="109">
        <f t="shared" si="17"/>
        <v>3</v>
      </c>
      <c r="C148" s="108">
        <v>40317</v>
      </c>
      <c r="D148" s="109">
        <f t="shared" si="18"/>
        <v>3</v>
      </c>
      <c r="E148" s="115">
        <v>40681</v>
      </c>
      <c r="F148" s="109">
        <f t="shared" si="19"/>
        <v>3</v>
      </c>
      <c r="G148" s="115">
        <v>41045</v>
      </c>
      <c r="H148" s="109">
        <f t="shared" si="20"/>
        <v>3</v>
      </c>
      <c r="I148" s="115">
        <v>41409</v>
      </c>
      <c r="J148" s="109">
        <f t="shared" si="23"/>
        <v>3</v>
      </c>
      <c r="K148" s="108">
        <f t="shared" si="21"/>
        <v>41773</v>
      </c>
      <c r="L148" s="109">
        <f t="shared" si="22"/>
        <v>3</v>
      </c>
      <c r="M148" s="110">
        <v>34706.790207174934</v>
      </c>
      <c r="N148" s="110">
        <v>34408.950679250316</v>
      </c>
      <c r="O148" s="110">
        <v>49543.843486810569</v>
      </c>
      <c r="P148" s="110">
        <v>52029.781371431229</v>
      </c>
      <c r="Q148" s="110">
        <v>25706.010911005957</v>
      </c>
      <c r="R148" s="116"/>
      <c r="S148" s="112">
        <v>534.9641944444445</v>
      </c>
      <c r="T148" s="112">
        <v>430.41291666666666</v>
      </c>
      <c r="U148" s="112">
        <v>591.05863333333332</v>
      </c>
      <c r="V148" s="112">
        <v>515.04944444444448</v>
      </c>
      <c r="W148" s="112">
        <v>548.57083333333367</v>
      </c>
      <c r="X148" s="112"/>
    </row>
    <row r="149" spans="1:24" x14ac:dyDescent="0.35">
      <c r="A149" s="108">
        <v>39954</v>
      </c>
      <c r="B149" s="109">
        <f t="shared" si="17"/>
        <v>4</v>
      </c>
      <c r="C149" s="108">
        <v>40318</v>
      </c>
      <c r="D149" s="109">
        <f t="shared" si="18"/>
        <v>4</v>
      </c>
      <c r="E149" s="115">
        <v>40682</v>
      </c>
      <c r="F149" s="109">
        <f t="shared" si="19"/>
        <v>4</v>
      </c>
      <c r="G149" s="115">
        <v>41046</v>
      </c>
      <c r="H149" s="109">
        <f t="shared" si="20"/>
        <v>4</v>
      </c>
      <c r="I149" s="115">
        <v>41410</v>
      </c>
      <c r="J149" s="109">
        <f t="shared" si="23"/>
        <v>4</v>
      </c>
      <c r="K149" s="108">
        <f t="shared" si="21"/>
        <v>41774</v>
      </c>
      <c r="L149" s="109">
        <f t="shared" si="22"/>
        <v>4</v>
      </c>
      <c r="M149" s="110">
        <v>35263.527346063813</v>
      </c>
      <c r="N149" s="110">
        <v>34887.381812583648</v>
      </c>
      <c r="O149" s="110">
        <v>50071.505345143873</v>
      </c>
      <c r="P149" s="110">
        <v>52544.83081587567</v>
      </c>
      <c r="Q149" s="110">
        <v>26113.18099433928</v>
      </c>
      <c r="R149" s="116"/>
      <c r="S149" s="112">
        <v>556.73713888888892</v>
      </c>
      <c r="T149" s="112">
        <v>481.81774999999999</v>
      </c>
      <c r="U149" s="112">
        <v>475.59343055555559</v>
      </c>
      <c r="V149" s="112">
        <v>543.38133333333326</v>
      </c>
      <c r="W149" s="112">
        <v>407.17008333333342</v>
      </c>
      <c r="X149" s="112"/>
    </row>
    <row r="150" spans="1:24" x14ac:dyDescent="0.35">
      <c r="A150" s="108">
        <v>39955</v>
      </c>
      <c r="B150" s="109">
        <f t="shared" si="17"/>
        <v>5</v>
      </c>
      <c r="C150" s="108">
        <v>40319</v>
      </c>
      <c r="D150" s="109">
        <f t="shared" si="18"/>
        <v>5</v>
      </c>
      <c r="E150" s="115">
        <v>40683</v>
      </c>
      <c r="F150" s="109">
        <f t="shared" si="19"/>
        <v>5</v>
      </c>
      <c r="G150" s="115">
        <v>41047</v>
      </c>
      <c r="H150" s="109">
        <f t="shared" si="20"/>
        <v>5</v>
      </c>
      <c r="I150" s="115">
        <v>41411</v>
      </c>
      <c r="J150" s="109">
        <f t="shared" si="23"/>
        <v>5</v>
      </c>
      <c r="K150" s="108">
        <f t="shared" si="21"/>
        <v>41775</v>
      </c>
      <c r="L150" s="109">
        <f t="shared" si="22"/>
        <v>5</v>
      </c>
      <c r="M150" s="110">
        <v>35853.534290508273</v>
      </c>
      <c r="N150" s="110">
        <v>35409.970334805868</v>
      </c>
      <c r="O150" s="110">
        <v>50606.112756255003</v>
      </c>
      <c r="P150" s="110">
        <v>53088.212149209023</v>
      </c>
      <c r="Q150" s="110">
        <v>26658.351466561515</v>
      </c>
      <c r="R150" s="116"/>
      <c r="S150" s="112">
        <v>590.00694444444446</v>
      </c>
      <c r="T150" s="112">
        <v>525.98391666666669</v>
      </c>
      <c r="U150" s="112">
        <v>527.66185833333338</v>
      </c>
      <c r="V150" s="112">
        <v>565.2655000000002</v>
      </c>
      <c r="W150" s="112">
        <v>545.17047222222232</v>
      </c>
      <c r="X150" s="112"/>
    </row>
    <row r="151" spans="1:24" x14ac:dyDescent="0.35">
      <c r="A151" s="108">
        <v>39956</v>
      </c>
      <c r="B151" s="109">
        <f t="shared" si="17"/>
        <v>6</v>
      </c>
      <c r="C151" s="108">
        <v>40320</v>
      </c>
      <c r="D151" s="109">
        <f t="shared" si="18"/>
        <v>6</v>
      </c>
      <c r="E151" s="115">
        <v>40684</v>
      </c>
      <c r="F151" s="109">
        <f t="shared" si="19"/>
        <v>6</v>
      </c>
      <c r="G151" s="115">
        <v>41048</v>
      </c>
      <c r="H151" s="109">
        <f t="shared" si="20"/>
        <v>6</v>
      </c>
      <c r="I151" s="115">
        <v>41412</v>
      </c>
      <c r="J151" s="109">
        <f t="shared" si="23"/>
        <v>6</v>
      </c>
      <c r="K151" s="108">
        <f t="shared" si="21"/>
        <v>41776</v>
      </c>
      <c r="L151" s="109">
        <f t="shared" si="22"/>
        <v>6</v>
      </c>
      <c r="M151" s="110">
        <v>36494.826790508261</v>
      </c>
      <c r="N151" s="110">
        <v>35986.672165361422</v>
      </c>
      <c r="O151" s="110">
        <v>51202.352564588335</v>
      </c>
      <c r="P151" s="110">
        <v>53653.47764920901</v>
      </c>
      <c r="Q151" s="110">
        <v>27296.076411005954</v>
      </c>
      <c r="R151" s="116"/>
      <c r="S151" s="112">
        <v>641.29250000000002</v>
      </c>
      <c r="T151" s="112">
        <v>580.07213888888884</v>
      </c>
      <c r="U151" s="112">
        <v>534.60741111111099</v>
      </c>
      <c r="V151" s="112">
        <v>600.77847222222192</v>
      </c>
      <c r="W151" s="112">
        <v>637.72494444444453</v>
      </c>
      <c r="X151" s="112"/>
    </row>
    <row r="152" spans="1:24" x14ac:dyDescent="0.35">
      <c r="A152" s="108">
        <v>39957</v>
      </c>
      <c r="B152" s="109">
        <f t="shared" si="17"/>
        <v>7</v>
      </c>
      <c r="C152" s="108">
        <v>40321</v>
      </c>
      <c r="D152" s="109">
        <f t="shared" si="18"/>
        <v>7</v>
      </c>
      <c r="E152" s="115">
        <v>40685</v>
      </c>
      <c r="F152" s="109">
        <f t="shared" si="19"/>
        <v>7</v>
      </c>
      <c r="G152" s="115">
        <v>41049</v>
      </c>
      <c r="H152" s="109">
        <f t="shared" si="20"/>
        <v>7</v>
      </c>
      <c r="I152" s="115">
        <v>41413</v>
      </c>
      <c r="J152" s="109">
        <f t="shared" si="23"/>
        <v>7</v>
      </c>
      <c r="K152" s="108">
        <f t="shared" si="21"/>
        <v>41777</v>
      </c>
      <c r="L152" s="109">
        <f t="shared" si="22"/>
        <v>7</v>
      </c>
      <c r="M152" s="110">
        <v>37158.413179397154</v>
      </c>
      <c r="N152" s="110">
        <v>36525.865957028072</v>
      </c>
      <c r="O152" s="110">
        <v>51809.136253477234</v>
      </c>
      <c r="P152" s="110">
        <v>54254.256121431223</v>
      </c>
      <c r="Q152" s="110">
        <v>27970.73543878374</v>
      </c>
      <c r="R152" s="116"/>
      <c r="S152" s="112">
        <v>663.58638888888891</v>
      </c>
      <c r="T152" s="112">
        <v>542.63083333333338</v>
      </c>
      <c r="U152" s="112">
        <v>596.23980833333349</v>
      </c>
      <c r="V152" s="112">
        <v>474.32388888888897</v>
      </c>
      <c r="W152" s="112">
        <v>674.65902777777762</v>
      </c>
      <c r="X152" s="112"/>
    </row>
    <row r="153" spans="1:24" x14ac:dyDescent="0.35">
      <c r="A153" s="108">
        <v>39958</v>
      </c>
      <c r="B153" s="109">
        <f t="shared" si="17"/>
        <v>1</v>
      </c>
      <c r="C153" s="108">
        <v>40322</v>
      </c>
      <c r="D153" s="109">
        <f t="shared" si="18"/>
        <v>1</v>
      </c>
      <c r="E153" s="115">
        <v>40686</v>
      </c>
      <c r="F153" s="109">
        <f t="shared" si="19"/>
        <v>1</v>
      </c>
      <c r="G153" s="115">
        <v>41050</v>
      </c>
      <c r="H153" s="109">
        <f t="shared" si="20"/>
        <v>1</v>
      </c>
      <c r="I153" s="115">
        <v>41414</v>
      </c>
      <c r="J153" s="109">
        <f t="shared" si="23"/>
        <v>1</v>
      </c>
      <c r="K153" s="108">
        <f t="shared" si="21"/>
        <v>41778</v>
      </c>
      <c r="L153" s="109">
        <f t="shared" si="22"/>
        <v>1</v>
      </c>
      <c r="M153" s="110">
        <v>37613.270429397169</v>
      </c>
      <c r="N153" s="110">
        <v>36979.567609805854</v>
      </c>
      <c r="O153" s="110">
        <v>52175.099531254993</v>
      </c>
      <c r="P153" s="110">
        <v>54728.580010320125</v>
      </c>
      <c r="Q153" s="110">
        <v>28449.18316100596</v>
      </c>
      <c r="R153" s="116"/>
      <c r="S153" s="112">
        <v>454.85725000000002</v>
      </c>
      <c r="T153" s="112">
        <v>457.14536111111113</v>
      </c>
      <c r="U153" s="112">
        <v>606.78368888888895</v>
      </c>
      <c r="V153" s="112">
        <v>517.75897222222227</v>
      </c>
      <c r="W153" s="112">
        <v>478.51733333333362</v>
      </c>
      <c r="X153" s="112"/>
    </row>
    <row r="154" spans="1:24" x14ac:dyDescent="0.35">
      <c r="A154" s="108">
        <v>39959</v>
      </c>
      <c r="B154" s="109">
        <f t="shared" si="17"/>
        <v>2</v>
      </c>
      <c r="C154" s="108">
        <v>40323</v>
      </c>
      <c r="D154" s="109">
        <f t="shared" si="18"/>
        <v>2</v>
      </c>
      <c r="E154" s="115">
        <v>40687</v>
      </c>
      <c r="F154" s="109">
        <f t="shared" si="19"/>
        <v>2</v>
      </c>
      <c r="G154" s="115">
        <v>41051</v>
      </c>
      <c r="H154" s="109">
        <f t="shared" si="20"/>
        <v>2</v>
      </c>
      <c r="I154" s="115">
        <v>41415</v>
      </c>
      <c r="J154" s="109">
        <f t="shared" si="23"/>
        <v>2</v>
      </c>
      <c r="K154" s="108">
        <f t="shared" si="21"/>
        <v>41779</v>
      </c>
      <c r="L154" s="109">
        <f t="shared" si="22"/>
        <v>2</v>
      </c>
      <c r="M154" s="110">
        <v>38072.909873841592</v>
      </c>
      <c r="N154" s="110">
        <v>37412.499898694761</v>
      </c>
      <c r="O154" s="110">
        <v>52484.616022921662</v>
      </c>
      <c r="P154" s="110">
        <v>55246.338982542358</v>
      </c>
      <c r="Q154" s="110">
        <v>28961.250105450406</v>
      </c>
      <c r="R154" s="116"/>
      <c r="S154" s="112">
        <v>459.63944444444445</v>
      </c>
      <c r="T154" s="112">
        <v>436.33666666666664</v>
      </c>
      <c r="U154" s="112">
        <v>365.96327777777782</v>
      </c>
      <c r="V154" s="112">
        <v>576.34527777777794</v>
      </c>
      <c r="W154" s="112">
        <v>512.06694444444474</v>
      </c>
      <c r="X154" s="112"/>
    </row>
    <row r="155" spans="1:24" x14ac:dyDescent="0.35">
      <c r="A155" s="108">
        <v>39960</v>
      </c>
      <c r="B155" s="109">
        <f t="shared" si="17"/>
        <v>3</v>
      </c>
      <c r="C155" s="108">
        <v>40324</v>
      </c>
      <c r="D155" s="109">
        <f t="shared" si="18"/>
        <v>3</v>
      </c>
      <c r="E155" s="115">
        <v>40688</v>
      </c>
      <c r="F155" s="109">
        <f t="shared" si="19"/>
        <v>3</v>
      </c>
      <c r="G155" s="115">
        <v>41052</v>
      </c>
      <c r="H155" s="109">
        <f t="shared" si="20"/>
        <v>3</v>
      </c>
      <c r="I155" s="115">
        <v>41416</v>
      </c>
      <c r="J155" s="109">
        <f t="shared" si="23"/>
        <v>3</v>
      </c>
      <c r="K155" s="108">
        <f t="shared" si="21"/>
        <v>41780</v>
      </c>
      <c r="L155" s="109">
        <f t="shared" si="22"/>
        <v>3</v>
      </c>
      <c r="M155" s="110">
        <v>38573.742040508274</v>
      </c>
      <c r="N155" s="110">
        <v>37846.53631813918</v>
      </c>
      <c r="O155" s="110">
        <v>52895.178011810574</v>
      </c>
      <c r="P155" s="110">
        <v>55822.684260320151</v>
      </c>
      <c r="Q155" s="110">
        <v>29539.506744339291</v>
      </c>
      <c r="R155" s="116"/>
      <c r="S155" s="112">
        <v>500.83216666666669</v>
      </c>
      <c r="T155" s="112">
        <v>436.97408333333334</v>
      </c>
      <c r="U155" s="112">
        <v>309.51649166666681</v>
      </c>
      <c r="V155" s="112">
        <v>695.95638888888845</v>
      </c>
      <c r="W155" s="112">
        <v>578.298888888889</v>
      </c>
      <c r="X155" s="112"/>
    </row>
    <row r="156" spans="1:24" x14ac:dyDescent="0.35">
      <c r="A156" s="108">
        <v>39961</v>
      </c>
      <c r="B156" s="109">
        <f t="shared" si="17"/>
        <v>4</v>
      </c>
      <c r="C156" s="108">
        <v>40325</v>
      </c>
      <c r="D156" s="109">
        <f t="shared" si="18"/>
        <v>4</v>
      </c>
      <c r="E156" s="115">
        <v>40689</v>
      </c>
      <c r="F156" s="109">
        <f t="shared" si="19"/>
        <v>4</v>
      </c>
      <c r="G156" s="115">
        <v>41053</v>
      </c>
      <c r="H156" s="109">
        <f t="shared" si="20"/>
        <v>4</v>
      </c>
      <c r="I156" s="115">
        <v>41417</v>
      </c>
      <c r="J156" s="109">
        <f t="shared" si="23"/>
        <v>4</v>
      </c>
      <c r="K156" s="108">
        <f t="shared" si="21"/>
        <v>41781</v>
      </c>
      <c r="L156" s="109">
        <f t="shared" si="22"/>
        <v>4</v>
      </c>
      <c r="M156" s="110">
        <v>39169.171207174935</v>
      </c>
      <c r="N156" s="110">
        <v>38357.532654250324</v>
      </c>
      <c r="O156" s="110">
        <v>53410.72063958837</v>
      </c>
      <c r="P156" s="110">
        <v>56518.640649208995</v>
      </c>
      <c r="Q156" s="110">
        <v>30105.477161005947</v>
      </c>
      <c r="R156" s="116"/>
      <c r="S156" s="112">
        <v>595.42916666666667</v>
      </c>
      <c r="T156" s="112">
        <v>514.40319444444447</v>
      </c>
      <c r="U156" s="112">
        <v>410.56198888888872</v>
      </c>
      <c r="V156" s="112">
        <v>719.41172222222235</v>
      </c>
      <c r="W156" s="112">
        <v>565.97041666666689</v>
      </c>
      <c r="X156" s="112"/>
    </row>
    <row r="157" spans="1:24" x14ac:dyDescent="0.35">
      <c r="A157" s="108">
        <v>39962</v>
      </c>
      <c r="B157" s="109">
        <f t="shared" si="17"/>
        <v>5</v>
      </c>
      <c r="C157" s="108">
        <v>40326</v>
      </c>
      <c r="D157" s="109">
        <f t="shared" si="18"/>
        <v>5</v>
      </c>
      <c r="E157" s="115">
        <v>40690</v>
      </c>
      <c r="F157" s="109">
        <f t="shared" si="19"/>
        <v>5</v>
      </c>
      <c r="G157" s="115">
        <v>41054</v>
      </c>
      <c r="H157" s="109">
        <f t="shared" si="20"/>
        <v>5</v>
      </c>
      <c r="I157" s="115">
        <v>41418</v>
      </c>
      <c r="J157" s="109">
        <f t="shared" si="23"/>
        <v>5</v>
      </c>
      <c r="K157" s="108">
        <f t="shared" si="21"/>
        <v>41782</v>
      </c>
      <c r="L157" s="109">
        <f t="shared" si="22"/>
        <v>5</v>
      </c>
      <c r="M157" s="110">
        <v>39793.493262730481</v>
      </c>
      <c r="N157" s="110">
        <v>38884.837432028071</v>
      </c>
      <c r="O157" s="110">
        <v>53885.727081255027</v>
      </c>
      <c r="P157" s="110">
        <v>57238.052371431237</v>
      </c>
      <c r="Q157" s="110">
        <v>30612.12977211707</v>
      </c>
      <c r="R157" s="116"/>
      <c r="S157" s="112">
        <v>624.32205555555549</v>
      </c>
      <c r="T157" s="112">
        <v>527.30477777777776</v>
      </c>
      <c r="U157" s="112">
        <v>515.54262777777785</v>
      </c>
      <c r="V157" s="112">
        <v>672.08483333333356</v>
      </c>
      <c r="W157" s="112">
        <v>506.65261111111136</v>
      </c>
      <c r="X157" s="112"/>
    </row>
    <row r="158" spans="1:24" x14ac:dyDescent="0.35">
      <c r="A158" s="108">
        <v>39963</v>
      </c>
      <c r="B158" s="109">
        <f t="shared" si="17"/>
        <v>6</v>
      </c>
      <c r="C158" s="108">
        <v>40327</v>
      </c>
      <c r="D158" s="109">
        <f t="shared" si="18"/>
        <v>6</v>
      </c>
      <c r="E158" s="115">
        <v>40691</v>
      </c>
      <c r="F158" s="109">
        <f t="shared" si="19"/>
        <v>6</v>
      </c>
      <c r="G158" s="115">
        <v>41055</v>
      </c>
      <c r="H158" s="109">
        <f t="shared" si="20"/>
        <v>6</v>
      </c>
      <c r="I158" s="115">
        <v>41419</v>
      </c>
      <c r="J158" s="109">
        <f t="shared" si="23"/>
        <v>6</v>
      </c>
      <c r="K158" s="108">
        <f t="shared" si="21"/>
        <v>41783</v>
      </c>
      <c r="L158" s="109">
        <f t="shared" si="22"/>
        <v>6</v>
      </c>
      <c r="M158" s="110">
        <v>40450.211096063809</v>
      </c>
      <c r="N158" s="110">
        <v>39476.29493202809</v>
      </c>
      <c r="O158" s="110">
        <v>54520.056547921675</v>
      </c>
      <c r="P158" s="110">
        <v>57910.1372047646</v>
      </c>
      <c r="Q158" s="110">
        <v>31103.335105450409</v>
      </c>
      <c r="R158" s="116"/>
      <c r="S158" s="112">
        <v>656.71783333333337</v>
      </c>
      <c r="T158" s="112">
        <v>591.45749999999998</v>
      </c>
      <c r="U158" s="112">
        <v>475.00644166666677</v>
      </c>
      <c r="V158" s="112">
        <v>662.3756111111112</v>
      </c>
      <c r="W158" s="112">
        <v>491.20533333333333</v>
      </c>
      <c r="X158" s="112"/>
    </row>
    <row r="159" spans="1:24" x14ac:dyDescent="0.35">
      <c r="A159" s="108">
        <v>39964</v>
      </c>
      <c r="B159" s="109">
        <f t="shared" si="17"/>
        <v>7</v>
      </c>
      <c r="C159" s="108">
        <v>40328</v>
      </c>
      <c r="D159" s="109">
        <f t="shared" si="18"/>
        <v>7</v>
      </c>
      <c r="E159" s="115">
        <v>40692</v>
      </c>
      <c r="F159" s="109">
        <f t="shared" si="19"/>
        <v>7</v>
      </c>
      <c r="G159" s="115">
        <v>41056</v>
      </c>
      <c r="H159" s="109">
        <f t="shared" si="20"/>
        <v>7</v>
      </c>
      <c r="I159" s="115">
        <v>41420</v>
      </c>
      <c r="J159" s="109">
        <f t="shared" si="23"/>
        <v>7</v>
      </c>
      <c r="K159" s="108">
        <f t="shared" si="21"/>
        <v>41784</v>
      </c>
      <c r="L159" s="109">
        <f t="shared" si="22"/>
        <v>7</v>
      </c>
      <c r="M159" s="110">
        <v>41092.146096063829</v>
      </c>
      <c r="N159" s="110">
        <v>40127.079376472517</v>
      </c>
      <c r="O159" s="110">
        <v>55152.856647921682</v>
      </c>
      <c r="P159" s="110">
        <v>58572.512815875685</v>
      </c>
      <c r="Q159" s="110">
        <v>31649.375605450405</v>
      </c>
      <c r="R159" s="116"/>
      <c r="S159" s="112">
        <v>641.93499999999995</v>
      </c>
      <c r="T159" s="112">
        <v>650.78444444444449</v>
      </c>
      <c r="U159" s="112">
        <v>634.32946666666658</v>
      </c>
      <c r="V159" s="112">
        <v>565.27819444444469</v>
      </c>
      <c r="W159" s="112">
        <v>546.04050000000007</v>
      </c>
      <c r="X159" s="112"/>
    </row>
    <row r="160" spans="1:24" x14ac:dyDescent="0.35">
      <c r="A160" s="108">
        <v>39965</v>
      </c>
      <c r="B160" s="109">
        <f t="shared" si="17"/>
        <v>1</v>
      </c>
      <c r="C160" s="108">
        <v>40329</v>
      </c>
      <c r="D160" s="109">
        <f t="shared" si="18"/>
        <v>1</v>
      </c>
      <c r="E160" s="115">
        <v>40693</v>
      </c>
      <c r="F160" s="109">
        <f t="shared" si="19"/>
        <v>1</v>
      </c>
      <c r="G160" s="115">
        <v>41057</v>
      </c>
      <c r="H160" s="109">
        <f t="shared" si="20"/>
        <v>1</v>
      </c>
      <c r="I160" s="115">
        <v>41421</v>
      </c>
      <c r="J160" s="109">
        <f t="shared" si="23"/>
        <v>1</v>
      </c>
      <c r="K160" s="108">
        <f t="shared" si="21"/>
        <v>41785</v>
      </c>
      <c r="L160" s="109">
        <f t="shared" si="22"/>
        <v>1</v>
      </c>
      <c r="M160" s="110">
        <v>41751.320096063813</v>
      </c>
      <c r="N160" s="110">
        <v>40712.011904250277</v>
      </c>
      <c r="O160" s="110">
        <v>55630.694931254999</v>
      </c>
      <c r="P160" s="110">
        <v>59137.791010320165</v>
      </c>
      <c r="Q160" s="110">
        <v>32215.655022117073</v>
      </c>
      <c r="R160" s="116"/>
      <c r="S160" s="112">
        <v>659.17399999999998</v>
      </c>
      <c r="T160" s="112">
        <v>584.93166666666662</v>
      </c>
      <c r="U160" s="112">
        <v>632.80009999999993</v>
      </c>
      <c r="V160" s="112">
        <v>584.01869444444424</v>
      </c>
      <c r="W160" s="112">
        <v>565.04488888888886</v>
      </c>
      <c r="X160" s="112"/>
    </row>
    <row r="161" spans="1:24" x14ac:dyDescent="0.35">
      <c r="A161" s="108">
        <v>39966</v>
      </c>
      <c r="B161" s="109">
        <f t="shared" si="17"/>
        <v>2</v>
      </c>
      <c r="C161" s="108">
        <v>40330</v>
      </c>
      <c r="D161" s="109">
        <f t="shared" si="18"/>
        <v>2</v>
      </c>
      <c r="E161" s="115">
        <v>40694</v>
      </c>
      <c r="F161" s="109">
        <f t="shared" si="19"/>
        <v>2</v>
      </c>
      <c r="G161" s="115">
        <v>41058</v>
      </c>
      <c r="H161" s="109">
        <f t="shared" si="20"/>
        <v>2</v>
      </c>
      <c r="I161" s="115">
        <v>41422</v>
      </c>
      <c r="J161" s="109">
        <f t="shared" si="23"/>
        <v>2</v>
      </c>
      <c r="K161" s="108">
        <f t="shared" si="21"/>
        <v>41786</v>
      </c>
      <c r="L161" s="109">
        <f t="shared" si="22"/>
        <v>2</v>
      </c>
      <c r="M161" s="110">
        <v>42405.508040508263</v>
      </c>
      <c r="N161" s="110">
        <v>41152.072487583602</v>
      </c>
      <c r="O161" s="110">
        <v>56089.055984032791</v>
      </c>
      <c r="P161" s="110">
        <v>59721.809704764535</v>
      </c>
      <c r="Q161" s="110">
        <v>32763.734383228199</v>
      </c>
      <c r="R161" s="116"/>
      <c r="S161" s="112">
        <v>654.1879444444445</v>
      </c>
      <c r="T161" s="112">
        <v>440.06058333333334</v>
      </c>
      <c r="U161" s="112">
        <v>477.83828333333344</v>
      </c>
      <c r="V161" s="112">
        <v>560.32391666666672</v>
      </c>
      <c r="W161" s="112">
        <v>549.31388888888898</v>
      </c>
      <c r="X161" s="112"/>
    </row>
    <row r="162" spans="1:24" x14ac:dyDescent="0.35">
      <c r="A162" s="108">
        <v>39967</v>
      </c>
      <c r="B162" s="109">
        <f t="shared" si="17"/>
        <v>3</v>
      </c>
      <c r="C162" s="108">
        <v>40331</v>
      </c>
      <c r="D162" s="109">
        <f t="shared" si="18"/>
        <v>3</v>
      </c>
      <c r="E162" s="115">
        <v>40695</v>
      </c>
      <c r="F162" s="109">
        <f t="shared" si="19"/>
        <v>3</v>
      </c>
      <c r="G162" s="115">
        <v>41059</v>
      </c>
      <c r="H162" s="109">
        <f t="shared" si="20"/>
        <v>3</v>
      </c>
      <c r="I162" s="115">
        <v>41423</v>
      </c>
      <c r="J162" s="109">
        <f t="shared" si="23"/>
        <v>3</v>
      </c>
      <c r="K162" s="108">
        <f t="shared" si="21"/>
        <v>41787</v>
      </c>
      <c r="L162" s="109">
        <f t="shared" si="22"/>
        <v>3</v>
      </c>
      <c r="M162" s="110">
        <v>42931.19990161938</v>
      </c>
      <c r="N162" s="110">
        <v>41721.618709805851</v>
      </c>
      <c r="O162" s="110">
        <v>56632.628850699431</v>
      </c>
      <c r="P162" s="110">
        <v>60282.133621431247</v>
      </c>
      <c r="Q162" s="110">
        <v>33334.495411005948</v>
      </c>
      <c r="R162" s="116"/>
      <c r="S162" s="112">
        <v>525.69186111111105</v>
      </c>
      <c r="T162" s="112">
        <v>569.54622222222224</v>
      </c>
      <c r="U162" s="112">
        <v>507.22130277777791</v>
      </c>
      <c r="V162" s="112">
        <v>513.42097222222219</v>
      </c>
      <c r="W162" s="112">
        <v>570.76102777777794</v>
      </c>
      <c r="X162" s="112"/>
    </row>
    <row r="163" spans="1:24" x14ac:dyDescent="0.35">
      <c r="A163" s="108">
        <v>39968</v>
      </c>
      <c r="B163" s="109">
        <f t="shared" si="17"/>
        <v>4</v>
      </c>
      <c r="C163" s="108">
        <v>40332</v>
      </c>
      <c r="D163" s="109">
        <f t="shared" si="18"/>
        <v>4</v>
      </c>
      <c r="E163" s="115">
        <v>40696</v>
      </c>
      <c r="F163" s="109">
        <f t="shared" si="19"/>
        <v>4</v>
      </c>
      <c r="G163" s="115">
        <v>41060</v>
      </c>
      <c r="H163" s="109">
        <f t="shared" si="20"/>
        <v>4</v>
      </c>
      <c r="I163" s="115">
        <v>41424</v>
      </c>
      <c r="J163" s="109">
        <f t="shared" si="23"/>
        <v>4</v>
      </c>
      <c r="K163" s="108">
        <f t="shared" si="21"/>
        <v>41788</v>
      </c>
      <c r="L163" s="109">
        <f t="shared" si="22"/>
        <v>4</v>
      </c>
      <c r="M163" s="110">
        <v>43383.907846063812</v>
      </c>
      <c r="N163" s="110">
        <v>42083.042543139178</v>
      </c>
      <c r="O163" s="110">
        <v>57256.857861810568</v>
      </c>
      <c r="P163" s="110">
        <v>60576.934732542344</v>
      </c>
      <c r="Q163" s="110">
        <v>33932.2184943393</v>
      </c>
      <c r="R163" s="116"/>
      <c r="S163" s="112">
        <v>452.70794444444448</v>
      </c>
      <c r="T163" s="112">
        <v>361.42383333333333</v>
      </c>
      <c r="U163" s="112">
        <v>494.71433888888896</v>
      </c>
      <c r="V163" s="112">
        <v>513.48616666666669</v>
      </c>
      <c r="W163" s="112">
        <v>597.72308333333353</v>
      </c>
      <c r="X163" s="112"/>
    </row>
    <row r="164" spans="1:24" x14ac:dyDescent="0.35">
      <c r="A164" s="108">
        <v>39969</v>
      </c>
      <c r="B164" s="109">
        <f t="shared" ref="B164:B227" si="24">WEEKDAY(A164,2)</f>
        <v>5</v>
      </c>
      <c r="C164" s="108">
        <v>40333</v>
      </c>
      <c r="D164" s="109">
        <f t="shared" si="18"/>
        <v>5</v>
      </c>
      <c r="E164" s="115">
        <v>40697</v>
      </c>
      <c r="F164" s="109">
        <f t="shared" si="19"/>
        <v>5</v>
      </c>
      <c r="G164" s="115">
        <v>41061</v>
      </c>
      <c r="H164" s="109">
        <f t="shared" si="20"/>
        <v>5</v>
      </c>
      <c r="I164" s="115">
        <v>41425</v>
      </c>
      <c r="J164" s="109">
        <f t="shared" si="23"/>
        <v>5</v>
      </c>
      <c r="K164" s="108">
        <f t="shared" si="21"/>
        <v>41789</v>
      </c>
      <c r="L164" s="109">
        <f t="shared" si="22"/>
        <v>5</v>
      </c>
      <c r="M164" s="110">
        <v>43952.013818286054</v>
      </c>
      <c r="N164" s="110">
        <v>42524.916404250303</v>
      </c>
      <c r="O164" s="110">
        <v>57800.131522921671</v>
      </c>
      <c r="P164" s="110">
        <v>61236.321621431256</v>
      </c>
      <c r="Q164" s="110">
        <v>34567.349133228177</v>
      </c>
      <c r="R164" s="116"/>
      <c r="S164" s="112">
        <v>568.10597222222225</v>
      </c>
      <c r="T164" s="112">
        <v>441.87386111111107</v>
      </c>
      <c r="U164" s="112">
        <v>624.22901111111105</v>
      </c>
      <c r="V164" s="112">
        <v>719.48155555555559</v>
      </c>
      <c r="W164" s="112">
        <v>635.13063888888894</v>
      </c>
      <c r="X164" s="112"/>
    </row>
    <row r="165" spans="1:24" x14ac:dyDescent="0.35">
      <c r="A165" s="108">
        <v>39970</v>
      </c>
      <c r="B165" s="109">
        <f t="shared" si="24"/>
        <v>6</v>
      </c>
      <c r="C165" s="108">
        <v>40334</v>
      </c>
      <c r="D165" s="109">
        <f t="shared" ref="D165:D228" si="25">WEEKDAY(C165,2)</f>
        <v>6</v>
      </c>
      <c r="E165" s="115">
        <v>40698</v>
      </c>
      <c r="F165" s="109">
        <f t="shared" si="19"/>
        <v>6</v>
      </c>
      <c r="G165" s="115">
        <v>41062</v>
      </c>
      <c r="H165" s="109">
        <f t="shared" si="20"/>
        <v>6</v>
      </c>
      <c r="I165" s="115">
        <v>41426</v>
      </c>
      <c r="J165" s="109">
        <f t="shared" si="23"/>
        <v>6</v>
      </c>
      <c r="K165" s="108">
        <f t="shared" si="21"/>
        <v>41790</v>
      </c>
      <c r="L165" s="109">
        <f t="shared" si="22"/>
        <v>6</v>
      </c>
      <c r="M165" s="110">
        <v>44540.828623841604</v>
      </c>
      <c r="N165" s="110">
        <v>43041.313062583627</v>
      </c>
      <c r="O165" s="110">
        <v>58379.126847921674</v>
      </c>
      <c r="P165" s="110">
        <v>61955.80317698681</v>
      </c>
      <c r="Q165" s="110">
        <v>35217.433716561514</v>
      </c>
      <c r="R165" s="116"/>
      <c r="S165" s="112">
        <v>588.81480555555549</v>
      </c>
      <c r="T165" s="112">
        <v>519.79297222222226</v>
      </c>
      <c r="U165" s="112">
        <v>543.27366111111098</v>
      </c>
      <c r="V165" s="112">
        <v>685.47483333333287</v>
      </c>
      <c r="W165" s="112">
        <v>650.08458333333317</v>
      </c>
      <c r="X165" s="112"/>
    </row>
    <row r="166" spans="1:24" x14ac:dyDescent="0.35">
      <c r="A166" s="108">
        <v>39971</v>
      </c>
      <c r="B166" s="109">
        <f t="shared" si="24"/>
        <v>7</v>
      </c>
      <c r="C166" s="108">
        <v>40335</v>
      </c>
      <c r="D166" s="109">
        <f t="shared" si="25"/>
        <v>7</v>
      </c>
      <c r="E166" s="115">
        <v>40699</v>
      </c>
      <c r="F166" s="109">
        <f t="shared" ref="F166:F229" si="26">WEEKDAY(E166,2)</f>
        <v>7</v>
      </c>
      <c r="G166" s="115">
        <v>41063</v>
      </c>
      <c r="H166" s="109">
        <f t="shared" si="20"/>
        <v>7</v>
      </c>
      <c r="I166" s="115">
        <v>41427</v>
      </c>
      <c r="J166" s="109">
        <f t="shared" si="23"/>
        <v>7</v>
      </c>
      <c r="K166" s="108">
        <f t="shared" si="21"/>
        <v>41791</v>
      </c>
      <c r="L166" s="109">
        <f t="shared" si="22"/>
        <v>7</v>
      </c>
      <c r="M166" s="110">
        <v>45123.871901619386</v>
      </c>
      <c r="N166" s="110">
        <v>43607.736251472532</v>
      </c>
      <c r="O166" s="110">
        <v>58998.146897921702</v>
      </c>
      <c r="P166" s="110">
        <v>62641.278010320144</v>
      </c>
      <c r="Q166" s="110">
        <v>35900.740133228181</v>
      </c>
      <c r="R166" s="116"/>
      <c r="S166" s="112">
        <v>583.04327777777769</v>
      </c>
      <c r="T166" s="112">
        <v>569.80716666666672</v>
      </c>
      <c r="U166" s="112">
        <v>578.99532500000009</v>
      </c>
      <c r="V166" s="112">
        <v>581.21905555555566</v>
      </c>
      <c r="W166" s="112">
        <v>683.30641666666668</v>
      </c>
      <c r="X166" s="112"/>
    </row>
    <row r="167" spans="1:24" x14ac:dyDescent="0.35">
      <c r="A167" s="108">
        <v>39972</v>
      </c>
      <c r="B167" s="109">
        <f t="shared" si="24"/>
        <v>1</v>
      </c>
      <c r="C167" s="108">
        <v>40336</v>
      </c>
      <c r="D167" s="109">
        <f t="shared" si="25"/>
        <v>1</v>
      </c>
      <c r="E167" s="115">
        <v>40700</v>
      </c>
      <c r="F167" s="109">
        <f t="shared" si="26"/>
        <v>1</v>
      </c>
      <c r="G167" s="115">
        <v>41064</v>
      </c>
      <c r="H167" s="109">
        <f t="shared" si="20"/>
        <v>1</v>
      </c>
      <c r="I167" s="115">
        <v>41428</v>
      </c>
      <c r="J167" s="109">
        <f t="shared" si="23"/>
        <v>1</v>
      </c>
      <c r="K167" s="108">
        <f t="shared" si="21"/>
        <v>41792</v>
      </c>
      <c r="L167" s="109">
        <f t="shared" si="22"/>
        <v>1</v>
      </c>
      <c r="M167" s="110">
        <v>45569.049401619377</v>
      </c>
      <c r="N167" s="110">
        <v>43953.573429250297</v>
      </c>
      <c r="O167" s="110">
        <v>59471.413164588361</v>
      </c>
      <c r="P167" s="110">
        <v>63220.764538097923</v>
      </c>
      <c r="Q167" s="110">
        <v>36431.671772117079</v>
      </c>
      <c r="R167" s="116"/>
      <c r="S167" s="112">
        <v>445.17750000000001</v>
      </c>
      <c r="T167" s="112">
        <v>349.19730555555554</v>
      </c>
      <c r="U167" s="112">
        <v>619.02005000000008</v>
      </c>
      <c r="V167" s="112">
        <v>584.10380555555548</v>
      </c>
      <c r="W167" s="112">
        <v>530.93163888888898</v>
      </c>
      <c r="X167" s="112"/>
    </row>
    <row r="168" spans="1:24" x14ac:dyDescent="0.35">
      <c r="A168" s="108">
        <v>39973</v>
      </c>
      <c r="B168" s="109">
        <f t="shared" si="24"/>
        <v>2</v>
      </c>
      <c r="C168" s="108">
        <v>40337</v>
      </c>
      <c r="D168" s="109">
        <f t="shared" si="25"/>
        <v>2</v>
      </c>
      <c r="E168" s="115">
        <v>40701</v>
      </c>
      <c r="F168" s="109">
        <f t="shared" si="26"/>
        <v>2</v>
      </c>
      <c r="G168" s="115">
        <v>41065</v>
      </c>
      <c r="H168" s="109">
        <f t="shared" ref="H168:H231" si="27">WEEKDAY(G168,2)</f>
        <v>2</v>
      </c>
      <c r="I168" s="115">
        <v>41429</v>
      </c>
      <c r="J168" s="109">
        <f t="shared" si="23"/>
        <v>2</v>
      </c>
      <c r="K168" s="108">
        <f t="shared" si="21"/>
        <v>41793</v>
      </c>
      <c r="L168" s="109">
        <f t="shared" si="22"/>
        <v>2</v>
      </c>
      <c r="M168" s="110">
        <v>45910.23431828605</v>
      </c>
      <c r="N168" s="110">
        <v>44349.294004250303</v>
      </c>
      <c r="O168" s="110">
        <v>59949.967178477236</v>
      </c>
      <c r="P168" s="110">
        <v>63804.868343653477</v>
      </c>
      <c r="Q168" s="110">
        <v>37040.696077672619</v>
      </c>
      <c r="R168" s="116"/>
      <c r="S168" s="112">
        <v>341.18491666666665</v>
      </c>
      <c r="T168" s="112">
        <v>399.10024999999996</v>
      </c>
      <c r="U168" s="112">
        <v>473.26626666666664</v>
      </c>
      <c r="V168" s="112">
        <v>527.86166666666657</v>
      </c>
      <c r="W168" s="112">
        <v>609.02430555555566</v>
      </c>
      <c r="X168" s="112"/>
    </row>
    <row r="169" spans="1:24" x14ac:dyDescent="0.35">
      <c r="A169" s="108">
        <v>39974</v>
      </c>
      <c r="B169" s="109">
        <f t="shared" si="24"/>
        <v>3</v>
      </c>
      <c r="C169" s="108">
        <v>40338</v>
      </c>
      <c r="D169" s="109">
        <f t="shared" si="25"/>
        <v>3</v>
      </c>
      <c r="E169" s="115">
        <v>40702</v>
      </c>
      <c r="F169" s="109">
        <f t="shared" si="26"/>
        <v>3</v>
      </c>
      <c r="G169" s="115">
        <v>41066</v>
      </c>
      <c r="H169" s="109">
        <f t="shared" si="27"/>
        <v>3</v>
      </c>
      <c r="I169" s="115">
        <v>41430</v>
      </c>
      <c r="J169" s="109">
        <f t="shared" si="23"/>
        <v>3</v>
      </c>
      <c r="K169" s="108">
        <f t="shared" si="21"/>
        <v>41794</v>
      </c>
      <c r="L169" s="109">
        <f t="shared" si="22"/>
        <v>3</v>
      </c>
      <c r="M169" s="110">
        <v>46455.911790508275</v>
      </c>
      <c r="N169" s="110">
        <v>44830.426812583646</v>
      </c>
      <c r="O169" s="110">
        <v>60478.486047921702</v>
      </c>
      <c r="P169" s="110">
        <v>64332.727510320139</v>
      </c>
      <c r="Q169" s="110">
        <v>37658.275494339294</v>
      </c>
      <c r="R169" s="116"/>
      <c r="S169" s="112">
        <v>545.67747222222215</v>
      </c>
      <c r="T169" s="112">
        <v>484.53541666666666</v>
      </c>
      <c r="U169" s="112">
        <v>478.55401388888896</v>
      </c>
      <c r="V169" s="112">
        <v>502.6772777777777</v>
      </c>
      <c r="W169" s="112">
        <v>617.57941666666682</v>
      </c>
      <c r="X169" s="112"/>
    </row>
    <row r="170" spans="1:24" x14ac:dyDescent="0.35">
      <c r="A170" s="108">
        <v>39975</v>
      </c>
      <c r="B170" s="109">
        <f t="shared" si="24"/>
        <v>4</v>
      </c>
      <c r="C170" s="108">
        <v>40339</v>
      </c>
      <c r="D170" s="109">
        <f t="shared" si="25"/>
        <v>4</v>
      </c>
      <c r="E170" s="115">
        <v>40703</v>
      </c>
      <c r="F170" s="109">
        <f t="shared" si="26"/>
        <v>4</v>
      </c>
      <c r="G170" s="115">
        <v>41067</v>
      </c>
      <c r="H170" s="109">
        <f t="shared" si="27"/>
        <v>4</v>
      </c>
      <c r="I170" s="115">
        <v>41431</v>
      </c>
      <c r="J170" s="109">
        <f t="shared" si="23"/>
        <v>4</v>
      </c>
      <c r="K170" s="108">
        <f t="shared" ref="K170:K233" si="28">K169+1</f>
        <v>41795</v>
      </c>
      <c r="L170" s="109">
        <f t="shared" si="22"/>
        <v>4</v>
      </c>
      <c r="M170" s="110">
        <v>47018.873901619401</v>
      </c>
      <c r="N170" s="110">
        <v>45326.938387583643</v>
      </c>
      <c r="O170" s="110">
        <v>61053.938589588361</v>
      </c>
      <c r="P170" s="110">
        <v>64835.404788097898</v>
      </c>
      <c r="Q170" s="110">
        <v>38240.555105450396</v>
      </c>
      <c r="R170" s="116"/>
      <c r="S170" s="112">
        <v>562.96211111111108</v>
      </c>
      <c r="T170" s="112">
        <v>499.87463888888885</v>
      </c>
      <c r="U170" s="112">
        <v>528.51886944444425</v>
      </c>
      <c r="V170" s="112">
        <v>541.08208333333346</v>
      </c>
      <c r="W170" s="112">
        <v>582.27961111111108</v>
      </c>
      <c r="X170" s="112"/>
    </row>
    <row r="171" spans="1:24" x14ac:dyDescent="0.35">
      <c r="A171" s="108">
        <v>39976</v>
      </c>
      <c r="B171" s="109">
        <f t="shared" si="24"/>
        <v>5</v>
      </c>
      <c r="C171" s="108">
        <v>40340</v>
      </c>
      <c r="D171" s="109">
        <f t="shared" si="25"/>
        <v>5</v>
      </c>
      <c r="E171" s="115">
        <v>40704</v>
      </c>
      <c r="F171" s="109">
        <f t="shared" si="26"/>
        <v>5</v>
      </c>
      <c r="G171" s="115">
        <v>41068</v>
      </c>
      <c r="H171" s="109">
        <f t="shared" si="27"/>
        <v>5</v>
      </c>
      <c r="I171" s="115">
        <v>41432</v>
      </c>
      <c r="J171" s="109">
        <f t="shared" si="23"/>
        <v>5</v>
      </c>
      <c r="K171" s="108">
        <f t="shared" si="28"/>
        <v>41796</v>
      </c>
      <c r="L171" s="109">
        <f t="shared" si="22"/>
        <v>5</v>
      </c>
      <c r="M171" s="110">
        <v>47571.831290508264</v>
      </c>
      <c r="N171" s="110">
        <v>45791.162059805843</v>
      </c>
      <c r="O171" s="110">
        <v>61551.492853477241</v>
      </c>
      <c r="P171" s="110">
        <v>65376.486871431232</v>
      </c>
      <c r="Q171" s="110">
        <v>38815.167383228181</v>
      </c>
      <c r="R171" s="116"/>
      <c r="S171" s="112">
        <v>552.95738888888889</v>
      </c>
      <c r="T171" s="112">
        <v>467.59911111111114</v>
      </c>
      <c r="U171" s="112">
        <v>575.45254166666666</v>
      </c>
      <c r="V171" s="112">
        <v>600.02183333333346</v>
      </c>
      <c r="W171" s="112">
        <v>574.61227777777799</v>
      </c>
      <c r="X171" s="112"/>
    </row>
    <row r="172" spans="1:24" x14ac:dyDescent="0.35">
      <c r="A172" s="108">
        <v>39977</v>
      </c>
      <c r="B172" s="109">
        <f t="shared" si="24"/>
        <v>6</v>
      </c>
      <c r="C172" s="108">
        <v>40341</v>
      </c>
      <c r="D172" s="109">
        <f t="shared" si="25"/>
        <v>6</v>
      </c>
      <c r="E172" s="115">
        <v>40705</v>
      </c>
      <c r="F172" s="109">
        <f t="shared" si="26"/>
        <v>6</v>
      </c>
      <c r="G172" s="115">
        <v>41069</v>
      </c>
      <c r="H172" s="109">
        <f t="shared" si="27"/>
        <v>6</v>
      </c>
      <c r="I172" s="115">
        <v>41433</v>
      </c>
      <c r="J172" s="109">
        <f t="shared" si="23"/>
        <v>6</v>
      </c>
      <c r="K172" s="108">
        <f t="shared" si="28"/>
        <v>41797</v>
      </c>
      <c r="L172" s="109">
        <f t="shared" si="22"/>
        <v>6</v>
      </c>
      <c r="M172" s="110">
        <v>48179.210318286037</v>
      </c>
      <c r="N172" s="110">
        <v>46336.16442647254</v>
      </c>
      <c r="O172" s="110">
        <v>62039.864242366122</v>
      </c>
      <c r="P172" s="110">
        <v>65976.508704764594</v>
      </c>
      <c r="Q172" s="110">
        <v>39559.641188783738</v>
      </c>
      <c r="R172" s="116"/>
      <c r="S172" s="112">
        <v>607.37902777777776</v>
      </c>
      <c r="T172" s="112">
        <v>548.36611111111108</v>
      </c>
      <c r="U172" s="112">
        <v>497.55426388888878</v>
      </c>
      <c r="V172" s="112">
        <v>644.7311111111112</v>
      </c>
      <c r="W172" s="112">
        <v>744.47380555555583</v>
      </c>
      <c r="X172" s="112"/>
    </row>
    <row r="173" spans="1:24" x14ac:dyDescent="0.35">
      <c r="A173" s="108">
        <v>39978</v>
      </c>
      <c r="B173" s="109">
        <f t="shared" si="24"/>
        <v>7</v>
      </c>
      <c r="C173" s="108">
        <v>40342</v>
      </c>
      <c r="D173" s="109">
        <f t="shared" si="25"/>
        <v>7</v>
      </c>
      <c r="E173" s="115">
        <v>40706</v>
      </c>
      <c r="F173" s="109">
        <f t="shared" si="26"/>
        <v>7</v>
      </c>
      <c r="G173" s="115">
        <v>41070</v>
      </c>
      <c r="H173" s="109">
        <f t="shared" si="27"/>
        <v>7</v>
      </c>
      <c r="I173" s="115">
        <v>41434</v>
      </c>
      <c r="J173" s="109">
        <f t="shared" si="23"/>
        <v>7</v>
      </c>
      <c r="K173" s="108">
        <f t="shared" si="28"/>
        <v>41798</v>
      </c>
      <c r="L173" s="109">
        <f t="shared" si="22"/>
        <v>7</v>
      </c>
      <c r="M173" s="110">
        <v>48701.688040508277</v>
      </c>
      <c r="N173" s="110">
        <v>46943.344307028077</v>
      </c>
      <c r="O173" s="110">
        <v>62547.041489588359</v>
      </c>
      <c r="P173" s="110">
        <v>66621.239815875699</v>
      </c>
      <c r="Q173" s="110">
        <v>40229.376772117059</v>
      </c>
      <c r="R173" s="116"/>
      <c r="S173" s="112">
        <v>522.47772222222227</v>
      </c>
      <c r="T173" s="112">
        <v>609.8819722222222</v>
      </c>
      <c r="U173" s="112">
        <v>488.37138888888876</v>
      </c>
      <c r="V173" s="112">
        <v>406.84669444444449</v>
      </c>
      <c r="W173" s="112">
        <v>669.73558333333347</v>
      </c>
      <c r="X173" s="112"/>
    </row>
    <row r="174" spans="1:24" x14ac:dyDescent="0.35">
      <c r="A174" s="108">
        <v>39979</v>
      </c>
      <c r="B174" s="109">
        <f t="shared" si="24"/>
        <v>1</v>
      </c>
      <c r="C174" s="108">
        <v>40343</v>
      </c>
      <c r="D174" s="109">
        <f t="shared" si="25"/>
        <v>1</v>
      </c>
      <c r="E174" s="115">
        <v>40707</v>
      </c>
      <c r="F174" s="109">
        <f t="shared" si="26"/>
        <v>1</v>
      </c>
      <c r="G174" s="115">
        <v>41071</v>
      </c>
      <c r="H174" s="109">
        <f t="shared" si="27"/>
        <v>1</v>
      </c>
      <c r="I174" s="115">
        <v>41435</v>
      </c>
      <c r="J174" s="109">
        <f t="shared" si="23"/>
        <v>1</v>
      </c>
      <c r="K174" s="108">
        <f t="shared" si="28"/>
        <v>41799</v>
      </c>
      <c r="L174" s="109">
        <f t="shared" si="22"/>
        <v>1</v>
      </c>
      <c r="M174" s="110">
        <v>49156.281623841605</v>
      </c>
      <c r="N174" s="110">
        <v>47433.413029250281</v>
      </c>
      <c r="O174" s="110">
        <v>63029.986692366139</v>
      </c>
      <c r="P174" s="110">
        <v>67028.086510320136</v>
      </c>
      <c r="Q174" s="110">
        <v>40769.605855450398</v>
      </c>
      <c r="R174" s="116"/>
      <c r="S174" s="112">
        <v>454.5935833333333</v>
      </c>
      <c r="T174" s="112">
        <v>490.06872222222222</v>
      </c>
      <c r="U174" s="112">
        <v>507.17724722222238</v>
      </c>
      <c r="V174" s="112">
        <v>469.18900000000008</v>
      </c>
      <c r="W174" s="112">
        <v>540.22908333333328</v>
      </c>
      <c r="X174" s="112"/>
    </row>
    <row r="175" spans="1:24" x14ac:dyDescent="0.35">
      <c r="A175" s="108">
        <v>39980</v>
      </c>
      <c r="B175" s="109">
        <f t="shared" si="24"/>
        <v>2</v>
      </c>
      <c r="C175" s="108">
        <v>40344</v>
      </c>
      <c r="D175" s="109">
        <f t="shared" si="25"/>
        <v>2</v>
      </c>
      <c r="E175" s="115">
        <v>40708</v>
      </c>
      <c r="F175" s="109">
        <f t="shared" si="26"/>
        <v>2</v>
      </c>
      <c r="G175" s="115">
        <v>41072</v>
      </c>
      <c r="H175" s="109">
        <f t="shared" si="27"/>
        <v>2</v>
      </c>
      <c r="I175" s="115">
        <v>41436</v>
      </c>
      <c r="J175" s="109">
        <f t="shared" si="23"/>
        <v>2</v>
      </c>
      <c r="K175" s="108">
        <f t="shared" si="28"/>
        <v>41800</v>
      </c>
      <c r="L175" s="109">
        <f t="shared" si="22"/>
        <v>2</v>
      </c>
      <c r="M175" s="110">
        <v>49615.962012730495</v>
      </c>
      <c r="N175" s="110">
        <v>47953.451112583622</v>
      </c>
      <c r="O175" s="110">
        <v>63539.326653477263</v>
      </c>
      <c r="P175" s="110">
        <v>67497.275510320149</v>
      </c>
      <c r="Q175" s="110">
        <v>41336.393188783717</v>
      </c>
      <c r="R175" s="116"/>
      <c r="S175" s="112">
        <v>459.68038888888884</v>
      </c>
      <c r="T175" s="112">
        <v>520.03808333333336</v>
      </c>
      <c r="U175" s="112">
        <v>482.94520277777787</v>
      </c>
      <c r="V175" s="112">
        <v>524.87805555555565</v>
      </c>
      <c r="W175" s="112">
        <v>566.78733333333332</v>
      </c>
      <c r="X175" s="112"/>
    </row>
    <row r="176" spans="1:24" x14ac:dyDescent="0.35">
      <c r="A176" s="108">
        <v>39981</v>
      </c>
      <c r="B176" s="109">
        <f t="shared" si="24"/>
        <v>3</v>
      </c>
      <c r="C176" s="108">
        <v>40345</v>
      </c>
      <c r="D176" s="109">
        <f t="shared" si="25"/>
        <v>3</v>
      </c>
      <c r="E176" s="115">
        <v>40709</v>
      </c>
      <c r="F176" s="109">
        <f t="shared" si="26"/>
        <v>3</v>
      </c>
      <c r="G176" s="115">
        <v>41073</v>
      </c>
      <c r="H176" s="109">
        <f t="shared" si="27"/>
        <v>3</v>
      </c>
      <c r="I176" s="115">
        <v>41437</v>
      </c>
      <c r="J176" s="109">
        <f t="shared" si="23"/>
        <v>3</v>
      </c>
      <c r="K176" s="108">
        <f t="shared" si="28"/>
        <v>41801</v>
      </c>
      <c r="L176" s="109">
        <f t="shared" si="22"/>
        <v>3</v>
      </c>
      <c r="M176" s="110">
        <v>50124.029429397153</v>
      </c>
      <c r="N176" s="110">
        <v>48387.98326951835</v>
      </c>
      <c r="O176" s="110">
        <v>64032.189700699477</v>
      </c>
      <c r="P176" s="110">
        <v>68022.153565875691</v>
      </c>
      <c r="Q176" s="110">
        <v>41877.072827672608</v>
      </c>
      <c r="R176" s="116"/>
      <c r="S176" s="112">
        <v>508.06741666666665</v>
      </c>
      <c r="T176" s="112">
        <v>434.59563888888891</v>
      </c>
      <c r="U176" s="112">
        <v>509.33996111111128</v>
      </c>
      <c r="V176" s="112">
        <v>489.70927777777763</v>
      </c>
      <c r="W176" s="112">
        <v>540.67963888888892</v>
      </c>
      <c r="X176" s="112"/>
    </row>
    <row r="177" spans="1:24" x14ac:dyDescent="0.35">
      <c r="A177" s="108">
        <v>39982</v>
      </c>
      <c r="B177" s="109">
        <f t="shared" si="24"/>
        <v>4</v>
      </c>
      <c r="C177" s="108">
        <v>40346</v>
      </c>
      <c r="D177" s="109">
        <f t="shared" si="25"/>
        <v>4</v>
      </c>
      <c r="E177" s="115">
        <v>40710</v>
      </c>
      <c r="F177" s="109">
        <f t="shared" si="26"/>
        <v>4</v>
      </c>
      <c r="G177" s="115">
        <v>41074</v>
      </c>
      <c r="H177" s="109">
        <f t="shared" si="27"/>
        <v>4</v>
      </c>
      <c r="I177" s="115">
        <v>41438</v>
      </c>
      <c r="J177" s="109">
        <f t="shared" si="23"/>
        <v>4</v>
      </c>
      <c r="K177" s="108">
        <f t="shared" si="28"/>
        <v>41802</v>
      </c>
      <c r="L177" s="109">
        <f t="shared" si="22"/>
        <v>4</v>
      </c>
      <c r="M177" s="110">
        <v>50668.296901619397</v>
      </c>
      <c r="N177" s="110">
        <v>48807.216467864753</v>
      </c>
      <c r="O177" s="110">
        <v>64520.886714588356</v>
      </c>
      <c r="P177" s="110">
        <v>68511.862843653464</v>
      </c>
      <c r="Q177" s="110">
        <v>42585.161633228156</v>
      </c>
      <c r="R177" s="116"/>
      <c r="S177" s="112">
        <v>544.26747222222218</v>
      </c>
      <c r="T177" s="112">
        <v>419.23738888888892</v>
      </c>
      <c r="U177" s="112">
        <v>492.86304722222224</v>
      </c>
      <c r="V177" s="112">
        <v>598.48925000000008</v>
      </c>
      <c r="W177" s="112">
        <v>708.08880555555561</v>
      </c>
      <c r="X177" s="112"/>
    </row>
    <row r="178" spans="1:24" x14ac:dyDescent="0.35">
      <c r="A178" s="108">
        <v>39983</v>
      </c>
      <c r="B178" s="109">
        <f t="shared" si="24"/>
        <v>5</v>
      </c>
      <c r="C178" s="108">
        <v>40347</v>
      </c>
      <c r="D178" s="109">
        <f t="shared" si="25"/>
        <v>5</v>
      </c>
      <c r="E178" s="115">
        <v>40711</v>
      </c>
      <c r="F178" s="109">
        <f t="shared" si="26"/>
        <v>5</v>
      </c>
      <c r="G178" s="115">
        <v>41075</v>
      </c>
      <c r="H178" s="109">
        <f t="shared" si="27"/>
        <v>5</v>
      </c>
      <c r="I178" s="115">
        <v>41439</v>
      </c>
      <c r="J178" s="109">
        <f t="shared" si="23"/>
        <v>5</v>
      </c>
      <c r="K178" s="108">
        <f t="shared" si="28"/>
        <v>41803</v>
      </c>
      <c r="L178" s="109">
        <f t="shared" si="22"/>
        <v>5</v>
      </c>
      <c r="M178" s="110">
        <v>51275.366623841597</v>
      </c>
      <c r="N178" s="110">
        <v>49313.670220638094</v>
      </c>
      <c r="O178" s="110">
        <v>65021.23597292167</v>
      </c>
      <c r="P178" s="110">
        <v>69110.352093653448</v>
      </c>
      <c r="Q178" s="110">
        <v>43215.928772117062</v>
      </c>
      <c r="R178" s="116"/>
      <c r="S178" s="112">
        <v>607.06972222222225</v>
      </c>
      <c r="T178" s="112">
        <v>506.45858333333331</v>
      </c>
      <c r="U178" s="112">
        <v>488.69701388888888</v>
      </c>
      <c r="V178" s="112">
        <v>635.33511111111125</v>
      </c>
      <c r="W178" s="112">
        <v>630.76713888888878</v>
      </c>
      <c r="X178" s="112"/>
    </row>
    <row r="179" spans="1:24" x14ac:dyDescent="0.35">
      <c r="A179" s="108">
        <v>39984</v>
      </c>
      <c r="B179" s="109">
        <f t="shared" si="24"/>
        <v>6</v>
      </c>
      <c r="C179" s="108">
        <v>40348</v>
      </c>
      <c r="D179" s="109">
        <f t="shared" si="25"/>
        <v>6</v>
      </c>
      <c r="E179" s="115">
        <v>40712</v>
      </c>
      <c r="F179" s="109">
        <f t="shared" si="26"/>
        <v>6</v>
      </c>
      <c r="G179" s="115">
        <v>41076</v>
      </c>
      <c r="H179" s="109">
        <f t="shared" si="27"/>
        <v>6</v>
      </c>
      <c r="I179" s="115">
        <v>41440</v>
      </c>
      <c r="J179" s="109">
        <f t="shared" si="23"/>
        <v>6</v>
      </c>
      <c r="K179" s="108">
        <f t="shared" si="28"/>
        <v>41804</v>
      </c>
      <c r="L179" s="109">
        <f t="shared" si="22"/>
        <v>6</v>
      </c>
      <c r="M179" s="110">
        <v>51941.173012730491</v>
      </c>
      <c r="N179" s="110">
        <v>49958.754498415859</v>
      </c>
      <c r="O179" s="110">
        <v>65567.49357014391</v>
      </c>
      <c r="P179" s="110">
        <v>69745.687204764588</v>
      </c>
      <c r="Q179" s="110">
        <v>43879.61652211706</v>
      </c>
      <c r="R179" s="116"/>
      <c r="S179" s="112">
        <v>665.80638888888893</v>
      </c>
      <c r="T179" s="112">
        <v>645.08427777777774</v>
      </c>
      <c r="U179" s="112">
        <v>500.34925833333324</v>
      </c>
      <c r="V179" s="112">
        <v>608.67988888888897</v>
      </c>
      <c r="W179" s="112">
        <v>663.68774999999994</v>
      </c>
      <c r="X179" s="112"/>
    </row>
    <row r="180" spans="1:24" x14ac:dyDescent="0.35">
      <c r="A180" s="108">
        <v>39985</v>
      </c>
      <c r="B180" s="109">
        <f t="shared" si="24"/>
        <v>7</v>
      </c>
      <c r="C180" s="108">
        <v>40349</v>
      </c>
      <c r="D180" s="109">
        <f t="shared" si="25"/>
        <v>7</v>
      </c>
      <c r="E180" s="115">
        <v>40713</v>
      </c>
      <c r="F180" s="109">
        <f t="shared" si="26"/>
        <v>7</v>
      </c>
      <c r="G180" s="115">
        <v>41077</v>
      </c>
      <c r="H180" s="109">
        <f t="shared" si="27"/>
        <v>7</v>
      </c>
      <c r="I180" s="115">
        <v>41441</v>
      </c>
      <c r="J180" s="109">
        <f t="shared" si="23"/>
        <v>7</v>
      </c>
      <c r="K180" s="108">
        <f t="shared" si="28"/>
        <v>41805</v>
      </c>
      <c r="L180" s="109">
        <f t="shared" si="22"/>
        <v>7</v>
      </c>
      <c r="M180" s="110">
        <v>52628.275484952712</v>
      </c>
      <c r="N180" s="110">
        <v>50665.048609526959</v>
      </c>
      <c r="O180" s="110">
        <v>66219.185109032784</v>
      </c>
      <c r="P180" s="110">
        <v>70354.367093653476</v>
      </c>
      <c r="Q180" s="110">
        <v>44404.911299894855</v>
      </c>
      <c r="R180" s="116"/>
      <c r="S180" s="112">
        <v>687.10247222222222</v>
      </c>
      <c r="T180" s="112">
        <v>706.29411111111108</v>
      </c>
      <c r="U180" s="112">
        <v>546.25759722222233</v>
      </c>
      <c r="V180" s="112">
        <v>452.94927777777787</v>
      </c>
      <c r="W180" s="112">
        <v>525.29477777777765</v>
      </c>
      <c r="X180" s="112"/>
    </row>
    <row r="181" spans="1:24" x14ac:dyDescent="0.35">
      <c r="A181" s="108">
        <v>39986</v>
      </c>
      <c r="B181" s="109">
        <f t="shared" si="24"/>
        <v>1</v>
      </c>
      <c r="C181" s="108">
        <v>40350</v>
      </c>
      <c r="D181" s="109">
        <f t="shared" si="25"/>
        <v>1</v>
      </c>
      <c r="E181" s="115">
        <v>40714</v>
      </c>
      <c r="F181" s="109">
        <f t="shared" si="26"/>
        <v>1</v>
      </c>
      <c r="G181" s="115">
        <v>41078</v>
      </c>
      <c r="H181" s="109">
        <f t="shared" si="27"/>
        <v>1</v>
      </c>
      <c r="I181" s="115">
        <v>41442</v>
      </c>
      <c r="J181" s="109">
        <f t="shared" si="23"/>
        <v>1</v>
      </c>
      <c r="K181" s="108">
        <f t="shared" si="28"/>
        <v>41806</v>
      </c>
      <c r="L181" s="109">
        <f t="shared" si="22"/>
        <v>1</v>
      </c>
      <c r="M181" s="110">
        <v>53252.096957174945</v>
      </c>
      <c r="N181" s="110">
        <v>51228.904942860288</v>
      </c>
      <c r="O181" s="110">
        <v>66752.541922921693</v>
      </c>
      <c r="P181" s="110">
        <v>70807.31637143124</v>
      </c>
      <c r="Q181" s="110">
        <v>44936.261466561504</v>
      </c>
      <c r="R181" s="116"/>
      <c r="S181" s="112">
        <v>623.82147222222216</v>
      </c>
      <c r="T181" s="112">
        <v>563.8563333333334</v>
      </c>
      <c r="U181" s="112">
        <v>651.691538888889</v>
      </c>
      <c r="V181" s="112">
        <v>367.9997222222222</v>
      </c>
      <c r="W181" s="112">
        <v>531.35016666666661</v>
      </c>
      <c r="X181" s="112"/>
    </row>
    <row r="182" spans="1:24" x14ac:dyDescent="0.35">
      <c r="A182" s="108">
        <v>39987</v>
      </c>
      <c r="B182" s="109">
        <f t="shared" si="24"/>
        <v>2</v>
      </c>
      <c r="C182" s="108">
        <v>40351</v>
      </c>
      <c r="D182" s="109">
        <f t="shared" si="25"/>
        <v>2</v>
      </c>
      <c r="E182" s="115">
        <v>40715</v>
      </c>
      <c r="F182" s="109">
        <f t="shared" si="26"/>
        <v>2</v>
      </c>
      <c r="G182" s="115">
        <v>41079</v>
      </c>
      <c r="H182" s="109">
        <f t="shared" si="27"/>
        <v>2</v>
      </c>
      <c r="I182" s="115">
        <v>41443</v>
      </c>
      <c r="J182" s="109">
        <f t="shared" si="23"/>
        <v>2</v>
      </c>
      <c r="K182" s="108">
        <f t="shared" si="28"/>
        <v>41807</v>
      </c>
      <c r="L182" s="109">
        <f t="shared" si="22"/>
        <v>2</v>
      </c>
      <c r="M182" s="110">
        <v>53867.773207174963</v>
      </c>
      <c r="N182" s="110">
        <v>51791.509831749208</v>
      </c>
      <c r="O182" s="110">
        <v>67182.170506255017</v>
      </c>
      <c r="P182" s="110">
        <v>71175.316093653455</v>
      </c>
      <c r="Q182" s="110">
        <v>45354.32057767261</v>
      </c>
      <c r="R182" s="116"/>
      <c r="S182" s="112">
        <v>615.67624999999998</v>
      </c>
      <c r="T182" s="112">
        <v>562.60488888888892</v>
      </c>
      <c r="U182" s="112">
        <v>533.35681388888872</v>
      </c>
      <c r="V182" s="112">
        <v>326.44458333333341</v>
      </c>
      <c r="W182" s="112">
        <v>418.05911111111112</v>
      </c>
      <c r="X182" s="112"/>
    </row>
    <row r="183" spans="1:24" x14ac:dyDescent="0.35">
      <c r="A183" s="108">
        <v>39988</v>
      </c>
      <c r="B183" s="109">
        <f t="shared" si="24"/>
        <v>3</v>
      </c>
      <c r="C183" s="108">
        <v>40352</v>
      </c>
      <c r="D183" s="109">
        <f t="shared" si="25"/>
        <v>3</v>
      </c>
      <c r="E183" s="115">
        <v>40716</v>
      </c>
      <c r="F183" s="109">
        <f t="shared" si="26"/>
        <v>3</v>
      </c>
      <c r="G183" s="115">
        <v>41080</v>
      </c>
      <c r="H183" s="109">
        <f t="shared" si="27"/>
        <v>3</v>
      </c>
      <c r="I183" s="115">
        <v>41444</v>
      </c>
      <c r="J183" s="109">
        <f t="shared" si="23"/>
        <v>3</v>
      </c>
      <c r="K183" s="108">
        <f t="shared" si="28"/>
        <v>41808</v>
      </c>
      <c r="L183" s="109">
        <f t="shared" si="22"/>
        <v>3</v>
      </c>
      <c r="M183" s="110">
        <v>54428.069401619381</v>
      </c>
      <c r="N183" s="110">
        <v>52287.719242460291</v>
      </c>
      <c r="O183" s="110">
        <v>67574.452509032795</v>
      </c>
      <c r="P183" s="110">
        <v>71501.760676986785</v>
      </c>
      <c r="Q183" s="110">
        <v>45747.278438783746</v>
      </c>
      <c r="R183" s="116"/>
      <c r="S183" s="112">
        <v>560.2961944444445</v>
      </c>
      <c r="T183" s="112">
        <v>496.2135833333333</v>
      </c>
      <c r="U183" s="112">
        <v>429.62858333333332</v>
      </c>
      <c r="V183" s="112">
        <v>440.01125000000008</v>
      </c>
      <c r="W183" s="112">
        <v>392.95786111111107</v>
      </c>
      <c r="X183" s="112"/>
    </row>
    <row r="184" spans="1:24" x14ac:dyDescent="0.35">
      <c r="A184" s="108">
        <v>39989</v>
      </c>
      <c r="B184" s="109">
        <f t="shared" si="24"/>
        <v>4</v>
      </c>
      <c r="C184" s="108">
        <v>40353</v>
      </c>
      <c r="D184" s="109">
        <f t="shared" si="25"/>
        <v>4</v>
      </c>
      <c r="E184" s="115">
        <v>40717</v>
      </c>
      <c r="F184" s="109">
        <f t="shared" si="26"/>
        <v>4</v>
      </c>
      <c r="G184" s="115">
        <v>41081</v>
      </c>
      <c r="H184" s="109">
        <f t="shared" si="27"/>
        <v>4</v>
      </c>
      <c r="I184" s="115">
        <v>41445</v>
      </c>
      <c r="J184" s="109">
        <f t="shared" si="23"/>
        <v>4</v>
      </c>
      <c r="K184" s="108">
        <f t="shared" si="28"/>
        <v>41809</v>
      </c>
      <c r="L184" s="109">
        <f t="shared" si="22"/>
        <v>4</v>
      </c>
      <c r="M184" s="110">
        <v>55005.649207174938</v>
      </c>
      <c r="N184" s="110">
        <v>52817.542381349187</v>
      </c>
      <c r="O184" s="110">
        <v>67942.063950699463</v>
      </c>
      <c r="P184" s="110">
        <v>71941.771926986825</v>
      </c>
      <c r="Q184" s="110">
        <v>46277.578383228181</v>
      </c>
      <c r="R184" s="116"/>
      <c r="S184" s="112">
        <v>577.57980555555559</v>
      </c>
      <c r="T184" s="112">
        <v>529.82313888888893</v>
      </c>
      <c r="U184" s="112">
        <v>392.28200277777779</v>
      </c>
      <c r="V184" s="112">
        <v>411.29011111111123</v>
      </c>
      <c r="W184" s="112">
        <v>530.29994444444435</v>
      </c>
      <c r="X184" s="112"/>
    </row>
    <row r="185" spans="1:24" x14ac:dyDescent="0.35">
      <c r="A185" s="108">
        <v>39990</v>
      </c>
      <c r="B185" s="109">
        <f t="shared" si="24"/>
        <v>5</v>
      </c>
      <c r="C185" s="108">
        <v>40354</v>
      </c>
      <c r="D185" s="109">
        <f t="shared" si="25"/>
        <v>5</v>
      </c>
      <c r="E185" s="115">
        <v>40718</v>
      </c>
      <c r="F185" s="109">
        <f t="shared" si="26"/>
        <v>5</v>
      </c>
      <c r="G185" s="115">
        <v>41082</v>
      </c>
      <c r="H185" s="109">
        <f t="shared" si="27"/>
        <v>5</v>
      </c>
      <c r="I185" s="115">
        <v>41446</v>
      </c>
      <c r="J185" s="109">
        <f t="shared" si="23"/>
        <v>5</v>
      </c>
      <c r="K185" s="108">
        <f t="shared" si="28"/>
        <v>41810</v>
      </c>
      <c r="L185" s="109">
        <f t="shared" si="22"/>
        <v>5</v>
      </c>
      <c r="M185" s="110">
        <v>55604.65706828604</v>
      </c>
      <c r="N185" s="110">
        <v>53460.422603571387</v>
      </c>
      <c r="O185" s="110">
        <v>68420.132964588367</v>
      </c>
      <c r="P185" s="110">
        <v>72353.062038097924</v>
      </c>
      <c r="Q185" s="110">
        <v>46806.896633228178</v>
      </c>
      <c r="R185" s="116"/>
      <c r="S185" s="112">
        <v>599.00786111111108</v>
      </c>
      <c r="T185" s="112">
        <v>642.88022222222219</v>
      </c>
      <c r="U185" s="112">
        <v>367.61144166666674</v>
      </c>
      <c r="V185" s="112">
        <v>526.345611111111</v>
      </c>
      <c r="W185" s="112">
        <v>529.31824999999992</v>
      </c>
      <c r="X185" s="112"/>
    </row>
    <row r="186" spans="1:24" x14ac:dyDescent="0.35">
      <c r="A186" s="108">
        <v>39991</v>
      </c>
      <c r="B186" s="109">
        <f t="shared" si="24"/>
        <v>6</v>
      </c>
      <c r="C186" s="108">
        <v>40355</v>
      </c>
      <c r="D186" s="109">
        <f t="shared" si="25"/>
        <v>6</v>
      </c>
      <c r="E186" s="115">
        <v>40719</v>
      </c>
      <c r="F186" s="109">
        <f t="shared" si="26"/>
        <v>6</v>
      </c>
      <c r="G186" s="115">
        <v>41083</v>
      </c>
      <c r="H186" s="109">
        <f t="shared" si="27"/>
        <v>6</v>
      </c>
      <c r="I186" s="115">
        <v>41447</v>
      </c>
      <c r="J186" s="109">
        <f t="shared" si="23"/>
        <v>6</v>
      </c>
      <c r="K186" s="108">
        <f t="shared" si="28"/>
        <v>41811</v>
      </c>
      <c r="L186" s="109">
        <f t="shared" si="22"/>
        <v>6</v>
      </c>
      <c r="M186" s="110">
        <v>56232.2874849527</v>
      </c>
      <c r="N186" s="110">
        <v>54072.307770238061</v>
      </c>
      <c r="O186" s="110">
        <v>68972.370845143887</v>
      </c>
      <c r="P186" s="110">
        <v>72879.40764920901</v>
      </c>
      <c r="Q186" s="110">
        <v>47455.736688783749</v>
      </c>
      <c r="R186" s="116"/>
      <c r="S186" s="112">
        <v>627.63041666666663</v>
      </c>
      <c r="T186" s="112">
        <v>611.88516666666669</v>
      </c>
      <c r="U186" s="112">
        <v>478.06901388888883</v>
      </c>
      <c r="V186" s="112">
        <v>579.62055555555571</v>
      </c>
      <c r="W186" s="112">
        <v>648.84005555555564</v>
      </c>
      <c r="X186" s="112"/>
    </row>
    <row r="187" spans="1:24" x14ac:dyDescent="0.35">
      <c r="A187" s="108">
        <v>39992</v>
      </c>
      <c r="B187" s="109">
        <f t="shared" si="24"/>
        <v>7</v>
      </c>
      <c r="C187" s="108">
        <v>40356</v>
      </c>
      <c r="D187" s="109">
        <f t="shared" si="25"/>
        <v>7</v>
      </c>
      <c r="E187" s="115">
        <v>40720</v>
      </c>
      <c r="F187" s="109">
        <f t="shared" si="26"/>
        <v>7</v>
      </c>
      <c r="G187" s="115">
        <v>41084</v>
      </c>
      <c r="H187" s="109">
        <f t="shared" si="27"/>
        <v>7</v>
      </c>
      <c r="I187" s="115">
        <v>41448</v>
      </c>
      <c r="J187" s="109">
        <f t="shared" si="23"/>
        <v>7</v>
      </c>
      <c r="K187" s="108">
        <f t="shared" si="28"/>
        <v>41812</v>
      </c>
      <c r="L187" s="109">
        <f t="shared" si="22"/>
        <v>7</v>
      </c>
      <c r="M187" s="110">
        <v>56901.384262730477</v>
      </c>
      <c r="N187" s="110">
        <v>54765.204318389173</v>
      </c>
      <c r="O187" s="110">
        <v>69508.536006254988</v>
      </c>
      <c r="P187" s="110">
        <v>73459.028204764545</v>
      </c>
      <c r="Q187" s="110">
        <v>48217.395827672604</v>
      </c>
      <c r="R187" s="116"/>
      <c r="S187" s="112">
        <v>669.09677777777779</v>
      </c>
      <c r="T187" s="112">
        <v>692.90472222222218</v>
      </c>
      <c r="U187" s="112">
        <v>552.23788055555553</v>
      </c>
      <c r="V187" s="112">
        <v>444.66491666666639</v>
      </c>
      <c r="W187" s="112">
        <v>761.65913888888895</v>
      </c>
      <c r="X187" s="112"/>
    </row>
    <row r="188" spans="1:24" x14ac:dyDescent="0.35">
      <c r="A188" s="108">
        <v>39993</v>
      </c>
      <c r="B188" s="109">
        <f t="shared" si="24"/>
        <v>1</v>
      </c>
      <c r="C188" s="108">
        <v>40357</v>
      </c>
      <c r="D188" s="109">
        <f t="shared" si="25"/>
        <v>1</v>
      </c>
      <c r="E188" s="115">
        <v>40721</v>
      </c>
      <c r="F188" s="109">
        <f t="shared" si="26"/>
        <v>1</v>
      </c>
      <c r="G188" s="115">
        <v>41085</v>
      </c>
      <c r="H188" s="109">
        <f t="shared" si="27"/>
        <v>1</v>
      </c>
      <c r="I188" s="115">
        <v>41449</v>
      </c>
      <c r="J188" s="109">
        <f t="shared" si="23"/>
        <v>1</v>
      </c>
      <c r="K188" s="108">
        <f t="shared" si="28"/>
        <v>41813</v>
      </c>
      <c r="L188" s="109">
        <f t="shared" si="22"/>
        <v>1</v>
      </c>
      <c r="M188" s="110">
        <v>57488.347040508299</v>
      </c>
      <c r="N188" s="110">
        <v>55224.336486620865</v>
      </c>
      <c r="O188" s="110">
        <v>69524.558228477239</v>
      </c>
      <c r="P188" s="110">
        <v>73903.693121431235</v>
      </c>
      <c r="Q188" s="110">
        <v>48680.898716561504</v>
      </c>
      <c r="R188" s="116"/>
      <c r="S188" s="112">
        <v>586.96277777777777</v>
      </c>
      <c r="T188" s="112">
        <v>459.1368888888889</v>
      </c>
      <c r="U188" s="112">
        <v>536.16516111111105</v>
      </c>
      <c r="V188" s="112">
        <v>333.89405555555555</v>
      </c>
      <c r="W188" s="112">
        <v>463.50288888888889</v>
      </c>
      <c r="X188" s="112"/>
    </row>
    <row r="189" spans="1:24" x14ac:dyDescent="0.35">
      <c r="A189" s="108">
        <v>39994</v>
      </c>
      <c r="B189" s="109">
        <f t="shared" si="24"/>
        <v>2</v>
      </c>
      <c r="C189" s="108">
        <v>40358</v>
      </c>
      <c r="D189" s="109">
        <f t="shared" si="25"/>
        <v>2</v>
      </c>
      <c r="E189" s="115">
        <v>40722</v>
      </c>
      <c r="F189" s="109">
        <f t="shared" si="26"/>
        <v>2</v>
      </c>
      <c r="G189" s="115">
        <v>41086</v>
      </c>
      <c r="H189" s="109">
        <f t="shared" si="27"/>
        <v>2</v>
      </c>
      <c r="I189" s="115">
        <v>41450</v>
      </c>
      <c r="J189" s="109">
        <f t="shared" si="23"/>
        <v>2</v>
      </c>
      <c r="K189" s="108">
        <f t="shared" si="28"/>
        <v>41814</v>
      </c>
      <c r="L189" s="109">
        <f t="shared" ref="L189:L252" si="29">WEEKDAY(K189,2)</f>
        <v>2</v>
      </c>
      <c r="M189" s="110">
        <v>57969.415401619386</v>
      </c>
      <c r="N189" s="110">
        <v>55623.649668241123</v>
      </c>
      <c r="O189" s="110">
        <v>69524.346784032794</v>
      </c>
      <c r="P189" s="110">
        <v>74237.58717698681</v>
      </c>
      <c r="Q189" s="110">
        <v>49290.703494339279</v>
      </c>
      <c r="R189" s="116"/>
      <c r="S189" s="112">
        <v>481.06836111111113</v>
      </c>
      <c r="T189" s="112">
        <v>399.33827777777782</v>
      </c>
      <c r="U189" s="112">
        <v>16.022222222222215</v>
      </c>
      <c r="V189" s="112">
        <v>273.05627777777789</v>
      </c>
      <c r="W189" s="112">
        <v>609.80477777777764</v>
      </c>
      <c r="X189" s="112"/>
    </row>
    <row r="190" spans="1:24" x14ac:dyDescent="0.35">
      <c r="A190" s="108">
        <v>39995</v>
      </c>
      <c r="B190" s="109">
        <f t="shared" si="24"/>
        <v>3</v>
      </c>
      <c r="C190" s="108">
        <v>40359</v>
      </c>
      <c r="D190" s="109">
        <f t="shared" si="25"/>
        <v>3</v>
      </c>
      <c r="E190" s="115">
        <v>40723</v>
      </c>
      <c r="F190" s="109">
        <f t="shared" si="26"/>
        <v>3</v>
      </c>
      <c r="G190" s="115">
        <v>41087</v>
      </c>
      <c r="H190" s="109">
        <f t="shared" si="27"/>
        <v>3</v>
      </c>
      <c r="I190" s="115">
        <v>41451</v>
      </c>
      <c r="J190" s="109">
        <f t="shared" si="23"/>
        <v>3</v>
      </c>
      <c r="K190" s="108">
        <f t="shared" si="28"/>
        <v>41815</v>
      </c>
      <c r="L190" s="109">
        <f t="shared" si="29"/>
        <v>3</v>
      </c>
      <c r="M190" s="110">
        <v>58330.371457174944</v>
      </c>
      <c r="N190" s="110">
        <v>55950.667392366122</v>
      </c>
      <c r="O190" s="110">
        <v>69524.171061810557</v>
      </c>
      <c r="P190" s="110">
        <v>74510.643454764606</v>
      </c>
      <c r="Q190" s="110">
        <v>49755.57474433929</v>
      </c>
      <c r="R190" s="116"/>
      <c r="S190" s="112">
        <v>360.95605555555557</v>
      </c>
      <c r="T190" s="112">
        <v>327.06622222222222</v>
      </c>
      <c r="U190" s="112">
        <v>-0.21144444444444876</v>
      </c>
      <c r="V190" s="112">
        <v>257.99447222222221</v>
      </c>
      <c r="W190" s="112">
        <v>464.87124999999992</v>
      </c>
      <c r="X190" s="112"/>
    </row>
    <row r="191" spans="1:24" x14ac:dyDescent="0.35">
      <c r="A191" s="108">
        <v>39996</v>
      </c>
      <c r="B191" s="109">
        <f t="shared" si="24"/>
        <v>4</v>
      </c>
      <c r="C191" s="108">
        <v>40360</v>
      </c>
      <c r="D191" s="109">
        <f t="shared" si="25"/>
        <v>4</v>
      </c>
      <c r="E191" s="115">
        <v>40724</v>
      </c>
      <c r="F191" s="109">
        <f t="shared" si="26"/>
        <v>4</v>
      </c>
      <c r="G191" s="115">
        <v>41088</v>
      </c>
      <c r="H191" s="109">
        <f t="shared" si="27"/>
        <v>4</v>
      </c>
      <c r="I191" s="115">
        <v>41452</v>
      </c>
      <c r="J191" s="109">
        <f t="shared" si="23"/>
        <v>4</v>
      </c>
      <c r="K191" s="108">
        <f t="shared" si="28"/>
        <v>41816</v>
      </c>
      <c r="L191" s="109">
        <f t="shared" si="29"/>
        <v>4</v>
      </c>
      <c r="M191" s="110">
        <v>58692.597762730511</v>
      </c>
      <c r="N191" s="110">
        <v>56237.416509032802</v>
      </c>
      <c r="O191" s="110">
        <v>70392.407384032806</v>
      </c>
      <c r="P191" s="110">
        <v>74768.637926986819</v>
      </c>
      <c r="Q191" s="110">
        <v>50286.203688783746</v>
      </c>
      <c r="R191" s="116"/>
      <c r="S191" s="112">
        <v>362.22630555555554</v>
      </c>
      <c r="T191" s="112">
        <v>286.77333333333331</v>
      </c>
      <c r="U191" s="112">
        <v>-0.17572222222222769</v>
      </c>
      <c r="V191" s="112">
        <v>368.93638888888904</v>
      </c>
      <c r="W191" s="112">
        <v>530.6289444444443</v>
      </c>
      <c r="X191" s="112"/>
    </row>
    <row r="192" spans="1:24" x14ac:dyDescent="0.35">
      <c r="A192" s="108">
        <v>39997</v>
      </c>
      <c r="B192" s="109">
        <f t="shared" si="24"/>
        <v>5</v>
      </c>
      <c r="C192" s="108">
        <v>40361</v>
      </c>
      <c r="D192" s="109">
        <f t="shared" si="25"/>
        <v>5</v>
      </c>
      <c r="E192" s="115">
        <v>40725</v>
      </c>
      <c r="F192" s="109">
        <f t="shared" si="26"/>
        <v>5</v>
      </c>
      <c r="G192" s="115">
        <v>41089</v>
      </c>
      <c r="H192" s="109">
        <f t="shared" si="27"/>
        <v>5</v>
      </c>
      <c r="I192" s="115">
        <v>41453</v>
      </c>
      <c r="J192" s="109">
        <f t="shared" si="23"/>
        <v>5</v>
      </c>
      <c r="K192" s="108">
        <f t="shared" si="28"/>
        <v>41817</v>
      </c>
      <c r="L192" s="109">
        <f t="shared" si="29"/>
        <v>5</v>
      </c>
      <c r="M192" s="110">
        <v>59169.526068286068</v>
      </c>
      <c r="N192" s="110">
        <v>56587.79631458834</v>
      </c>
      <c r="O192" s="110">
        <v>70789.926309032802</v>
      </c>
      <c r="P192" s="110">
        <v>75137.574315875681</v>
      </c>
      <c r="Q192" s="110">
        <v>50858.00004989485</v>
      </c>
      <c r="R192" s="116"/>
      <c r="S192" s="112">
        <v>476.92830555555554</v>
      </c>
      <c r="T192" s="112">
        <v>350.37980555555555</v>
      </c>
      <c r="U192" s="112">
        <v>162.79235000000008</v>
      </c>
      <c r="V192" s="112">
        <v>540.73413888888888</v>
      </c>
      <c r="W192" s="112">
        <v>571.79636111111097</v>
      </c>
      <c r="X192" s="112"/>
    </row>
    <row r="193" spans="1:24" x14ac:dyDescent="0.35">
      <c r="A193" s="108">
        <v>39998</v>
      </c>
      <c r="B193" s="109">
        <f t="shared" si="24"/>
        <v>6</v>
      </c>
      <c r="C193" s="108">
        <v>40362</v>
      </c>
      <c r="D193" s="109">
        <f t="shared" si="25"/>
        <v>6</v>
      </c>
      <c r="E193" s="115">
        <v>40726</v>
      </c>
      <c r="F193" s="109">
        <f t="shared" si="26"/>
        <v>6</v>
      </c>
      <c r="G193" s="115">
        <v>41090</v>
      </c>
      <c r="H193" s="109">
        <f t="shared" si="27"/>
        <v>6</v>
      </c>
      <c r="I193" s="115">
        <v>41454</v>
      </c>
      <c r="J193" s="109">
        <f t="shared" si="23"/>
        <v>6</v>
      </c>
      <c r="K193" s="108">
        <f t="shared" si="28"/>
        <v>41818</v>
      </c>
      <c r="L193" s="109">
        <f t="shared" si="29"/>
        <v>6</v>
      </c>
      <c r="M193" s="110">
        <v>59748.621873841592</v>
      </c>
      <c r="N193" s="110">
        <v>57079.361981255017</v>
      </c>
      <c r="O193" s="110">
        <v>71291.979228477256</v>
      </c>
      <c r="P193" s="110">
        <v>75122.207676986785</v>
      </c>
      <c r="Q193" s="110">
        <v>51528.139355450403</v>
      </c>
      <c r="R193" s="116"/>
      <c r="S193" s="112">
        <v>579.09580555555556</v>
      </c>
      <c r="T193" s="112">
        <v>491.56566666666663</v>
      </c>
      <c r="U193" s="112">
        <v>397.51892500000008</v>
      </c>
      <c r="V193" s="112">
        <v>562.45283333333327</v>
      </c>
      <c r="W193" s="112">
        <v>670.13930555555589</v>
      </c>
      <c r="X193" s="112"/>
    </row>
    <row r="194" spans="1:24" x14ac:dyDescent="0.35">
      <c r="A194" s="108">
        <v>39999</v>
      </c>
      <c r="B194" s="109">
        <f t="shared" si="24"/>
        <v>7</v>
      </c>
      <c r="C194" s="108">
        <v>40363</v>
      </c>
      <c r="D194" s="109">
        <f t="shared" si="25"/>
        <v>7</v>
      </c>
      <c r="E194" s="115">
        <v>40727</v>
      </c>
      <c r="F194" s="109">
        <f t="shared" si="26"/>
        <v>7</v>
      </c>
      <c r="G194" s="115">
        <v>41091</v>
      </c>
      <c r="H194" s="109">
        <f t="shared" si="27"/>
        <v>7</v>
      </c>
      <c r="I194" s="115">
        <v>41455</v>
      </c>
      <c r="J194" s="109">
        <f t="shared" si="23"/>
        <v>7</v>
      </c>
      <c r="K194" s="108">
        <f t="shared" si="28"/>
        <v>41819</v>
      </c>
      <c r="L194" s="109">
        <f t="shared" si="29"/>
        <v>7</v>
      </c>
      <c r="M194" s="110">
        <v>60353.064540508291</v>
      </c>
      <c r="N194" s="110">
        <v>57602.156731255011</v>
      </c>
      <c r="O194" s="110">
        <v>71794.36368125501</v>
      </c>
      <c r="P194" s="110">
        <v>76240.765704764577</v>
      </c>
      <c r="Q194" s="110">
        <v>52185.324494339278</v>
      </c>
      <c r="R194" s="116"/>
      <c r="S194" s="112">
        <v>604.4426666666667</v>
      </c>
      <c r="T194" s="112">
        <v>522.79475000000002</v>
      </c>
      <c r="U194" s="112">
        <v>502.05291944444451</v>
      </c>
      <c r="V194" s="112">
        <v>305.11086111111103</v>
      </c>
      <c r="W194" s="112">
        <v>657.18513888888901</v>
      </c>
      <c r="X194" s="112"/>
    </row>
    <row r="195" spans="1:24" x14ac:dyDescent="0.35">
      <c r="A195" s="108">
        <v>40000</v>
      </c>
      <c r="B195" s="109">
        <f t="shared" si="24"/>
        <v>1</v>
      </c>
      <c r="C195" s="108">
        <v>40364</v>
      </c>
      <c r="D195" s="109">
        <f t="shared" si="25"/>
        <v>1</v>
      </c>
      <c r="E195" s="115">
        <v>40728</v>
      </c>
      <c r="F195" s="109">
        <f t="shared" si="26"/>
        <v>1</v>
      </c>
      <c r="G195" s="115">
        <v>41092</v>
      </c>
      <c r="H195" s="109">
        <f t="shared" si="27"/>
        <v>1</v>
      </c>
      <c r="I195" s="115">
        <v>41456</v>
      </c>
      <c r="J195" s="109">
        <f t="shared" si="23"/>
        <v>1</v>
      </c>
      <c r="K195" s="108">
        <f t="shared" si="28"/>
        <v>41820</v>
      </c>
      <c r="L195" s="109">
        <f t="shared" si="29"/>
        <v>1</v>
      </c>
      <c r="M195" s="110">
        <v>60783.283096063846</v>
      </c>
      <c r="N195" s="110">
        <v>57859.869325699467</v>
      </c>
      <c r="O195" s="110">
        <v>72014.324428477237</v>
      </c>
      <c r="P195" s="110">
        <v>76545.876565875675</v>
      </c>
      <c r="Q195" s="110">
        <v>52562.370994339311</v>
      </c>
      <c r="R195" s="116"/>
      <c r="S195" s="112">
        <v>430.21855555555555</v>
      </c>
      <c r="T195" s="112">
        <v>257.72061111111111</v>
      </c>
      <c r="U195" s="112">
        <v>502.38445277777771</v>
      </c>
      <c r="V195" s="112">
        <v>340.89769444444443</v>
      </c>
      <c r="W195" s="112">
        <v>377.04649999999998</v>
      </c>
      <c r="X195" s="112"/>
    </row>
    <row r="196" spans="1:24" x14ac:dyDescent="0.35">
      <c r="A196" s="108">
        <v>40001</v>
      </c>
      <c r="B196" s="109">
        <f t="shared" si="24"/>
        <v>2</v>
      </c>
      <c r="C196" s="108">
        <v>40365</v>
      </c>
      <c r="D196" s="109">
        <f t="shared" si="25"/>
        <v>2</v>
      </c>
      <c r="E196" s="115">
        <v>40729</v>
      </c>
      <c r="F196" s="109">
        <f t="shared" si="26"/>
        <v>2</v>
      </c>
      <c r="G196" s="115">
        <v>41093</v>
      </c>
      <c r="H196" s="109">
        <f t="shared" si="27"/>
        <v>2</v>
      </c>
      <c r="I196" s="115">
        <v>41457</v>
      </c>
      <c r="J196" s="109">
        <f t="shared" si="23"/>
        <v>2</v>
      </c>
      <c r="K196" s="108">
        <f t="shared" si="28"/>
        <v>41821</v>
      </c>
      <c r="L196" s="109">
        <f t="shared" si="29"/>
        <v>2</v>
      </c>
      <c r="M196" s="110">
        <v>61164.393096063817</v>
      </c>
      <c r="N196" s="110">
        <v>58078.978920143898</v>
      </c>
      <c r="O196" s="110">
        <v>72228.861667366131</v>
      </c>
      <c r="P196" s="110">
        <v>76887.378399209032</v>
      </c>
      <c r="Q196" s="110">
        <v>52980.258605450399</v>
      </c>
      <c r="R196" s="116"/>
      <c r="S196" s="112">
        <v>381.11</v>
      </c>
      <c r="T196" s="112">
        <v>219.114</v>
      </c>
      <c r="U196" s="112">
        <v>219.96074722222227</v>
      </c>
      <c r="V196" s="112">
        <v>370.82297222222212</v>
      </c>
      <c r="W196" s="112">
        <v>417.88761111111114</v>
      </c>
      <c r="X196" s="112"/>
    </row>
    <row r="197" spans="1:24" x14ac:dyDescent="0.35">
      <c r="A197" s="108">
        <v>40002</v>
      </c>
      <c r="B197" s="109">
        <f t="shared" si="24"/>
        <v>3</v>
      </c>
      <c r="C197" s="108">
        <v>40366</v>
      </c>
      <c r="D197" s="109">
        <f t="shared" si="25"/>
        <v>3</v>
      </c>
      <c r="E197" s="115">
        <v>40730</v>
      </c>
      <c r="F197" s="109">
        <f t="shared" si="26"/>
        <v>3</v>
      </c>
      <c r="G197" s="115">
        <v>41094</v>
      </c>
      <c r="H197" s="109">
        <f t="shared" si="27"/>
        <v>3</v>
      </c>
      <c r="I197" s="115">
        <v>41458</v>
      </c>
      <c r="J197" s="109">
        <f t="shared" si="23"/>
        <v>3</v>
      </c>
      <c r="K197" s="108">
        <f t="shared" si="28"/>
        <v>41822</v>
      </c>
      <c r="L197" s="109">
        <f t="shared" si="29"/>
        <v>3</v>
      </c>
      <c r="M197" s="110">
        <v>61645.971568286055</v>
      </c>
      <c r="N197" s="110">
        <v>58398.13352847725</v>
      </c>
      <c r="O197" s="110">
        <v>72365.728100699504</v>
      </c>
      <c r="P197" s="110">
        <v>77258.201371431249</v>
      </c>
      <c r="Q197" s="110">
        <v>53339.252022117063</v>
      </c>
      <c r="R197" s="116"/>
      <c r="S197" s="112">
        <v>481.57847222222222</v>
      </c>
      <c r="T197" s="112">
        <v>319.24044444444445</v>
      </c>
      <c r="U197" s="112">
        <v>214.53723888888891</v>
      </c>
      <c r="V197" s="112">
        <v>411.69616666666673</v>
      </c>
      <c r="W197" s="112">
        <v>358.99341666666663</v>
      </c>
      <c r="X197" s="112"/>
    </row>
    <row r="198" spans="1:24" x14ac:dyDescent="0.35">
      <c r="A198" s="108">
        <v>40003</v>
      </c>
      <c r="B198" s="109">
        <f t="shared" si="24"/>
        <v>4</v>
      </c>
      <c r="C198" s="108">
        <v>40367</v>
      </c>
      <c r="D198" s="109">
        <f t="shared" si="25"/>
        <v>4</v>
      </c>
      <c r="E198" s="115">
        <v>40731</v>
      </c>
      <c r="F198" s="109">
        <f t="shared" si="26"/>
        <v>4</v>
      </c>
      <c r="G198" s="115">
        <v>41095</v>
      </c>
      <c r="H198" s="109">
        <f t="shared" si="27"/>
        <v>4</v>
      </c>
      <c r="I198" s="115">
        <v>41459</v>
      </c>
      <c r="J198" s="109">
        <f t="shared" si="23"/>
        <v>4</v>
      </c>
      <c r="K198" s="108">
        <f t="shared" si="28"/>
        <v>41823</v>
      </c>
      <c r="L198" s="109">
        <f t="shared" si="29"/>
        <v>4</v>
      </c>
      <c r="M198" s="110">
        <v>62151.280957174953</v>
      </c>
      <c r="N198" s="110">
        <v>58841.538381255035</v>
      </c>
      <c r="O198" s="110">
        <v>72410.464997921692</v>
      </c>
      <c r="P198" s="110">
        <v>77669.89753809791</v>
      </c>
      <c r="Q198" s="110">
        <v>53705.922633228176</v>
      </c>
      <c r="R198" s="116"/>
      <c r="S198" s="112">
        <v>505.30938888888892</v>
      </c>
      <c r="T198" s="112">
        <v>443.93013888888891</v>
      </c>
      <c r="U198" s="112">
        <v>136.86643333333333</v>
      </c>
      <c r="V198" s="112">
        <v>481.31561111111125</v>
      </c>
      <c r="W198" s="112">
        <v>366.67061111111099</v>
      </c>
      <c r="X198" s="112"/>
    </row>
    <row r="199" spans="1:24" x14ac:dyDescent="0.35">
      <c r="A199" s="108">
        <v>40004</v>
      </c>
      <c r="B199" s="109">
        <f t="shared" si="24"/>
        <v>5</v>
      </c>
      <c r="C199" s="108">
        <v>40368</v>
      </c>
      <c r="D199" s="109">
        <f t="shared" si="25"/>
        <v>5</v>
      </c>
      <c r="E199" s="115">
        <v>40732</v>
      </c>
      <c r="F199" s="109">
        <f t="shared" si="26"/>
        <v>5</v>
      </c>
      <c r="G199" s="115">
        <v>41096</v>
      </c>
      <c r="H199" s="109">
        <f t="shared" si="27"/>
        <v>5</v>
      </c>
      <c r="I199" s="115">
        <v>41460</v>
      </c>
      <c r="J199" s="109">
        <f t="shared" si="23"/>
        <v>5</v>
      </c>
      <c r="K199" s="108">
        <f t="shared" si="28"/>
        <v>41824</v>
      </c>
      <c r="L199" s="109">
        <f t="shared" si="29"/>
        <v>5</v>
      </c>
      <c r="M199" s="110">
        <v>62685.643957174943</v>
      </c>
      <c r="N199" s="110">
        <v>59316.848572921663</v>
      </c>
      <c r="O199" s="110">
        <v>72685.50620069947</v>
      </c>
      <c r="P199" s="110">
        <v>78151.213149208983</v>
      </c>
      <c r="Q199" s="110">
        <v>54166.789494339275</v>
      </c>
      <c r="R199" s="116"/>
      <c r="S199" s="112">
        <v>534.36300000000006</v>
      </c>
      <c r="T199" s="112">
        <v>477.24911111111112</v>
      </c>
      <c r="U199" s="112">
        <v>44.736897222222211</v>
      </c>
      <c r="V199" s="112">
        <v>636.21369444444463</v>
      </c>
      <c r="W199" s="112">
        <v>460.86686111111095</v>
      </c>
      <c r="X199" s="112"/>
    </row>
    <row r="200" spans="1:24" x14ac:dyDescent="0.35">
      <c r="A200" s="108">
        <v>40005</v>
      </c>
      <c r="B200" s="109">
        <f t="shared" si="24"/>
        <v>6</v>
      </c>
      <c r="C200" s="108">
        <v>40369</v>
      </c>
      <c r="D200" s="109">
        <f t="shared" si="25"/>
        <v>6</v>
      </c>
      <c r="E200" s="115">
        <v>40733</v>
      </c>
      <c r="F200" s="109">
        <f t="shared" si="26"/>
        <v>6</v>
      </c>
      <c r="G200" s="115">
        <v>41097</v>
      </c>
      <c r="H200" s="109">
        <f t="shared" si="27"/>
        <v>6</v>
      </c>
      <c r="I200" s="115">
        <v>41461</v>
      </c>
      <c r="J200" s="109">
        <f t="shared" si="23"/>
        <v>6</v>
      </c>
      <c r="K200" s="108">
        <f t="shared" si="28"/>
        <v>41825</v>
      </c>
      <c r="L200" s="109">
        <f t="shared" si="29"/>
        <v>6</v>
      </c>
      <c r="M200" s="110">
        <v>63271.831429397156</v>
      </c>
      <c r="N200" s="110">
        <v>59777.917642366141</v>
      </c>
      <c r="O200" s="110">
        <v>73136.027106255031</v>
      </c>
      <c r="P200" s="110">
        <v>78787.426843653477</v>
      </c>
      <c r="Q200" s="110">
        <v>54851.971438783752</v>
      </c>
      <c r="R200" s="116"/>
      <c r="S200" s="112">
        <v>586.18747222222214</v>
      </c>
      <c r="T200" s="112">
        <v>465.15725000000003</v>
      </c>
      <c r="U200" s="112">
        <v>275.04120277777776</v>
      </c>
      <c r="V200" s="112">
        <v>704.22969444444459</v>
      </c>
      <c r="W200" s="112">
        <v>685.18194444444487</v>
      </c>
      <c r="X200" s="112"/>
    </row>
    <row r="201" spans="1:24" x14ac:dyDescent="0.35">
      <c r="A201" s="108">
        <v>40006</v>
      </c>
      <c r="B201" s="109">
        <f t="shared" si="24"/>
        <v>7</v>
      </c>
      <c r="C201" s="108">
        <v>40370</v>
      </c>
      <c r="D201" s="109">
        <f t="shared" si="25"/>
        <v>7</v>
      </c>
      <c r="E201" s="115">
        <v>40734</v>
      </c>
      <c r="F201" s="109">
        <f t="shared" si="26"/>
        <v>7</v>
      </c>
      <c r="G201" s="115">
        <v>41098</v>
      </c>
      <c r="H201" s="109">
        <f t="shared" si="27"/>
        <v>7</v>
      </c>
      <c r="I201" s="115">
        <v>41462</v>
      </c>
      <c r="J201" s="109">
        <f t="shared" si="23"/>
        <v>7</v>
      </c>
      <c r="K201" s="108">
        <f t="shared" si="28"/>
        <v>41826</v>
      </c>
      <c r="L201" s="109">
        <f t="shared" si="29"/>
        <v>7</v>
      </c>
      <c r="M201" s="110">
        <v>63774.343957174926</v>
      </c>
      <c r="N201" s="110">
        <v>60296.621520143912</v>
      </c>
      <c r="O201" s="110">
        <v>73631.333189588346</v>
      </c>
      <c r="P201" s="110">
        <v>79491.65653809793</v>
      </c>
      <c r="Q201" s="110">
        <v>55590.341688783737</v>
      </c>
      <c r="R201" s="116"/>
      <c r="S201" s="112">
        <v>502.51252777777779</v>
      </c>
      <c r="T201" s="112">
        <v>522.04711111111112</v>
      </c>
      <c r="U201" s="112">
        <v>450.52090555555554</v>
      </c>
      <c r="V201" s="112">
        <v>323.86288888888879</v>
      </c>
      <c r="W201" s="112">
        <v>738.37025000000028</v>
      </c>
      <c r="X201" s="112"/>
    </row>
    <row r="202" spans="1:24" x14ac:dyDescent="0.35">
      <c r="A202" s="108">
        <v>40007</v>
      </c>
      <c r="B202" s="109">
        <f t="shared" si="24"/>
        <v>1</v>
      </c>
      <c r="C202" s="108">
        <v>40371</v>
      </c>
      <c r="D202" s="109">
        <f t="shared" si="25"/>
        <v>1</v>
      </c>
      <c r="E202" s="115">
        <v>40735</v>
      </c>
      <c r="F202" s="109">
        <f t="shared" si="26"/>
        <v>1</v>
      </c>
      <c r="G202" s="115">
        <v>41099</v>
      </c>
      <c r="H202" s="109">
        <f t="shared" si="27"/>
        <v>1</v>
      </c>
      <c r="I202" s="115">
        <v>41463</v>
      </c>
      <c r="J202" s="109">
        <f t="shared" si="23"/>
        <v>1</v>
      </c>
      <c r="K202" s="108">
        <f t="shared" si="28"/>
        <v>41827</v>
      </c>
      <c r="L202" s="109">
        <f t="shared" si="29"/>
        <v>1</v>
      </c>
      <c r="M202" s="110">
        <v>64225.592846063824</v>
      </c>
      <c r="N202" s="110">
        <v>60610.680464588346</v>
      </c>
      <c r="O202" s="110">
        <v>74031.088425699461</v>
      </c>
      <c r="P202" s="110">
        <v>79815.519426986823</v>
      </c>
      <c r="Q202" s="110">
        <v>55943.891883228171</v>
      </c>
      <c r="R202" s="116"/>
      <c r="S202" s="112">
        <v>451.24888888888887</v>
      </c>
      <c r="T202" s="112">
        <v>321.5937777777778</v>
      </c>
      <c r="U202" s="112">
        <v>495.30608333333339</v>
      </c>
      <c r="V202" s="112">
        <v>98.116694444444477</v>
      </c>
      <c r="W202" s="112">
        <v>353.55019444444446</v>
      </c>
      <c r="X202" s="112"/>
    </row>
    <row r="203" spans="1:24" x14ac:dyDescent="0.35">
      <c r="A203" s="108">
        <v>40008</v>
      </c>
      <c r="B203" s="109">
        <f t="shared" si="24"/>
        <v>2</v>
      </c>
      <c r="C203" s="108">
        <v>40372</v>
      </c>
      <c r="D203" s="109">
        <f t="shared" si="25"/>
        <v>2</v>
      </c>
      <c r="E203" s="115">
        <v>40736</v>
      </c>
      <c r="F203" s="109">
        <f t="shared" si="26"/>
        <v>2</v>
      </c>
      <c r="G203" s="115">
        <v>41100</v>
      </c>
      <c r="H203" s="109">
        <f t="shared" si="27"/>
        <v>2</v>
      </c>
      <c r="I203" s="115">
        <v>41464</v>
      </c>
      <c r="J203" s="109">
        <f t="shared" si="23"/>
        <v>2</v>
      </c>
      <c r="K203" s="108">
        <f t="shared" si="28"/>
        <v>41828</v>
      </c>
      <c r="L203" s="109">
        <f t="shared" si="29"/>
        <v>2</v>
      </c>
      <c r="M203" s="110">
        <v>64625.153540508261</v>
      </c>
      <c r="N203" s="110">
        <v>60884.233959032783</v>
      </c>
      <c r="O203" s="110">
        <v>74340.367239588391</v>
      </c>
      <c r="P203" s="110">
        <v>79913.63612143122</v>
      </c>
      <c r="Q203" s="110">
        <v>56254.30491100598</v>
      </c>
      <c r="R203" s="116"/>
      <c r="S203" s="112">
        <v>399.56069444444444</v>
      </c>
      <c r="T203" s="112">
        <v>280.08775000000003</v>
      </c>
      <c r="U203" s="112">
        <v>399.75523611111112</v>
      </c>
      <c r="V203" s="112">
        <v>135.79733333333328</v>
      </c>
      <c r="W203" s="112">
        <v>310.41302777777776</v>
      </c>
      <c r="X203" s="112"/>
    </row>
    <row r="204" spans="1:24" x14ac:dyDescent="0.35">
      <c r="A204" s="108">
        <v>40009</v>
      </c>
      <c r="B204" s="109">
        <f t="shared" si="24"/>
        <v>3</v>
      </c>
      <c r="C204" s="108">
        <v>40373</v>
      </c>
      <c r="D204" s="109">
        <f t="shared" si="25"/>
        <v>3</v>
      </c>
      <c r="E204" s="115">
        <v>40737</v>
      </c>
      <c r="F204" s="109">
        <f t="shared" si="26"/>
        <v>3</v>
      </c>
      <c r="G204" s="115">
        <v>41101</v>
      </c>
      <c r="H204" s="109">
        <f t="shared" si="27"/>
        <v>3</v>
      </c>
      <c r="I204" s="115">
        <v>41465</v>
      </c>
      <c r="J204" s="109">
        <f t="shared" si="23"/>
        <v>3</v>
      </c>
      <c r="K204" s="108">
        <f t="shared" si="28"/>
        <v>41829</v>
      </c>
      <c r="L204" s="109">
        <f t="shared" si="29"/>
        <v>3</v>
      </c>
      <c r="M204" s="110">
        <v>64902.774540508282</v>
      </c>
      <c r="N204" s="110">
        <v>61122.163306255003</v>
      </c>
      <c r="O204" s="110">
        <v>74665.507431254999</v>
      </c>
      <c r="P204" s="110">
        <v>80049.433454764614</v>
      </c>
      <c r="Q204" s="110">
        <v>56540.862327672614</v>
      </c>
      <c r="R204" s="116"/>
      <c r="S204" s="112">
        <v>277.62099999999998</v>
      </c>
      <c r="T204" s="112">
        <v>246.51911111111113</v>
      </c>
      <c r="U204" s="112">
        <v>309.27881388888903</v>
      </c>
      <c r="V204" s="112">
        <v>299.75997222222225</v>
      </c>
      <c r="W204" s="112">
        <v>286.5574166666666</v>
      </c>
      <c r="X204" s="112"/>
    </row>
    <row r="205" spans="1:24" x14ac:dyDescent="0.35">
      <c r="A205" s="108">
        <v>40010</v>
      </c>
      <c r="B205" s="109">
        <f t="shared" si="24"/>
        <v>4</v>
      </c>
      <c r="C205" s="108">
        <v>40374</v>
      </c>
      <c r="D205" s="109">
        <f t="shared" si="25"/>
        <v>4</v>
      </c>
      <c r="E205" s="115">
        <v>40738</v>
      </c>
      <c r="F205" s="109">
        <f t="shared" si="26"/>
        <v>4</v>
      </c>
      <c r="G205" s="115">
        <v>41102</v>
      </c>
      <c r="H205" s="109">
        <f t="shared" si="27"/>
        <v>4</v>
      </c>
      <c r="I205" s="115">
        <v>41466</v>
      </c>
      <c r="J205" s="109">
        <f t="shared" si="23"/>
        <v>4</v>
      </c>
      <c r="K205" s="108">
        <f t="shared" si="28"/>
        <v>41830</v>
      </c>
      <c r="L205" s="109">
        <f t="shared" si="29"/>
        <v>4</v>
      </c>
      <c r="M205" s="110">
        <v>65291.95540161938</v>
      </c>
      <c r="N205" s="110">
        <v>61354.383634032798</v>
      </c>
      <c r="O205" s="110">
        <v>74975.428131255045</v>
      </c>
      <c r="P205" s="110">
        <v>80349.193426986822</v>
      </c>
      <c r="Q205" s="110">
        <v>56818.249605450415</v>
      </c>
      <c r="R205" s="116"/>
      <c r="S205" s="112">
        <v>389.18086111111114</v>
      </c>
      <c r="T205" s="112">
        <v>242.95608333333334</v>
      </c>
      <c r="U205" s="112">
        <v>325.14019166666662</v>
      </c>
      <c r="V205" s="112">
        <v>420.64766666666668</v>
      </c>
      <c r="W205" s="112">
        <v>277.3872777777778</v>
      </c>
      <c r="X205" s="112"/>
    </row>
    <row r="206" spans="1:24" x14ac:dyDescent="0.35">
      <c r="A206" s="108">
        <v>40011</v>
      </c>
      <c r="B206" s="109">
        <f t="shared" si="24"/>
        <v>5</v>
      </c>
      <c r="C206" s="108">
        <v>40375</v>
      </c>
      <c r="D206" s="109">
        <f t="shared" si="25"/>
        <v>5</v>
      </c>
      <c r="E206" s="115">
        <v>40739</v>
      </c>
      <c r="F206" s="109">
        <f t="shared" si="26"/>
        <v>5</v>
      </c>
      <c r="G206" s="115">
        <v>41103</v>
      </c>
      <c r="H206" s="109">
        <f t="shared" si="27"/>
        <v>5</v>
      </c>
      <c r="I206" s="115">
        <v>41467</v>
      </c>
      <c r="J206" s="109">
        <f t="shared" ref="J206:J269" si="30">WEEKDAY(I206,2)</f>
        <v>5</v>
      </c>
      <c r="K206" s="108">
        <f t="shared" si="28"/>
        <v>41831</v>
      </c>
      <c r="L206" s="109">
        <f t="shared" si="29"/>
        <v>5</v>
      </c>
      <c r="M206" s="110">
        <v>65781.895096063847</v>
      </c>
      <c r="N206" s="110">
        <v>61717.0763840328</v>
      </c>
      <c r="O206" s="110">
        <v>75429.988520143947</v>
      </c>
      <c r="P206" s="110">
        <v>80769.841093653478</v>
      </c>
      <c r="Q206" s="110">
        <v>57132.529383228197</v>
      </c>
      <c r="R206" s="116"/>
      <c r="S206" s="112">
        <v>489.9396944444444</v>
      </c>
      <c r="T206" s="112">
        <v>368.27133333333336</v>
      </c>
      <c r="U206" s="112">
        <v>309.92070000000007</v>
      </c>
      <c r="V206" s="112">
        <v>634.92425000000003</v>
      </c>
      <c r="W206" s="112">
        <v>314.27977777777761</v>
      </c>
      <c r="X206" s="112"/>
    </row>
    <row r="207" spans="1:24" x14ac:dyDescent="0.35">
      <c r="A207" s="108">
        <v>40012</v>
      </c>
      <c r="B207" s="109">
        <f t="shared" si="24"/>
        <v>6</v>
      </c>
      <c r="C207" s="108">
        <v>40376</v>
      </c>
      <c r="D207" s="109">
        <f t="shared" si="25"/>
        <v>6</v>
      </c>
      <c r="E207" s="115">
        <v>40740</v>
      </c>
      <c r="F207" s="109">
        <f t="shared" si="26"/>
        <v>6</v>
      </c>
      <c r="G207" s="115">
        <v>41104</v>
      </c>
      <c r="H207" s="109">
        <f t="shared" si="27"/>
        <v>6</v>
      </c>
      <c r="I207" s="115">
        <v>41468</v>
      </c>
      <c r="J207" s="109">
        <f t="shared" si="30"/>
        <v>6</v>
      </c>
      <c r="K207" s="108">
        <f t="shared" si="28"/>
        <v>41832</v>
      </c>
      <c r="L207" s="109">
        <f t="shared" si="29"/>
        <v>6</v>
      </c>
      <c r="M207" s="110">
        <v>66373.624568286061</v>
      </c>
      <c r="N207" s="110">
        <v>62221.401214588361</v>
      </c>
      <c r="O207" s="110">
        <v>76013.603378477259</v>
      </c>
      <c r="P207" s="110">
        <v>81404.765343653431</v>
      </c>
      <c r="Q207" s="110">
        <v>57736.53632767262</v>
      </c>
      <c r="R207" s="116"/>
      <c r="S207" s="112">
        <v>591.72947222222228</v>
      </c>
      <c r="T207" s="112">
        <v>504.33066666666662</v>
      </c>
      <c r="U207" s="112">
        <v>454.56038888888878</v>
      </c>
      <c r="V207" s="112">
        <v>668.41533333333336</v>
      </c>
      <c r="W207" s="112">
        <v>604.00694444444457</v>
      </c>
      <c r="X207" s="112"/>
    </row>
    <row r="208" spans="1:24" x14ac:dyDescent="0.35">
      <c r="A208" s="108">
        <v>40013</v>
      </c>
      <c r="B208" s="109">
        <f t="shared" si="24"/>
        <v>7</v>
      </c>
      <c r="C208" s="108">
        <v>40377</v>
      </c>
      <c r="D208" s="109">
        <f t="shared" si="25"/>
        <v>7</v>
      </c>
      <c r="E208" s="115">
        <v>40741</v>
      </c>
      <c r="F208" s="109">
        <f t="shared" si="26"/>
        <v>7</v>
      </c>
      <c r="G208" s="115">
        <v>41105</v>
      </c>
      <c r="H208" s="109">
        <f t="shared" si="27"/>
        <v>7</v>
      </c>
      <c r="I208" s="115">
        <v>41469</v>
      </c>
      <c r="J208" s="109">
        <f t="shared" si="30"/>
        <v>7</v>
      </c>
      <c r="K208" s="108">
        <f t="shared" si="28"/>
        <v>41833</v>
      </c>
      <c r="L208" s="109">
        <f t="shared" si="29"/>
        <v>7</v>
      </c>
      <c r="M208" s="110">
        <v>66949.481873841636</v>
      </c>
      <c r="N208" s="110">
        <v>62730.934020143897</v>
      </c>
      <c r="O208" s="110">
        <v>76580.838336810601</v>
      </c>
      <c r="P208" s="110">
        <v>82073.180676986813</v>
      </c>
      <c r="Q208" s="110">
        <v>58452.184272117069</v>
      </c>
      <c r="R208" s="116"/>
      <c r="S208" s="112">
        <v>575.85730555555551</v>
      </c>
      <c r="T208" s="112">
        <v>509.53280555555557</v>
      </c>
      <c r="U208" s="112">
        <v>583.61485833333325</v>
      </c>
      <c r="V208" s="112">
        <v>377.60938888888876</v>
      </c>
      <c r="W208" s="112">
        <v>715.64794444444499</v>
      </c>
      <c r="X208" s="112"/>
    </row>
    <row r="209" spans="1:24" x14ac:dyDescent="0.35">
      <c r="A209" s="108">
        <v>40014</v>
      </c>
      <c r="B209" s="109">
        <f t="shared" si="24"/>
        <v>1</v>
      </c>
      <c r="C209" s="108">
        <v>40378</v>
      </c>
      <c r="D209" s="109">
        <f t="shared" si="25"/>
        <v>1</v>
      </c>
      <c r="E209" s="115">
        <v>40742</v>
      </c>
      <c r="F209" s="109">
        <f t="shared" si="26"/>
        <v>1</v>
      </c>
      <c r="G209" s="115">
        <v>41106</v>
      </c>
      <c r="H209" s="109">
        <f t="shared" si="27"/>
        <v>1</v>
      </c>
      <c r="I209" s="115">
        <v>41470</v>
      </c>
      <c r="J209" s="109">
        <f t="shared" si="30"/>
        <v>1</v>
      </c>
      <c r="K209" s="108">
        <f t="shared" si="28"/>
        <v>41834</v>
      </c>
      <c r="L209" s="109">
        <f t="shared" si="29"/>
        <v>1</v>
      </c>
      <c r="M209" s="110">
        <v>67486.169707174922</v>
      </c>
      <c r="N209" s="110">
        <v>63039.788147921696</v>
      </c>
      <c r="O209" s="110">
        <v>76948.45622014394</v>
      </c>
      <c r="P209" s="110">
        <v>82450.790065875699</v>
      </c>
      <c r="Q209" s="110">
        <v>59054.684661005944</v>
      </c>
      <c r="R209" s="116"/>
      <c r="S209" s="112">
        <v>536.68783333333329</v>
      </c>
      <c r="T209" s="112">
        <v>309.37147222222222</v>
      </c>
      <c r="U209" s="112">
        <v>567.23495833333334</v>
      </c>
      <c r="V209" s="112">
        <v>323.43438888888886</v>
      </c>
      <c r="W209" s="112">
        <v>602.50038888888889</v>
      </c>
      <c r="X209" s="112"/>
    </row>
    <row r="210" spans="1:24" x14ac:dyDescent="0.35">
      <c r="A210" s="108">
        <v>40015</v>
      </c>
      <c r="B210" s="109">
        <f t="shared" si="24"/>
        <v>2</v>
      </c>
      <c r="C210" s="108">
        <v>40379</v>
      </c>
      <c r="D210" s="109">
        <f t="shared" si="25"/>
        <v>2</v>
      </c>
      <c r="E210" s="115">
        <v>40743</v>
      </c>
      <c r="F210" s="109">
        <f t="shared" si="26"/>
        <v>2</v>
      </c>
      <c r="G210" s="115">
        <v>41107</v>
      </c>
      <c r="H210" s="109">
        <f t="shared" si="27"/>
        <v>2</v>
      </c>
      <c r="I210" s="115">
        <v>41471</v>
      </c>
      <c r="J210" s="109">
        <f t="shared" si="30"/>
        <v>2</v>
      </c>
      <c r="K210" s="108">
        <f t="shared" si="28"/>
        <v>41835</v>
      </c>
      <c r="L210" s="109">
        <f t="shared" si="29"/>
        <v>2</v>
      </c>
      <c r="M210" s="110">
        <v>67941.351707174937</v>
      </c>
      <c r="N210" s="110">
        <v>63375.545570143899</v>
      </c>
      <c r="O210" s="110">
        <v>77338.101609032834</v>
      </c>
      <c r="P210" s="110">
        <v>82774.224454764597</v>
      </c>
      <c r="Q210" s="110">
        <v>59579.244522117071</v>
      </c>
      <c r="R210" s="116"/>
      <c r="S210" s="112">
        <v>455.18199999999996</v>
      </c>
      <c r="T210" s="112">
        <v>336.75744444444445</v>
      </c>
      <c r="U210" s="112">
        <v>367.61788333333334</v>
      </c>
      <c r="V210" s="112">
        <v>213.7039444444444</v>
      </c>
      <c r="W210" s="112">
        <v>524.55986111111099</v>
      </c>
      <c r="X210" s="112"/>
    </row>
    <row r="211" spans="1:24" x14ac:dyDescent="0.35">
      <c r="A211" s="108">
        <v>40016</v>
      </c>
      <c r="B211" s="109">
        <f t="shared" si="24"/>
        <v>3</v>
      </c>
      <c r="C211" s="108">
        <v>40380</v>
      </c>
      <c r="D211" s="109">
        <f t="shared" si="25"/>
        <v>3</v>
      </c>
      <c r="E211" s="115">
        <v>40744</v>
      </c>
      <c r="F211" s="109">
        <f t="shared" si="26"/>
        <v>3</v>
      </c>
      <c r="G211" s="115">
        <v>41108</v>
      </c>
      <c r="H211" s="109">
        <f t="shared" si="27"/>
        <v>3</v>
      </c>
      <c r="I211" s="115">
        <v>41472</v>
      </c>
      <c r="J211" s="109">
        <f t="shared" si="30"/>
        <v>3</v>
      </c>
      <c r="K211" s="108">
        <f t="shared" si="28"/>
        <v>41836</v>
      </c>
      <c r="L211" s="109">
        <f t="shared" si="29"/>
        <v>3</v>
      </c>
      <c r="M211" s="110">
        <v>68402.865679397175</v>
      </c>
      <c r="N211" s="110">
        <v>63710.833078477233</v>
      </c>
      <c r="O211" s="110">
        <v>77877.796336810599</v>
      </c>
      <c r="P211" s="110">
        <v>82987.928399209035</v>
      </c>
      <c r="Q211" s="110">
        <v>60051.563049894852</v>
      </c>
      <c r="R211" s="116"/>
      <c r="S211" s="112">
        <v>461.51397222222221</v>
      </c>
      <c r="T211" s="112">
        <v>335.94647222222221</v>
      </c>
      <c r="U211" s="112">
        <v>389.64538888888882</v>
      </c>
      <c r="V211" s="112">
        <v>233.77761111111116</v>
      </c>
      <c r="W211" s="112">
        <v>472.31852777777772</v>
      </c>
      <c r="X211" s="112"/>
    </row>
    <row r="212" spans="1:24" x14ac:dyDescent="0.35">
      <c r="A212" s="108">
        <v>40017</v>
      </c>
      <c r="B212" s="109">
        <f t="shared" si="24"/>
        <v>4</v>
      </c>
      <c r="C212" s="108">
        <v>40381</v>
      </c>
      <c r="D212" s="109">
        <f t="shared" si="25"/>
        <v>4</v>
      </c>
      <c r="E212" s="115">
        <v>40745</v>
      </c>
      <c r="F212" s="109">
        <f t="shared" si="26"/>
        <v>4</v>
      </c>
      <c r="G212" s="115">
        <v>41109</v>
      </c>
      <c r="H212" s="109">
        <f t="shared" si="27"/>
        <v>4</v>
      </c>
      <c r="I212" s="115">
        <v>41473</v>
      </c>
      <c r="J212" s="109">
        <f t="shared" si="30"/>
        <v>4</v>
      </c>
      <c r="K212" s="108">
        <f t="shared" si="28"/>
        <v>41837</v>
      </c>
      <c r="L212" s="109">
        <f t="shared" si="29"/>
        <v>4</v>
      </c>
      <c r="M212" s="110">
        <v>68833.468484952711</v>
      </c>
      <c r="N212" s="110">
        <v>64050.939403477241</v>
      </c>
      <c r="O212" s="110">
        <v>78346.825772921729</v>
      </c>
      <c r="P212" s="110">
        <v>83221.706010320137</v>
      </c>
      <c r="Q212" s="110">
        <v>60582.198605450416</v>
      </c>
      <c r="R212" s="116"/>
      <c r="S212" s="112">
        <v>430.60280555555556</v>
      </c>
      <c r="T212" s="112">
        <v>341.0911111111111</v>
      </c>
      <c r="U212" s="112">
        <v>539.69472777777787</v>
      </c>
      <c r="V212" s="112">
        <v>318.69536111111097</v>
      </c>
      <c r="W212" s="112">
        <v>530.63555555555547</v>
      </c>
      <c r="X212" s="112"/>
    </row>
    <row r="213" spans="1:24" x14ac:dyDescent="0.35">
      <c r="A213" s="108">
        <v>40018</v>
      </c>
      <c r="B213" s="109">
        <f t="shared" si="24"/>
        <v>5</v>
      </c>
      <c r="C213" s="108">
        <v>40382</v>
      </c>
      <c r="D213" s="109">
        <f t="shared" si="25"/>
        <v>5</v>
      </c>
      <c r="E213" s="115">
        <v>40746</v>
      </c>
      <c r="F213" s="109">
        <f t="shared" si="26"/>
        <v>5</v>
      </c>
      <c r="G213" s="115">
        <v>41110</v>
      </c>
      <c r="H213" s="109">
        <f t="shared" si="27"/>
        <v>5</v>
      </c>
      <c r="I213" s="115">
        <v>41474</v>
      </c>
      <c r="J213" s="109">
        <f t="shared" si="30"/>
        <v>5</v>
      </c>
      <c r="K213" s="108">
        <f t="shared" si="28"/>
        <v>41838</v>
      </c>
      <c r="L213" s="109">
        <f t="shared" si="29"/>
        <v>5</v>
      </c>
      <c r="M213" s="110">
        <v>69275.940096063801</v>
      </c>
      <c r="N213" s="110">
        <v>64130.734547921675</v>
      </c>
      <c r="O213" s="110">
        <v>78858.927242366175</v>
      </c>
      <c r="P213" s="110">
        <v>83540.401371431231</v>
      </c>
      <c r="Q213" s="110">
        <v>61117.371994339293</v>
      </c>
      <c r="R213" s="116"/>
      <c r="S213" s="112">
        <v>442.47161111111114</v>
      </c>
      <c r="T213" s="112">
        <v>81.771777777777785</v>
      </c>
      <c r="U213" s="112">
        <v>469.0294361111109</v>
      </c>
      <c r="V213" s="112">
        <v>431.87977777777769</v>
      </c>
      <c r="W213" s="112">
        <v>535.17338888888889</v>
      </c>
      <c r="X213" s="112"/>
    </row>
    <row r="214" spans="1:24" x14ac:dyDescent="0.35">
      <c r="A214" s="108">
        <v>40019</v>
      </c>
      <c r="B214" s="109">
        <f t="shared" si="24"/>
        <v>6</v>
      </c>
      <c r="C214" s="108">
        <v>40383</v>
      </c>
      <c r="D214" s="109">
        <f t="shared" si="25"/>
        <v>6</v>
      </c>
      <c r="E214" s="115">
        <v>40747</v>
      </c>
      <c r="F214" s="109">
        <f t="shared" si="26"/>
        <v>6</v>
      </c>
      <c r="G214" s="115">
        <v>41111</v>
      </c>
      <c r="H214" s="109">
        <f t="shared" si="27"/>
        <v>6</v>
      </c>
      <c r="I214" s="115">
        <v>41475</v>
      </c>
      <c r="J214" s="109">
        <f t="shared" si="30"/>
        <v>6</v>
      </c>
      <c r="K214" s="108">
        <f t="shared" si="28"/>
        <v>41839</v>
      </c>
      <c r="L214" s="109">
        <f t="shared" si="29"/>
        <v>6</v>
      </c>
      <c r="M214" s="110">
        <v>69763.643512730487</v>
      </c>
      <c r="N214" s="110">
        <v>64559.007931255008</v>
      </c>
      <c r="O214" s="110">
        <v>79440.06404792174</v>
      </c>
      <c r="P214" s="110">
        <v>83972.281149209026</v>
      </c>
      <c r="Q214" s="110">
        <v>61838.681244339306</v>
      </c>
      <c r="R214" s="116"/>
      <c r="S214" s="112">
        <v>487.70341666666667</v>
      </c>
      <c r="T214" s="112">
        <v>431.2453055555556</v>
      </c>
      <c r="U214" s="112">
        <v>512.10146944444443</v>
      </c>
      <c r="V214" s="112">
        <v>598.99105555555525</v>
      </c>
      <c r="W214" s="112">
        <v>721.30925000000036</v>
      </c>
      <c r="X214" s="112"/>
    </row>
    <row r="215" spans="1:24" x14ac:dyDescent="0.35">
      <c r="A215" s="108">
        <v>40020</v>
      </c>
      <c r="B215" s="109">
        <f t="shared" si="24"/>
        <v>7</v>
      </c>
      <c r="C215" s="108">
        <v>40384</v>
      </c>
      <c r="D215" s="109">
        <f t="shared" si="25"/>
        <v>7</v>
      </c>
      <c r="E215" s="115">
        <v>40748</v>
      </c>
      <c r="F215" s="109">
        <f t="shared" si="26"/>
        <v>7</v>
      </c>
      <c r="G215" s="115">
        <v>41112</v>
      </c>
      <c r="H215" s="109">
        <f t="shared" si="27"/>
        <v>7</v>
      </c>
      <c r="I215" s="115">
        <v>41476</v>
      </c>
      <c r="J215" s="109">
        <f t="shared" si="30"/>
        <v>7</v>
      </c>
      <c r="K215" s="108">
        <f t="shared" si="28"/>
        <v>41840</v>
      </c>
      <c r="L215" s="109">
        <f t="shared" si="29"/>
        <v>7</v>
      </c>
      <c r="M215" s="110">
        <v>70263.839012730517</v>
      </c>
      <c r="N215" s="110">
        <v>65051.40712569945</v>
      </c>
      <c r="O215" s="110">
        <v>80021.904131255083</v>
      </c>
      <c r="P215" s="110">
        <v>84571.272204764595</v>
      </c>
      <c r="Q215" s="110">
        <v>62559.635161005972</v>
      </c>
      <c r="R215" s="116"/>
      <c r="S215" s="112">
        <v>500.19550000000004</v>
      </c>
      <c r="T215" s="112">
        <v>495.80730555555556</v>
      </c>
      <c r="U215" s="112">
        <v>581.13680555555538</v>
      </c>
      <c r="V215" s="112">
        <v>243.04569444444454</v>
      </c>
      <c r="W215" s="112">
        <v>720.95391666666683</v>
      </c>
      <c r="X215" s="112"/>
    </row>
    <row r="216" spans="1:24" x14ac:dyDescent="0.35">
      <c r="A216" s="108">
        <v>40021</v>
      </c>
      <c r="B216" s="109">
        <f t="shared" si="24"/>
        <v>1</v>
      </c>
      <c r="C216" s="108">
        <v>40385</v>
      </c>
      <c r="D216" s="109">
        <f t="shared" si="25"/>
        <v>1</v>
      </c>
      <c r="E216" s="115">
        <v>40749</v>
      </c>
      <c r="F216" s="109">
        <f t="shared" si="26"/>
        <v>1</v>
      </c>
      <c r="G216" s="115">
        <v>41113</v>
      </c>
      <c r="H216" s="109">
        <f t="shared" si="27"/>
        <v>1</v>
      </c>
      <c r="I216" s="115">
        <v>41477</v>
      </c>
      <c r="J216" s="109">
        <f t="shared" si="30"/>
        <v>1</v>
      </c>
      <c r="K216" s="108">
        <f t="shared" si="28"/>
        <v>41841</v>
      </c>
      <c r="L216" s="109">
        <f t="shared" si="29"/>
        <v>1</v>
      </c>
      <c r="M216" s="110">
        <v>70668.114873841594</v>
      </c>
      <c r="N216" s="110">
        <v>65342.449800699462</v>
      </c>
      <c r="O216" s="110">
        <v>80444.930620143932</v>
      </c>
      <c r="P216" s="110">
        <v>84814.317899209011</v>
      </c>
      <c r="Q216" s="110">
        <v>63204.688327672615</v>
      </c>
      <c r="R216" s="116"/>
      <c r="S216" s="112">
        <v>404.27586111111111</v>
      </c>
      <c r="T216" s="112">
        <v>303.14077777777777</v>
      </c>
      <c r="U216" s="112">
        <v>581.84008333333327</v>
      </c>
      <c r="V216" s="112">
        <v>61.879444444444445</v>
      </c>
      <c r="W216" s="112">
        <v>645.05316666666693</v>
      </c>
      <c r="X216" s="112"/>
    </row>
    <row r="217" spans="1:24" x14ac:dyDescent="0.35">
      <c r="A217" s="108">
        <v>40022</v>
      </c>
      <c r="B217" s="109">
        <f t="shared" si="24"/>
        <v>2</v>
      </c>
      <c r="C217" s="108">
        <v>40386</v>
      </c>
      <c r="D217" s="109">
        <f t="shared" si="25"/>
        <v>2</v>
      </c>
      <c r="E217" s="115">
        <v>40750</v>
      </c>
      <c r="F217" s="109">
        <f t="shared" si="26"/>
        <v>2</v>
      </c>
      <c r="G217" s="115">
        <v>41114</v>
      </c>
      <c r="H217" s="109">
        <f t="shared" si="27"/>
        <v>2</v>
      </c>
      <c r="I217" s="115">
        <v>41478</v>
      </c>
      <c r="J217" s="109">
        <f t="shared" si="30"/>
        <v>2</v>
      </c>
      <c r="K217" s="108">
        <f t="shared" si="28"/>
        <v>41842</v>
      </c>
      <c r="L217" s="109">
        <f t="shared" si="29"/>
        <v>2</v>
      </c>
      <c r="M217" s="110">
        <v>71082.07312384159</v>
      </c>
      <c r="N217" s="110">
        <v>65593.504725699444</v>
      </c>
      <c r="O217" s="110">
        <v>80822.782686810606</v>
      </c>
      <c r="P217" s="110">
        <v>84876.197343653446</v>
      </c>
      <c r="Q217" s="110">
        <v>63729.606827672644</v>
      </c>
      <c r="R217" s="116"/>
      <c r="S217" s="112">
        <v>413.95824999999996</v>
      </c>
      <c r="T217" s="112">
        <v>263.79047222222221</v>
      </c>
      <c r="U217" s="112">
        <v>423.02648888888899</v>
      </c>
      <c r="V217" s="112">
        <v>111.83488888888887</v>
      </c>
      <c r="W217" s="112">
        <v>524.91849999999999</v>
      </c>
      <c r="X217" s="112"/>
    </row>
    <row r="218" spans="1:24" x14ac:dyDescent="0.35">
      <c r="A218" s="108">
        <v>40023</v>
      </c>
      <c r="B218" s="109">
        <f t="shared" si="24"/>
        <v>3</v>
      </c>
      <c r="C218" s="108">
        <v>40387</v>
      </c>
      <c r="D218" s="109">
        <f t="shared" si="25"/>
        <v>3</v>
      </c>
      <c r="E218" s="115">
        <v>40751</v>
      </c>
      <c r="F218" s="109">
        <f t="shared" si="26"/>
        <v>3</v>
      </c>
      <c r="G218" s="115">
        <v>41115</v>
      </c>
      <c r="H218" s="109">
        <f t="shared" si="27"/>
        <v>3</v>
      </c>
      <c r="I218" s="115">
        <v>41479</v>
      </c>
      <c r="J218" s="109">
        <f t="shared" si="30"/>
        <v>3</v>
      </c>
      <c r="K218" s="108">
        <f t="shared" si="28"/>
        <v>41843</v>
      </c>
      <c r="L218" s="109">
        <f t="shared" si="29"/>
        <v>3</v>
      </c>
      <c r="M218" s="110">
        <v>71494.523818286048</v>
      </c>
      <c r="N218" s="110">
        <v>65872.352050699454</v>
      </c>
      <c r="O218" s="110">
        <v>81194.165075699508</v>
      </c>
      <c r="P218" s="110">
        <v>84988.032232542391</v>
      </c>
      <c r="Q218" s="110">
        <v>64240.595188783736</v>
      </c>
      <c r="R218" s="116"/>
      <c r="S218" s="112">
        <v>412.45069444444442</v>
      </c>
      <c r="T218" s="112">
        <v>289.1227777777778</v>
      </c>
      <c r="U218" s="112">
        <v>377.8520666666667</v>
      </c>
      <c r="V218" s="112">
        <v>520.20388888888874</v>
      </c>
      <c r="W218" s="112">
        <v>510.98836111111103</v>
      </c>
      <c r="X218" s="112"/>
    </row>
    <row r="219" spans="1:24" x14ac:dyDescent="0.35">
      <c r="A219" s="108">
        <v>40024</v>
      </c>
      <c r="B219" s="109">
        <f t="shared" si="24"/>
        <v>4</v>
      </c>
      <c r="C219" s="108">
        <v>40388</v>
      </c>
      <c r="D219" s="109">
        <f t="shared" si="25"/>
        <v>4</v>
      </c>
      <c r="E219" s="115">
        <v>40752</v>
      </c>
      <c r="F219" s="109">
        <f t="shared" si="26"/>
        <v>4</v>
      </c>
      <c r="G219" s="115">
        <v>41116</v>
      </c>
      <c r="H219" s="109">
        <f t="shared" si="27"/>
        <v>4</v>
      </c>
      <c r="I219" s="115">
        <v>41480</v>
      </c>
      <c r="J219" s="109">
        <f t="shared" si="30"/>
        <v>4</v>
      </c>
      <c r="K219" s="108">
        <f t="shared" si="28"/>
        <v>41844</v>
      </c>
      <c r="L219" s="109">
        <f t="shared" si="29"/>
        <v>4</v>
      </c>
      <c r="M219" s="110">
        <v>71913.628984952724</v>
      </c>
      <c r="N219" s="110">
        <v>66100.803347921683</v>
      </c>
      <c r="O219" s="110">
        <v>81580.200131255056</v>
      </c>
      <c r="P219" s="110">
        <v>85508.23612143124</v>
      </c>
      <c r="Q219" s="110">
        <v>64721.459105450376</v>
      </c>
      <c r="R219" s="116"/>
      <c r="S219" s="112">
        <v>419.10516666666672</v>
      </c>
      <c r="T219" s="112">
        <v>236.87791666666666</v>
      </c>
      <c r="U219" s="112">
        <v>371.38238888888884</v>
      </c>
      <c r="V219" s="112">
        <v>735.57880555555494</v>
      </c>
      <c r="W219" s="112">
        <v>480.86391666666657</v>
      </c>
      <c r="X219" s="112"/>
    </row>
    <row r="220" spans="1:24" x14ac:dyDescent="0.35">
      <c r="A220" s="108">
        <v>40025</v>
      </c>
      <c r="B220" s="109">
        <f t="shared" si="24"/>
        <v>5</v>
      </c>
      <c r="C220" s="108">
        <v>40389</v>
      </c>
      <c r="D220" s="109">
        <f t="shared" si="25"/>
        <v>5</v>
      </c>
      <c r="E220" s="115">
        <v>40753</v>
      </c>
      <c r="F220" s="109">
        <f t="shared" si="26"/>
        <v>5</v>
      </c>
      <c r="G220" s="115">
        <v>41117</v>
      </c>
      <c r="H220" s="109">
        <f t="shared" si="27"/>
        <v>5</v>
      </c>
      <c r="I220" s="115">
        <v>41481</v>
      </c>
      <c r="J220" s="109">
        <f t="shared" si="30"/>
        <v>5</v>
      </c>
      <c r="K220" s="108">
        <f t="shared" si="28"/>
        <v>41845</v>
      </c>
      <c r="L220" s="109">
        <f t="shared" si="29"/>
        <v>5</v>
      </c>
      <c r="M220" s="110">
        <v>72470.342373841573</v>
      </c>
      <c r="N220" s="110">
        <v>66532.212270143908</v>
      </c>
      <c r="O220" s="110">
        <v>82043.153075699476</v>
      </c>
      <c r="P220" s="110">
        <v>86243.814926986801</v>
      </c>
      <c r="Q220" s="110">
        <v>65225.359022117074</v>
      </c>
      <c r="R220" s="116"/>
      <c r="S220" s="112">
        <v>556.71338888888886</v>
      </c>
      <c r="T220" s="112">
        <v>440.40686111111108</v>
      </c>
      <c r="U220" s="112">
        <v>386.03505555555546</v>
      </c>
      <c r="V220" s="112">
        <v>772.88991666666686</v>
      </c>
      <c r="W220" s="112">
        <v>503.8999166666668</v>
      </c>
      <c r="X220" s="112"/>
    </row>
    <row r="221" spans="1:24" x14ac:dyDescent="0.35">
      <c r="A221" s="108">
        <v>40026</v>
      </c>
      <c r="B221" s="109">
        <f t="shared" si="24"/>
        <v>6</v>
      </c>
      <c r="C221" s="108">
        <v>40390</v>
      </c>
      <c r="D221" s="109">
        <f t="shared" si="25"/>
        <v>6</v>
      </c>
      <c r="E221" s="115">
        <v>40754</v>
      </c>
      <c r="F221" s="109">
        <f t="shared" si="26"/>
        <v>6</v>
      </c>
      <c r="G221" s="115">
        <v>41118</v>
      </c>
      <c r="H221" s="109">
        <f t="shared" si="27"/>
        <v>6</v>
      </c>
      <c r="I221" s="115">
        <v>41482</v>
      </c>
      <c r="J221" s="109">
        <f t="shared" si="30"/>
        <v>6</v>
      </c>
      <c r="K221" s="108">
        <f t="shared" si="28"/>
        <v>41846</v>
      </c>
      <c r="L221" s="109">
        <f t="shared" si="29"/>
        <v>6</v>
      </c>
      <c r="M221" s="110">
        <v>72854.232984952716</v>
      </c>
      <c r="N221" s="110">
        <v>66986.08487014391</v>
      </c>
      <c r="O221" s="110">
        <v>82647.615992366147</v>
      </c>
      <c r="P221" s="110">
        <v>87016.704843653453</v>
      </c>
      <c r="Q221" s="110">
        <v>65951.580883228162</v>
      </c>
      <c r="R221" s="116"/>
      <c r="S221" s="112">
        <v>383.89061111111107</v>
      </c>
      <c r="T221" s="112">
        <v>459.61477777777776</v>
      </c>
      <c r="U221" s="112">
        <v>462.95294444444454</v>
      </c>
      <c r="V221" s="112">
        <v>739.13022222222219</v>
      </c>
      <c r="W221" s="112">
        <v>726.22186111111137</v>
      </c>
      <c r="X221" s="112"/>
    </row>
    <row r="222" spans="1:24" x14ac:dyDescent="0.35">
      <c r="A222" s="108">
        <v>40027</v>
      </c>
      <c r="B222" s="109">
        <f t="shared" si="24"/>
        <v>7</v>
      </c>
      <c r="C222" s="108">
        <v>40391</v>
      </c>
      <c r="D222" s="109">
        <f t="shared" si="25"/>
        <v>7</v>
      </c>
      <c r="E222" s="115">
        <v>40755</v>
      </c>
      <c r="F222" s="109">
        <f t="shared" si="26"/>
        <v>7</v>
      </c>
      <c r="G222" s="115">
        <v>41119</v>
      </c>
      <c r="H222" s="109">
        <f t="shared" si="27"/>
        <v>7</v>
      </c>
      <c r="I222" s="115">
        <v>41483</v>
      </c>
      <c r="J222" s="109">
        <f t="shared" si="30"/>
        <v>7</v>
      </c>
      <c r="K222" s="108">
        <f t="shared" si="28"/>
        <v>41847</v>
      </c>
      <c r="L222" s="109">
        <f t="shared" si="29"/>
        <v>7</v>
      </c>
      <c r="M222" s="110">
        <v>73103.478873841625</v>
      </c>
      <c r="N222" s="110">
        <v>67430.4210479217</v>
      </c>
      <c r="O222" s="110">
        <v>83442.180794076354</v>
      </c>
      <c r="P222" s="110">
        <v>87755.835065875697</v>
      </c>
      <c r="Q222" s="110">
        <v>66705.90135545042</v>
      </c>
      <c r="R222" s="116"/>
      <c r="S222" s="112">
        <v>249.24588888888889</v>
      </c>
      <c r="T222" s="112">
        <v>454.7190555555556</v>
      </c>
      <c r="U222" s="112">
        <v>604.46291666666696</v>
      </c>
      <c r="V222" s="112">
        <v>521.07436111111099</v>
      </c>
      <c r="W222" s="112">
        <v>754.32047222222252</v>
      </c>
      <c r="X222" s="112"/>
    </row>
    <row r="223" spans="1:24" x14ac:dyDescent="0.35">
      <c r="A223" s="108">
        <v>40028</v>
      </c>
      <c r="B223" s="109">
        <f t="shared" si="24"/>
        <v>1</v>
      </c>
      <c r="C223" s="108">
        <v>40392</v>
      </c>
      <c r="D223" s="109">
        <f t="shared" si="25"/>
        <v>1</v>
      </c>
      <c r="E223" s="115">
        <v>40756</v>
      </c>
      <c r="F223" s="109">
        <f t="shared" si="26"/>
        <v>1</v>
      </c>
      <c r="G223" s="115">
        <v>41120</v>
      </c>
      <c r="H223" s="109">
        <f t="shared" si="27"/>
        <v>1</v>
      </c>
      <c r="I223" s="115">
        <v>41484</v>
      </c>
      <c r="J223" s="109">
        <f t="shared" si="30"/>
        <v>1</v>
      </c>
      <c r="K223" s="108">
        <f t="shared" si="28"/>
        <v>41848</v>
      </c>
      <c r="L223" s="109">
        <f t="shared" si="29"/>
        <v>1</v>
      </c>
      <c r="M223" s="110">
        <v>73229.019373841598</v>
      </c>
      <c r="N223" s="110">
        <v>67763.48931458834</v>
      </c>
      <c r="O223" s="110">
        <v>83718.814620143967</v>
      </c>
      <c r="P223" s="110">
        <v>88276.909426986793</v>
      </c>
      <c r="Q223" s="110">
        <v>67138.78843878374</v>
      </c>
      <c r="R223" s="116"/>
      <c r="S223" s="112">
        <v>125.54049999999999</v>
      </c>
      <c r="T223" s="112">
        <v>344.01269444444443</v>
      </c>
      <c r="U223" s="112">
        <v>590.80697222222204</v>
      </c>
      <c r="V223" s="112">
        <v>413.35466666666662</v>
      </c>
      <c r="W223" s="112">
        <v>432.88708333333318</v>
      </c>
      <c r="X223" s="112"/>
    </row>
    <row r="224" spans="1:24" x14ac:dyDescent="0.35">
      <c r="A224" s="108">
        <v>40029</v>
      </c>
      <c r="B224" s="109">
        <f t="shared" si="24"/>
        <v>2</v>
      </c>
      <c r="C224" s="108">
        <v>40393</v>
      </c>
      <c r="D224" s="109">
        <f t="shared" si="25"/>
        <v>2</v>
      </c>
      <c r="E224" s="115">
        <v>40757</v>
      </c>
      <c r="F224" s="109">
        <f t="shared" si="26"/>
        <v>2</v>
      </c>
      <c r="G224" s="115">
        <v>41121</v>
      </c>
      <c r="H224" s="109">
        <f t="shared" si="27"/>
        <v>2</v>
      </c>
      <c r="I224" s="115">
        <v>41485</v>
      </c>
      <c r="J224" s="109">
        <f t="shared" si="30"/>
        <v>2</v>
      </c>
      <c r="K224" s="108">
        <f t="shared" si="28"/>
        <v>41849</v>
      </c>
      <c r="L224" s="109">
        <f t="shared" si="29"/>
        <v>2</v>
      </c>
      <c r="M224" s="110">
        <v>73565.535290508255</v>
      </c>
      <c r="N224" s="110">
        <v>67988.08196181056</v>
      </c>
      <c r="O224" s="110">
        <v>83994.829931255037</v>
      </c>
      <c r="P224" s="110">
        <v>88654.502065875684</v>
      </c>
      <c r="Q224" s="110">
        <v>67832.185411005965</v>
      </c>
      <c r="R224" s="116"/>
      <c r="S224" s="112">
        <v>336.51591666666667</v>
      </c>
      <c r="T224" s="112">
        <v>237.48391666666666</v>
      </c>
      <c r="U224" s="112">
        <v>295.14854444444438</v>
      </c>
      <c r="V224" s="112">
        <v>251.20716666666664</v>
      </c>
      <c r="W224" s="112">
        <v>693.39697222222253</v>
      </c>
      <c r="X224" s="112"/>
    </row>
    <row r="225" spans="1:24" x14ac:dyDescent="0.35">
      <c r="A225" s="108">
        <v>40030</v>
      </c>
      <c r="B225" s="109">
        <f t="shared" si="24"/>
        <v>3</v>
      </c>
      <c r="C225" s="108">
        <v>40394</v>
      </c>
      <c r="D225" s="109">
        <f t="shared" si="25"/>
        <v>3</v>
      </c>
      <c r="E225" s="115">
        <v>40758</v>
      </c>
      <c r="F225" s="109">
        <f t="shared" si="26"/>
        <v>3</v>
      </c>
      <c r="G225" s="115">
        <v>41122</v>
      </c>
      <c r="H225" s="109">
        <f t="shared" si="27"/>
        <v>3</v>
      </c>
      <c r="I225" s="115">
        <v>41486</v>
      </c>
      <c r="J225" s="109">
        <f t="shared" si="30"/>
        <v>3</v>
      </c>
      <c r="K225" s="108">
        <f t="shared" si="28"/>
        <v>41850</v>
      </c>
      <c r="L225" s="109">
        <f t="shared" si="29"/>
        <v>3</v>
      </c>
      <c r="M225" s="110">
        <v>73978.889096063824</v>
      </c>
      <c r="N225" s="110">
        <v>68215.772786810587</v>
      </c>
      <c r="O225" s="110">
        <v>84248.596650699488</v>
      </c>
      <c r="P225" s="110">
        <v>88941.471260320119</v>
      </c>
      <c r="Q225" s="110">
        <v>68555.133549894861</v>
      </c>
      <c r="R225" s="117"/>
      <c r="S225" s="112">
        <v>413.35380555555554</v>
      </c>
      <c r="T225" s="112">
        <v>240.26611111111112</v>
      </c>
      <c r="U225" s="112">
        <v>276.01531111111109</v>
      </c>
      <c r="V225" s="112">
        <v>328.10688888888882</v>
      </c>
      <c r="W225" s="112">
        <v>722.94813888888928</v>
      </c>
      <c r="X225" s="112"/>
    </row>
    <row r="226" spans="1:24" x14ac:dyDescent="0.35">
      <c r="A226" s="108">
        <v>40031</v>
      </c>
      <c r="B226" s="109">
        <f t="shared" si="24"/>
        <v>4</v>
      </c>
      <c r="C226" s="108">
        <v>40395</v>
      </c>
      <c r="D226" s="109">
        <f t="shared" si="25"/>
        <v>4</v>
      </c>
      <c r="E226" s="115">
        <v>40759</v>
      </c>
      <c r="F226" s="109">
        <f t="shared" si="26"/>
        <v>4</v>
      </c>
      <c r="G226" s="115">
        <v>41123</v>
      </c>
      <c r="H226" s="109">
        <f t="shared" si="27"/>
        <v>4</v>
      </c>
      <c r="I226" s="115">
        <v>41487</v>
      </c>
      <c r="J226" s="109">
        <f t="shared" si="30"/>
        <v>4</v>
      </c>
      <c r="K226" s="108">
        <f t="shared" si="28"/>
        <v>41851</v>
      </c>
      <c r="L226" s="109">
        <f t="shared" si="29"/>
        <v>4</v>
      </c>
      <c r="M226" s="110">
        <v>74184.01742939715</v>
      </c>
      <c r="N226" s="110">
        <v>68445.538634032811</v>
      </c>
      <c r="O226" s="110">
        <v>84514.939384032768</v>
      </c>
      <c r="P226" s="110">
        <v>89269.578149209017</v>
      </c>
      <c r="Q226" s="110">
        <v>69200.608827672622</v>
      </c>
      <c r="R226" s="116"/>
      <c r="S226" s="112">
        <v>205.12833333333333</v>
      </c>
      <c r="T226" s="112">
        <v>242.77266666666665</v>
      </c>
      <c r="U226" s="112">
        <v>253.76671944444445</v>
      </c>
      <c r="V226" s="112">
        <v>400.24172222222228</v>
      </c>
      <c r="W226" s="112">
        <v>645.47527777777782</v>
      </c>
      <c r="X226" s="112"/>
    </row>
    <row r="227" spans="1:24" x14ac:dyDescent="0.35">
      <c r="A227" s="108">
        <v>40032</v>
      </c>
      <c r="B227" s="109">
        <f t="shared" si="24"/>
        <v>5</v>
      </c>
      <c r="C227" s="108">
        <v>40396</v>
      </c>
      <c r="D227" s="109">
        <f t="shared" si="25"/>
        <v>5</v>
      </c>
      <c r="E227" s="115">
        <v>40760</v>
      </c>
      <c r="F227" s="109">
        <f t="shared" si="26"/>
        <v>5</v>
      </c>
      <c r="G227" s="115">
        <v>41124</v>
      </c>
      <c r="H227" s="109">
        <f t="shared" si="27"/>
        <v>5</v>
      </c>
      <c r="I227" s="115">
        <v>41488</v>
      </c>
      <c r="J227" s="109">
        <f t="shared" si="30"/>
        <v>5</v>
      </c>
      <c r="K227" s="108">
        <f t="shared" si="28"/>
        <v>41852</v>
      </c>
      <c r="L227" s="109">
        <f t="shared" si="29"/>
        <v>5</v>
      </c>
      <c r="M227" s="110">
        <v>74455.324401619378</v>
      </c>
      <c r="N227" s="110">
        <v>68868.307836810563</v>
      </c>
      <c r="O227" s="110">
        <v>84872.525000699476</v>
      </c>
      <c r="P227" s="110">
        <v>89669.819871431275</v>
      </c>
      <c r="Q227" s="110">
        <v>69870.319494339317</v>
      </c>
      <c r="R227" s="116"/>
      <c r="S227" s="112">
        <v>271.30697222222221</v>
      </c>
      <c r="T227" s="112">
        <v>435.8748888888889</v>
      </c>
      <c r="U227" s="112">
        <v>266.34273333333334</v>
      </c>
      <c r="V227" s="112">
        <v>411.75019444444428</v>
      </c>
      <c r="W227" s="112">
        <v>669.71066666666695</v>
      </c>
      <c r="X227" s="112"/>
    </row>
    <row r="228" spans="1:24" x14ac:dyDescent="0.35">
      <c r="A228" s="108">
        <v>40033</v>
      </c>
      <c r="B228" s="109">
        <f t="shared" ref="B228:B291" si="31">WEEKDAY(A228,2)</f>
        <v>6</v>
      </c>
      <c r="C228" s="108">
        <v>40397</v>
      </c>
      <c r="D228" s="109">
        <f t="shared" si="25"/>
        <v>6</v>
      </c>
      <c r="E228" s="115">
        <v>40761</v>
      </c>
      <c r="F228" s="109">
        <f t="shared" si="26"/>
        <v>6</v>
      </c>
      <c r="G228" s="115">
        <v>41125</v>
      </c>
      <c r="H228" s="109">
        <f t="shared" si="27"/>
        <v>6</v>
      </c>
      <c r="I228" s="115">
        <v>41489</v>
      </c>
      <c r="J228" s="109">
        <f t="shared" si="30"/>
        <v>6</v>
      </c>
      <c r="K228" s="108">
        <f t="shared" si="28"/>
        <v>41853</v>
      </c>
      <c r="L228" s="109">
        <f t="shared" si="29"/>
        <v>6</v>
      </c>
      <c r="M228" s="110">
        <v>74727.273012730511</v>
      </c>
      <c r="N228" s="110">
        <v>69314.507742366113</v>
      </c>
      <c r="O228" s="110">
        <v>85270.671492366149</v>
      </c>
      <c r="P228" s="110">
        <v>90081.570065875712</v>
      </c>
      <c r="Q228" s="110">
        <v>70530.545577672645</v>
      </c>
      <c r="R228" s="116"/>
      <c r="S228" s="112">
        <v>271.94861111111112</v>
      </c>
      <c r="T228" s="112">
        <v>459.34583333333336</v>
      </c>
      <c r="U228" s="112">
        <v>357.58561666666651</v>
      </c>
      <c r="V228" s="112">
        <v>437.06336111111102</v>
      </c>
      <c r="W228" s="112">
        <v>660.22608333333358</v>
      </c>
      <c r="X228" s="112"/>
    </row>
    <row r="229" spans="1:24" x14ac:dyDescent="0.35">
      <c r="A229" s="108">
        <v>40034</v>
      </c>
      <c r="B229" s="109">
        <f t="shared" si="31"/>
        <v>7</v>
      </c>
      <c r="C229" s="108">
        <v>40398</v>
      </c>
      <c r="D229" s="109">
        <f t="shared" ref="D229:D292" si="32">WEEKDAY(C229,2)</f>
        <v>7</v>
      </c>
      <c r="E229" s="115">
        <v>40762</v>
      </c>
      <c r="F229" s="109">
        <f t="shared" si="26"/>
        <v>7</v>
      </c>
      <c r="G229" s="115">
        <v>41126</v>
      </c>
      <c r="H229" s="109">
        <f t="shared" si="27"/>
        <v>7</v>
      </c>
      <c r="I229" s="115">
        <v>41490</v>
      </c>
      <c r="J229" s="109">
        <f t="shared" si="30"/>
        <v>7</v>
      </c>
      <c r="K229" s="108">
        <f t="shared" si="28"/>
        <v>41854</v>
      </c>
      <c r="L229" s="109">
        <f t="shared" si="29"/>
        <v>7</v>
      </c>
      <c r="M229" s="110">
        <v>75053.038373841613</v>
      </c>
      <c r="N229" s="110">
        <v>69706.136078477241</v>
      </c>
      <c r="O229" s="110">
        <v>85685.414292366171</v>
      </c>
      <c r="P229" s="110">
        <v>90518.63342698678</v>
      </c>
      <c r="Q229" s="110">
        <v>71162.686633228193</v>
      </c>
      <c r="R229" s="116"/>
      <c r="S229" s="112">
        <v>325.76536111111113</v>
      </c>
      <c r="T229" s="112">
        <v>404.77625</v>
      </c>
      <c r="U229" s="112">
        <v>398.14649166666669</v>
      </c>
      <c r="V229" s="112">
        <v>417.39833333333314</v>
      </c>
      <c r="W229" s="112">
        <v>632.14105555555579</v>
      </c>
      <c r="X229" s="112"/>
    </row>
    <row r="230" spans="1:24" x14ac:dyDescent="0.35">
      <c r="A230" s="108">
        <v>40035</v>
      </c>
      <c r="B230" s="109">
        <f t="shared" si="31"/>
        <v>1</v>
      </c>
      <c r="C230" s="108">
        <v>40399</v>
      </c>
      <c r="D230" s="109">
        <f t="shared" si="32"/>
        <v>1</v>
      </c>
      <c r="E230" s="115">
        <v>40763</v>
      </c>
      <c r="F230" s="109">
        <f t="shared" ref="F230:F293" si="33">WEEKDAY(E230,2)</f>
        <v>1</v>
      </c>
      <c r="G230" s="115">
        <v>41127</v>
      </c>
      <c r="H230" s="109">
        <f t="shared" si="27"/>
        <v>1</v>
      </c>
      <c r="I230" s="115">
        <v>41491</v>
      </c>
      <c r="J230" s="109">
        <f t="shared" si="30"/>
        <v>1</v>
      </c>
      <c r="K230" s="108">
        <f t="shared" si="28"/>
        <v>41855</v>
      </c>
      <c r="L230" s="109">
        <f t="shared" si="29"/>
        <v>1</v>
      </c>
      <c r="M230" s="110">
        <v>75439.886373841597</v>
      </c>
      <c r="N230" s="110">
        <v>70018.245775699455</v>
      </c>
      <c r="O230" s="110">
        <v>86242.580367366172</v>
      </c>
      <c r="P230" s="110">
        <v>90936.031760320169</v>
      </c>
      <c r="Q230" s="110">
        <v>71712.14382767264</v>
      </c>
      <c r="R230" s="116"/>
      <c r="S230" s="112">
        <v>386.84800000000001</v>
      </c>
      <c r="T230" s="112">
        <v>324.92738888888891</v>
      </c>
      <c r="U230" s="112">
        <v>414.74279999999993</v>
      </c>
      <c r="V230" s="112">
        <v>394.51594444444453</v>
      </c>
      <c r="W230" s="112">
        <v>549.45719444444444</v>
      </c>
      <c r="X230" s="112"/>
    </row>
    <row r="231" spans="1:24" x14ac:dyDescent="0.35">
      <c r="A231" s="108">
        <v>40036</v>
      </c>
      <c r="B231" s="109">
        <f t="shared" si="31"/>
        <v>2</v>
      </c>
      <c r="C231" s="108">
        <v>40400</v>
      </c>
      <c r="D231" s="109">
        <f t="shared" si="32"/>
        <v>2</v>
      </c>
      <c r="E231" s="115">
        <v>40764</v>
      </c>
      <c r="F231" s="109">
        <f t="shared" si="33"/>
        <v>2</v>
      </c>
      <c r="G231" s="115">
        <v>41128</v>
      </c>
      <c r="H231" s="109">
        <f t="shared" si="27"/>
        <v>2</v>
      </c>
      <c r="I231" s="115">
        <v>41492</v>
      </c>
      <c r="J231" s="109">
        <f t="shared" si="30"/>
        <v>2</v>
      </c>
      <c r="K231" s="108">
        <f t="shared" si="28"/>
        <v>41856</v>
      </c>
      <c r="L231" s="109">
        <f t="shared" si="29"/>
        <v>2</v>
      </c>
      <c r="M231" s="110">
        <v>75844.997568286024</v>
      </c>
      <c r="N231" s="110">
        <v>70348.399928477244</v>
      </c>
      <c r="O231" s="110">
        <v>86835.565734032818</v>
      </c>
      <c r="P231" s="110">
        <v>91330.547704764569</v>
      </c>
      <c r="Q231" s="110">
        <v>72153.477883228188</v>
      </c>
      <c r="R231" s="116"/>
      <c r="S231" s="112">
        <v>405.11119444444444</v>
      </c>
      <c r="T231" s="112">
        <v>343.1392222222222</v>
      </c>
      <c r="U231" s="112">
        <v>557.16607499999998</v>
      </c>
      <c r="V231" s="112">
        <v>463.71972222222212</v>
      </c>
      <c r="W231" s="112">
        <v>441.33405555555549</v>
      </c>
      <c r="X231" s="112"/>
    </row>
    <row r="232" spans="1:24" x14ac:dyDescent="0.35">
      <c r="A232" s="108">
        <v>40037</v>
      </c>
      <c r="B232" s="109">
        <f t="shared" si="31"/>
        <v>3</v>
      </c>
      <c r="C232" s="108">
        <v>40401</v>
      </c>
      <c r="D232" s="109">
        <f t="shared" si="32"/>
        <v>3</v>
      </c>
      <c r="E232" s="115">
        <v>40765</v>
      </c>
      <c r="F232" s="109">
        <f t="shared" si="33"/>
        <v>3</v>
      </c>
      <c r="G232" s="115">
        <v>41129</v>
      </c>
      <c r="H232" s="109">
        <f t="shared" ref="H232:H295" si="34">WEEKDAY(G232,2)</f>
        <v>3</v>
      </c>
      <c r="I232" s="115">
        <v>41493</v>
      </c>
      <c r="J232" s="109">
        <f t="shared" si="30"/>
        <v>3</v>
      </c>
      <c r="K232" s="108">
        <f t="shared" si="28"/>
        <v>41857</v>
      </c>
      <c r="L232" s="109">
        <f t="shared" si="29"/>
        <v>3</v>
      </c>
      <c r="M232" s="110">
        <v>76180.180346063862</v>
      </c>
      <c r="N232" s="110">
        <v>70622.887042366128</v>
      </c>
      <c r="O232" s="110">
        <v>87477.365028477216</v>
      </c>
      <c r="P232" s="110">
        <v>91794.267426986757</v>
      </c>
      <c r="Q232" s="110">
        <v>72650.381855450411</v>
      </c>
      <c r="R232" s="116"/>
      <c r="S232" s="112">
        <v>335.1827777777778</v>
      </c>
      <c r="T232" s="112">
        <v>287.33463888888889</v>
      </c>
      <c r="U232" s="112">
        <v>592.98536666666632</v>
      </c>
      <c r="V232" s="112">
        <v>496.61758333333341</v>
      </c>
      <c r="W232" s="112">
        <v>496.90397222222231</v>
      </c>
      <c r="X232" s="112"/>
    </row>
    <row r="233" spans="1:24" x14ac:dyDescent="0.35">
      <c r="A233" s="108">
        <v>40038</v>
      </c>
      <c r="B233" s="109">
        <f t="shared" si="31"/>
        <v>4</v>
      </c>
      <c r="C233" s="108">
        <v>40402</v>
      </c>
      <c r="D233" s="109">
        <f t="shared" si="32"/>
        <v>4</v>
      </c>
      <c r="E233" s="115">
        <v>40766</v>
      </c>
      <c r="F233" s="109">
        <f t="shared" si="33"/>
        <v>4</v>
      </c>
      <c r="G233" s="115">
        <v>41130</v>
      </c>
      <c r="H233" s="109">
        <f t="shared" si="34"/>
        <v>4</v>
      </c>
      <c r="I233" s="115">
        <v>41494</v>
      </c>
      <c r="J233" s="109">
        <f t="shared" si="30"/>
        <v>4</v>
      </c>
      <c r="K233" s="108">
        <f t="shared" si="28"/>
        <v>41858</v>
      </c>
      <c r="L233" s="109">
        <f t="shared" si="29"/>
        <v>4</v>
      </c>
      <c r="M233" s="110">
        <v>76464.343068286049</v>
      </c>
      <c r="N233" s="110">
        <v>70960.238572921691</v>
      </c>
      <c r="O233" s="110">
        <v>88157.391364588402</v>
      </c>
      <c r="P233" s="110">
        <v>92290.885010320097</v>
      </c>
      <c r="Q233" s="110">
        <v>73248.704577672645</v>
      </c>
      <c r="R233" s="116"/>
      <c r="S233" s="112">
        <v>284.16272222222221</v>
      </c>
      <c r="T233" s="112">
        <v>349.97622222222219</v>
      </c>
      <c r="U233" s="112">
        <v>641.79929444444417</v>
      </c>
      <c r="V233" s="112">
        <v>593.69572222222234</v>
      </c>
      <c r="W233" s="112">
        <v>598.32272222222264</v>
      </c>
      <c r="X233" s="112"/>
    </row>
    <row r="234" spans="1:24" x14ac:dyDescent="0.35">
      <c r="A234" s="108">
        <v>40039</v>
      </c>
      <c r="B234" s="109">
        <f t="shared" si="31"/>
        <v>5</v>
      </c>
      <c r="C234" s="108">
        <v>40403</v>
      </c>
      <c r="D234" s="109">
        <f t="shared" si="32"/>
        <v>5</v>
      </c>
      <c r="E234" s="115">
        <v>40767</v>
      </c>
      <c r="F234" s="109">
        <f t="shared" si="33"/>
        <v>5</v>
      </c>
      <c r="G234" s="115">
        <v>41131</v>
      </c>
      <c r="H234" s="109">
        <f t="shared" si="34"/>
        <v>5</v>
      </c>
      <c r="I234" s="115">
        <v>41495</v>
      </c>
      <c r="J234" s="109">
        <f t="shared" si="30"/>
        <v>5</v>
      </c>
      <c r="K234" s="108">
        <f t="shared" ref="K234:K297" si="35">K233+1</f>
        <v>41859</v>
      </c>
      <c r="L234" s="109">
        <f t="shared" si="29"/>
        <v>5</v>
      </c>
      <c r="M234" s="110">
        <v>76945.195401619392</v>
      </c>
      <c r="N234" s="110">
        <v>71499.648022921683</v>
      </c>
      <c r="O234" s="110">
        <v>88732.926697921692</v>
      </c>
      <c r="P234" s="110">
        <v>92884.580732542396</v>
      </c>
      <c r="Q234" s="110">
        <v>74042.513827672665</v>
      </c>
      <c r="R234" s="116"/>
      <c r="S234" s="112">
        <v>480.85233333333332</v>
      </c>
      <c r="T234" s="112">
        <v>552.71733333333327</v>
      </c>
      <c r="U234" s="112">
        <v>680.02633611111105</v>
      </c>
      <c r="V234" s="112">
        <v>579.21136111111116</v>
      </c>
      <c r="W234" s="112">
        <v>793.80925000000013</v>
      </c>
      <c r="X234" s="112"/>
    </row>
    <row r="235" spans="1:24" x14ac:dyDescent="0.35">
      <c r="A235" s="108">
        <v>40040</v>
      </c>
      <c r="B235" s="109">
        <f t="shared" si="31"/>
        <v>6</v>
      </c>
      <c r="C235" s="108">
        <v>40404</v>
      </c>
      <c r="D235" s="109">
        <f t="shared" si="32"/>
        <v>6</v>
      </c>
      <c r="E235" s="115">
        <v>40768</v>
      </c>
      <c r="F235" s="109">
        <f t="shared" si="33"/>
        <v>6</v>
      </c>
      <c r="G235" s="115">
        <v>41132</v>
      </c>
      <c r="H235" s="109">
        <f t="shared" si="34"/>
        <v>6</v>
      </c>
      <c r="I235" s="115">
        <v>41496</v>
      </c>
      <c r="J235" s="109">
        <f t="shared" si="30"/>
        <v>6</v>
      </c>
      <c r="K235" s="108">
        <f t="shared" si="35"/>
        <v>41860</v>
      </c>
      <c r="L235" s="109">
        <f t="shared" si="29"/>
        <v>6</v>
      </c>
      <c r="M235" s="110">
        <v>77415.073373841631</v>
      </c>
      <c r="N235" s="110">
        <v>71996.105836810602</v>
      </c>
      <c r="O235" s="110">
        <v>89188.962684032827</v>
      </c>
      <c r="P235" s="110">
        <v>93463.792093653494</v>
      </c>
      <c r="Q235" s="110">
        <v>74763.049161005983</v>
      </c>
      <c r="R235" s="116"/>
      <c r="S235" s="112">
        <v>469.87797222222218</v>
      </c>
      <c r="T235" s="112">
        <v>509.86469444444441</v>
      </c>
      <c r="U235" s="112">
        <v>575.53533333333303</v>
      </c>
      <c r="V235" s="112">
        <v>535.54027777777787</v>
      </c>
      <c r="W235" s="112">
        <v>720.53533333333337</v>
      </c>
      <c r="X235" s="112"/>
    </row>
    <row r="236" spans="1:24" x14ac:dyDescent="0.35">
      <c r="A236" s="108">
        <v>40041</v>
      </c>
      <c r="B236" s="109">
        <f t="shared" si="31"/>
        <v>7</v>
      </c>
      <c r="C236" s="108">
        <v>40405</v>
      </c>
      <c r="D236" s="109">
        <f t="shared" si="32"/>
        <v>7</v>
      </c>
      <c r="E236" s="115">
        <v>40769</v>
      </c>
      <c r="F236" s="109">
        <f t="shared" si="33"/>
        <v>7</v>
      </c>
      <c r="G236" s="115">
        <v>41133</v>
      </c>
      <c r="H236" s="109">
        <f t="shared" si="34"/>
        <v>7</v>
      </c>
      <c r="I236" s="115">
        <v>41497</v>
      </c>
      <c r="J236" s="109">
        <f t="shared" si="30"/>
        <v>7</v>
      </c>
      <c r="K236" s="108">
        <f t="shared" si="35"/>
        <v>41861</v>
      </c>
      <c r="L236" s="109">
        <f t="shared" si="29"/>
        <v>7</v>
      </c>
      <c r="M236" s="110">
        <v>77748.465596063776</v>
      </c>
      <c r="N236" s="110">
        <v>72501.322086810629</v>
      </c>
      <c r="O236" s="110">
        <v>89635.331020143916</v>
      </c>
      <c r="P236" s="110">
        <v>93999.332371431257</v>
      </c>
      <c r="Q236" s="110">
        <v>75487.27696656152</v>
      </c>
      <c r="R236" s="116"/>
      <c r="S236" s="112">
        <v>333.39222222222224</v>
      </c>
      <c r="T236" s="112">
        <v>518.62249999999995</v>
      </c>
      <c r="U236" s="112">
        <v>456.03598611111107</v>
      </c>
      <c r="V236" s="112">
        <v>567.08875000000012</v>
      </c>
      <c r="W236" s="112">
        <v>724.22780555555596</v>
      </c>
      <c r="X236" s="112"/>
    </row>
    <row r="237" spans="1:24" x14ac:dyDescent="0.35">
      <c r="A237" s="108">
        <v>40042</v>
      </c>
      <c r="B237" s="109">
        <f t="shared" si="31"/>
        <v>1</v>
      </c>
      <c r="C237" s="108">
        <v>40406</v>
      </c>
      <c r="D237" s="109">
        <f t="shared" si="32"/>
        <v>1</v>
      </c>
      <c r="E237" s="115">
        <v>40770</v>
      </c>
      <c r="F237" s="109">
        <f t="shared" si="33"/>
        <v>1</v>
      </c>
      <c r="G237" s="115">
        <v>41134</v>
      </c>
      <c r="H237" s="109">
        <f t="shared" si="34"/>
        <v>1</v>
      </c>
      <c r="I237" s="115">
        <v>41498</v>
      </c>
      <c r="J237" s="109">
        <f t="shared" si="30"/>
        <v>1</v>
      </c>
      <c r="K237" s="108">
        <f t="shared" si="35"/>
        <v>41862</v>
      </c>
      <c r="L237" s="109">
        <f t="shared" si="29"/>
        <v>1</v>
      </c>
      <c r="M237" s="110">
        <v>78015.962734952758</v>
      </c>
      <c r="N237" s="110">
        <v>73146.507420143913</v>
      </c>
      <c r="O237" s="110">
        <v>90137.952059032803</v>
      </c>
      <c r="P237" s="110">
        <v>94566.421121431224</v>
      </c>
      <c r="Q237" s="110">
        <v>76081.11791100596</v>
      </c>
      <c r="R237" s="116"/>
      <c r="S237" s="112">
        <v>267.49713888888886</v>
      </c>
      <c r="T237" s="112">
        <v>657.72416666666663</v>
      </c>
      <c r="U237" s="112">
        <v>446.36833611111103</v>
      </c>
      <c r="V237" s="112">
        <v>484.75369444444448</v>
      </c>
      <c r="W237" s="112">
        <v>593.8409444444444</v>
      </c>
      <c r="X237" s="112"/>
    </row>
    <row r="238" spans="1:24" x14ac:dyDescent="0.35">
      <c r="A238" s="108">
        <v>40043</v>
      </c>
      <c r="B238" s="109">
        <f t="shared" si="31"/>
        <v>2</v>
      </c>
      <c r="C238" s="108">
        <v>40407</v>
      </c>
      <c r="D238" s="109">
        <f t="shared" si="32"/>
        <v>2</v>
      </c>
      <c r="E238" s="115">
        <v>40771</v>
      </c>
      <c r="F238" s="109">
        <f t="shared" si="33"/>
        <v>2</v>
      </c>
      <c r="G238" s="115">
        <v>41135</v>
      </c>
      <c r="H238" s="109">
        <f t="shared" si="34"/>
        <v>2</v>
      </c>
      <c r="I238" s="115">
        <v>41499</v>
      </c>
      <c r="J238" s="109">
        <f t="shared" si="30"/>
        <v>2</v>
      </c>
      <c r="K238" s="108">
        <f t="shared" si="35"/>
        <v>41863</v>
      </c>
      <c r="L238" s="109">
        <f t="shared" si="29"/>
        <v>2</v>
      </c>
      <c r="M238" s="110">
        <v>78322.33740161937</v>
      </c>
      <c r="N238" s="110">
        <v>73749.829384032812</v>
      </c>
      <c r="O238" s="110">
        <v>90670.924828477248</v>
      </c>
      <c r="P238" s="110">
        <v>95051.174815875711</v>
      </c>
      <c r="Q238" s="110">
        <v>76645.248244339324</v>
      </c>
      <c r="R238" s="116"/>
      <c r="S238" s="112">
        <v>306.37466666666666</v>
      </c>
      <c r="T238" s="112">
        <v>610.71575000000007</v>
      </c>
      <c r="U238" s="112">
        <v>502.6210388888889</v>
      </c>
      <c r="V238" s="112">
        <v>530.20816666666667</v>
      </c>
      <c r="W238" s="112">
        <v>564.1303333333334</v>
      </c>
      <c r="X238" s="112"/>
    </row>
    <row r="239" spans="1:24" x14ac:dyDescent="0.35">
      <c r="A239" s="108">
        <v>40044</v>
      </c>
      <c r="B239" s="109">
        <f t="shared" si="31"/>
        <v>3</v>
      </c>
      <c r="C239" s="108">
        <v>40408</v>
      </c>
      <c r="D239" s="109">
        <f t="shared" si="32"/>
        <v>3</v>
      </c>
      <c r="E239" s="115">
        <v>40772</v>
      </c>
      <c r="F239" s="109">
        <f t="shared" si="33"/>
        <v>3</v>
      </c>
      <c r="G239" s="115">
        <v>41136</v>
      </c>
      <c r="H239" s="109">
        <f t="shared" si="34"/>
        <v>3</v>
      </c>
      <c r="I239" s="115">
        <v>41500</v>
      </c>
      <c r="J239" s="109">
        <f t="shared" si="30"/>
        <v>3</v>
      </c>
      <c r="K239" s="108">
        <f t="shared" si="35"/>
        <v>41864</v>
      </c>
      <c r="L239" s="109">
        <f t="shared" si="29"/>
        <v>3</v>
      </c>
      <c r="M239" s="110">
        <v>78591.214262730515</v>
      </c>
      <c r="N239" s="110">
        <v>74323.61931736613</v>
      </c>
      <c r="O239" s="110">
        <v>91127.993553477238</v>
      </c>
      <c r="P239" s="110">
        <v>95581.382982542389</v>
      </c>
      <c r="Q239" s="110">
        <v>77186.527966561509</v>
      </c>
      <c r="R239" s="116"/>
      <c r="S239" s="112">
        <v>268.87686111111111</v>
      </c>
      <c r="T239" s="112">
        <v>581.91780555555556</v>
      </c>
      <c r="U239" s="112">
        <v>532.97276944444468</v>
      </c>
      <c r="V239" s="112">
        <v>497.56263888888878</v>
      </c>
      <c r="W239" s="112">
        <v>541.2797222222224</v>
      </c>
      <c r="X239" s="112"/>
    </row>
    <row r="240" spans="1:24" x14ac:dyDescent="0.35">
      <c r="A240" s="108">
        <v>40045</v>
      </c>
      <c r="B240" s="109">
        <f t="shared" si="31"/>
        <v>4</v>
      </c>
      <c r="C240" s="108">
        <v>40409</v>
      </c>
      <c r="D240" s="109">
        <f t="shared" si="32"/>
        <v>4</v>
      </c>
      <c r="E240" s="115">
        <v>40773</v>
      </c>
      <c r="F240" s="109">
        <f t="shared" si="33"/>
        <v>4</v>
      </c>
      <c r="G240" s="115">
        <v>41137</v>
      </c>
      <c r="H240" s="109">
        <f t="shared" si="34"/>
        <v>4</v>
      </c>
      <c r="I240" s="115">
        <v>41501</v>
      </c>
      <c r="J240" s="109">
        <f t="shared" si="30"/>
        <v>4</v>
      </c>
      <c r="K240" s="108">
        <f t="shared" si="35"/>
        <v>41865</v>
      </c>
      <c r="L240" s="109">
        <f t="shared" si="29"/>
        <v>4</v>
      </c>
      <c r="M240" s="110">
        <v>78900.073873841597</v>
      </c>
      <c r="N240" s="110">
        <v>74803.580011810613</v>
      </c>
      <c r="O240" s="110">
        <v>91652.900331255034</v>
      </c>
      <c r="P240" s="110">
        <v>96078.945621431238</v>
      </c>
      <c r="Q240" s="110">
        <v>77854.669883228242</v>
      </c>
      <c r="R240" s="116"/>
      <c r="S240" s="112">
        <v>308.85961111111112</v>
      </c>
      <c r="T240" s="112">
        <v>489.08286111111113</v>
      </c>
      <c r="U240" s="112">
        <v>457.06872499999997</v>
      </c>
      <c r="V240" s="112">
        <v>490.98977777777753</v>
      </c>
      <c r="W240" s="112">
        <v>668.14191666666704</v>
      </c>
      <c r="X240" s="112"/>
    </row>
    <row r="241" spans="1:24" x14ac:dyDescent="0.35">
      <c r="A241" s="108">
        <v>40046</v>
      </c>
      <c r="B241" s="109">
        <f t="shared" si="31"/>
        <v>5</v>
      </c>
      <c r="C241" s="108">
        <v>40410</v>
      </c>
      <c r="D241" s="109">
        <f t="shared" si="32"/>
        <v>5</v>
      </c>
      <c r="E241" s="115">
        <v>40774</v>
      </c>
      <c r="F241" s="109">
        <f t="shared" si="33"/>
        <v>5</v>
      </c>
      <c r="G241" s="115">
        <v>41138</v>
      </c>
      <c r="H241" s="109">
        <f t="shared" si="34"/>
        <v>5</v>
      </c>
      <c r="I241" s="115">
        <v>41502</v>
      </c>
      <c r="J241" s="109">
        <f t="shared" si="30"/>
        <v>5</v>
      </c>
      <c r="K241" s="108">
        <f t="shared" si="35"/>
        <v>41866</v>
      </c>
      <c r="L241" s="109">
        <f t="shared" si="29"/>
        <v>5</v>
      </c>
      <c r="M241" s="110">
        <v>79241.016984952716</v>
      </c>
      <c r="N241" s="110">
        <v>75199.3447729217</v>
      </c>
      <c r="O241" s="110">
        <v>92151.046803477264</v>
      </c>
      <c r="P241" s="110">
        <v>96569.935399209033</v>
      </c>
      <c r="Q241" s="110">
        <v>78501.531994339297</v>
      </c>
      <c r="R241" s="116"/>
      <c r="S241" s="112">
        <v>340.94311111111108</v>
      </c>
      <c r="T241" s="112">
        <v>404.93725000000001</v>
      </c>
      <c r="U241" s="112">
        <v>524.90677777777773</v>
      </c>
      <c r="V241" s="112">
        <v>456.27052777777783</v>
      </c>
      <c r="W241" s="112">
        <v>646.8621111111114</v>
      </c>
      <c r="X241" s="112"/>
    </row>
    <row r="242" spans="1:24" x14ac:dyDescent="0.35">
      <c r="A242" s="108">
        <v>40047</v>
      </c>
      <c r="B242" s="109">
        <f t="shared" si="31"/>
        <v>6</v>
      </c>
      <c r="C242" s="108">
        <v>40411</v>
      </c>
      <c r="D242" s="109">
        <f t="shared" si="32"/>
        <v>6</v>
      </c>
      <c r="E242" s="115">
        <v>40775</v>
      </c>
      <c r="F242" s="109">
        <f t="shared" si="33"/>
        <v>6</v>
      </c>
      <c r="G242" s="115">
        <v>41139</v>
      </c>
      <c r="H242" s="109">
        <f t="shared" si="34"/>
        <v>6</v>
      </c>
      <c r="I242" s="115">
        <v>41503</v>
      </c>
      <c r="J242" s="109">
        <f t="shared" si="30"/>
        <v>6</v>
      </c>
      <c r="K242" s="108">
        <f t="shared" si="35"/>
        <v>41867</v>
      </c>
      <c r="L242" s="109">
        <f t="shared" si="29"/>
        <v>6</v>
      </c>
      <c r="M242" s="110">
        <v>79605.413068286027</v>
      </c>
      <c r="N242" s="110">
        <v>75526.432334032797</v>
      </c>
      <c r="O242" s="110">
        <v>92692.295720143928</v>
      </c>
      <c r="P242" s="110">
        <v>97026.20592698676</v>
      </c>
      <c r="Q242" s="110">
        <v>79137.344799894883</v>
      </c>
      <c r="R242" s="116"/>
      <c r="S242" s="112">
        <v>364.39608333333331</v>
      </c>
      <c r="T242" s="112">
        <v>336.41308333333336</v>
      </c>
      <c r="U242" s="112">
        <v>498.14647222222203</v>
      </c>
      <c r="V242" s="112">
        <v>435.79927777777795</v>
      </c>
      <c r="W242" s="112">
        <v>635.81280555555588</v>
      </c>
      <c r="X242" s="112"/>
    </row>
    <row r="243" spans="1:24" x14ac:dyDescent="0.35">
      <c r="A243" s="108">
        <v>40048</v>
      </c>
      <c r="B243" s="109">
        <f t="shared" si="31"/>
        <v>7</v>
      </c>
      <c r="C243" s="108">
        <v>40412</v>
      </c>
      <c r="D243" s="109">
        <f t="shared" si="32"/>
        <v>7</v>
      </c>
      <c r="E243" s="115">
        <v>40776</v>
      </c>
      <c r="F243" s="109">
        <f t="shared" si="33"/>
        <v>7</v>
      </c>
      <c r="G243" s="115">
        <v>41140</v>
      </c>
      <c r="H243" s="109">
        <f t="shared" si="34"/>
        <v>7</v>
      </c>
      <c r="I243" s="115">
        <v>41504</v>
      </c>
      <c r="J243" s="109">
        <f t="shared" si="30"/>
        <v>7</v>
      </c>
      <c r="K243" s="108">
        <f t="shared" si="35"/>
        <v>41868</v>
      </c>
      <c r="L243" s="109">
        <f t="shared" si="29"/>
        <v>7</v>
      </c>
      <c r="M243" s="110">
        <v>79855.199873841571</v>
      </c>
      <c r="N243" s="110">
        <v>75882.04761736613</v>
      </c>
      <c r="O243" s="110">
        <v>93260.806164588328</v>
      </c>
      <c r="P243" s="110">
        <v>97462.005204764588</v>
      </c>
      <c r="Q243" s="110">
        <v>79730.886188783741</v>
      </c>
      <c r="R243" s="116"/>
      <c r="S243" s="112">
        <v>249.78680555555556</v>
      </c>
      <c r="T243" s="112">
        <v>361.06047222222219</v>
      </c>
      <c r="U243" s="112">
        <v>541.24891666666679</v>
      </c>
      <c r="V243" s="112">
        <v>376.79013888888886</v>
      </c>
      <c r="W243" s="112">
        <v>593.54138888888906</v>
      </c>
      <c r="X243" s="112"/>
    </row>
    <row r="244" spans="1:24" x14ac:dyDescent="0.35">
      <c r="A244" s="108">
        <v>40049</v>
      </c>
      <c r="B244" s="109">
        <f t="shared" si="31"/>
        <v>1</v>
      </c>
      <c r="C244" s="108">
        <v>40413</v>
      </c>
      <c r="D244" s="109">
        <f t="shared" si="32"/>
        <v>1</v>
      </c>
      <c r="E244" s="115">
        <v>40777</v>
      </c>
      <c r="F244" s="109">
        <f t="shared" si="33"/>
        <v>1</v>
      </c>
      <c r="G244" s="115">
        <v>41141</v>
      </c>
      <c r="H244" s="109">
        <f t="shared" si="34"/>
        <v>1</v>
      </c>
      <c r="I244" s="115">
        <v>41505</v>
      </c>
      <c r="J244" s="109">
        <f t="shared" si="30"/>
        <v>1</v>
      </c>
      <c r="K244" s="108">
        <f t="shared" si="35"/>
        <v>41869</v>
      </c>
      <c r="L244" s="109">
        <f t="shared" si="29"/>
        <v>1</v>
      </c>
      <c r="M244" s="110">
        <v>80073.387568286038</v>
      </c>
      <c r="N244" s="110">
        <v>76095.996884032793</v>
      </c>
      <c r="O244" s="110">
        <v>93621.586414588397</v>
      </c>
      <c r="P244" s="110">
        <v>97838.795343653474</v>
      </c>
      <c r="Q244" s="110">
        <v>80290.518966561518</v>
      </c>
      <c r="R244" s="116"/>
      <c r="S244" s="112">
        <v>218.18769444444442</v>
      </c>
      <c r="T244" s="112">
        <v>223.70875000000001</v>
      </c>
      <c r="U244" s="112">
        <v>568.51044444444437</v>
      </c>
      <c r="V244" s="112">
        <v>431.78336111111122</v>
      </c>
      <c r="W244" s="112">
        <v>559.63277777777773</v>
      </c>
      <c r="X244" s="112"/>
    </row>
    <row r="245" spans="1:24" x14ac:dyDescent="0.35">
      <c r="A245" s="108">
        <v>40050</v>
      </c>
      <c r="B245" s="109">
        <f t="shared" si="31"/>
        <v>2</v>
      </c>
      <c r="C245" s="108">
        <v>40414</v>
      </c>
      <c r="D245" s="109">
        <f t="shared" si="32"/>
        <v>2</v>
      </c>
      <c r="E245" s="115">
        <v>40778</v>
      </c>
      <c r="F245" s="109">
        <f t="shared" si="33"/>
        <v>2</v>
      </c>
      <c r="G245" s="115">
        <v>41142</v>
      </c>
      <c r="H245" s="109">
        <f t="shared" si="34"/>
        <v>2</v>
      </c>
      <c r="I245" s="115">
        <v>41506</v>
      </c>
      <c r="J245" s="109">
        <f t="shared" si="30"/>
        <v>2</v>
      </c>
      <c r="K245" s="108">
        <f t="shared" si="35"/>
        <v>41870</v>
      </c>
      <c r="L245" s="109">
        <f t="shared" si="29"/>
        <v>2</v>
      </c>
      <c r="M245" s="110">
        <v>80257.898901619395</v>
      </c>
      <c r="N245" s="110">
        <v>76280.642047921719</v>
      </c>
      <c r="O245" s="110">
        <v>93862.83855347721</v>
      </c>
      <c r="P245" s="110">
        <v>98270.578704764543</v>
      </c>
      <c r="Q245" s="110">
        <v>80871.334827672676</v>
      </c>
      <c r="R245" s="116"/>
      <c r="S245" s="112">
        <v>184.51133333333334</v>
      </c>
      <c r="T245" s="112">
        <v>193.02461111111111</v>
      </c>
      <c r="U245" s="112">
        <v>360.78024999999997</v>
      </c>
      <c r="V245" s="112">
        <v>300.25758333333329</v>
      </c>
      <c r="W245" s="112">
        <v>580.81586111111108</v>
      </c>
      <c r="X245" s="112"/>
    </row>
    <row r="246" spans="1:24" x14ac:dyDescent="0.35">
      <c r="A246" s="108">
        <v>40051</v>
      </c>
      <c r="B246" s="109">
        <f t="shared" si="31"/>
        <v>3</v>
      </c>
      <c r="C246" s="108">
        <v>40415</v>
      </c>
      <c r="D246" s="109">
        <f t="shared" si="32"/>
        <v>3</v>
      </c>
      <c r="E246" s="115">
        <v>40779</v>
      </c>
      <c r="F246" s="109">
        <f t="shared" si="33"/>
        <v>3</v>
      </c>
      <c r="G246" s="115">
        <v>41143</v>
      </c>
      <c r="H246" s="109">
        <f t="shared" si="34"/>
        <v>3</v>
      </c>
      <c r="I246" s="115">
        <v>41507</v>
      </c>
      <c r="J246" s="109">
        <f t="shared" si="30"/>
        <v>3</v>
      </c>
      <c r="K246" s="108">
        <f t="shared" si="35"/>
        <v>41871</v>
      </c>
      <c r="L246" s="109">
        <f t="shared" si="29"/>
        <v>3</v>
      </c>
      <c r="M246" s="110">
        <v>80460.654512730471</v>
      </c>
      <c r="N246" s="110">
        <v>76402.588661810601</v>
      </c>
      <c r="O246" s="110">
        <v>94247.057220143906</v>
      </c>
      <c r="P246" s="110">
        <v>98570.836288097882</v>
      </c>
      <c r="Q246" s="110">
        <v>81531.142411005974</v>
      </c>
      <c r="R246" s="116"/>
      <c r="S246" s="112">
        <v>202.75561111111111</v>
      </c>
      <c r="T246" s="112">
        <v>130.75661111111111</v>
      </c>
      <c r="U246" s="112">
        <v>241.25213888888896</v>
      </c>
      <c r="V246" s="112">
        <v>383.24802777777768</v>
      </c>
      <c r="W246" s="112">
        <v>659.80758333333335</v>
      </c>
      <c r="X246" s="112"/>
    </row>
    <row r="247" spans="1:24" x14ac:dyDescent="0.35">
      <c r="A247" s="108">
        <v>40052</v>
      </c>
      <c r="B247" s="109">
        <f t="shared" si="31"/>
        <v>4</v>
      </c>
      <c r="C247" s="108">
        <v>40416</v>
      </c>
      <c r="D247" s="109">
        <f t="shared" si="32"/>
        <v>4</v>
      </c>
      <c r="E247" s="115">
        <v>40780</v>
      </c>
      <c r="F247" s="109">
        <f t="shared" si="33"/>
        <v>4</v>
      </c>
      <c r="G247" s="115">
        <v>41144</v>
      </c>
      <c r="H247" s="109">
        <f t="shared" si="34"/>
        <v>4</v>
      </c>
      <c r="I247" s="115">
        <v>41508</v>
      </c>
      <c r="J247" s="109">
        <f t="shared" si="30"/>
        <v>4</v>
      </c>
      <c r="K247" s="108">
        <f t="shared" si="35"/>
        <v>41872</v>
      </c>
      <c r="L247" s="109">
        <f t="shared" si="29"/>
        <v>4</v>
      </c>
      <c r="M247" s="110">
        <v>80606.226318286048</v>
      </c>
      <c r="N247" s="110">
        <v>76568.487775699483</v>
      </c>
      <c r="O247" s="110">
        <v>94654.938997921679</v>
      </c>
      <c r="P247" s="110">
        <v>98954.084315875676</v>
      </c>
      <c r="Q247" s="110">
        <v>82221.731772117098</v>
      </c>
      <c r="R247" s="116"/>
      <c r="S247" s="112">
        <v>145.57180555555556</v>
      </c>
      <c r="T247" s="112">
        <v>174.91188888888891</v>
      </c>
      <c r="U247" s="112">
        <v>384.21866666666659</v>
      </c>
      <c r="V247" s="112">
        <v>385.91847222222225</v>
      </c>
      <c r="W247" s="112">
        <v>690.58936111111143</v>
      </c>
      <c r="X247" s="112"/>
    </row>
    <row r="248" spans="1:24" x14ac:dyDescent="0.35">
      <c r="A248" s="108">
        <v>40053</v>
      </c>
      <c r="B248" s="109">
        <f t="shared" si="31"/>
        <v>5</v>
      </c>
      <c r="C248" s="108">
        <v>40417</v>
      </c>
      <c r="D248" s="109">
        <f t="shared" si="32"/>
        <v>5</v>
      </c>
      <c r="E248" s="115">
        <v>40781</v>
      </c>
      <c r="F248" s="109">
        <f t="shared" si="33"/>
        <v>5</v>
      </c>
      <c r="G248" s="115">
        <v>41145</v>
      </c>
      <c r="H248" s="109">
        <f t="shared" si="34"/>
        <v>5</v>
      </c>
      <c r="I248" s="115">
        <v>41509</v>
      </c>
      <c r="J248" s="109">
        <f t="shared" si="30"/>
        <v>5</v>
      </c>
      <c r="K248" s="108">
        <f t="shared" si="35"/>
        <v>41873</v>
      </c>
      <c r="L248" s="109">
        <f t="shared" si="29"/>
        <v>5</v>
      </c>
      <c r="M248" s="110">
        <v>80863.093373841577</v>
      </c>
      <c r="N248" s="110">
        <v>76808.8027840328</v>
      </c>
      <c r="O248" s="110">
        <v>95110.905025699525</v>
      </c>
      <c r="P248" s="110">
        <v>99340.002788097889</v>
      </c>
      <c r="Q248" s="110">
        <v>82751.6429665615</v>
      </c>
      <c r="R248" s="116"/>
      <c r="S248" s="112">
        <v>256.86705555555557</v>
      </c>
      <c r="T248" s="112">
        <v>249.44416666666666</v>
      </c>
      <c r="U248" s="112">
        <v>407.88177777777781</v>
      </c>
      <c r="V248" s="112">
        <v>341.30449999999996</v>
      </c>
      <c r="W248" s="112">
        <v>529.91119444444428</v>
      </c>
      <c r="X248" s="112"/>
    </row>
    <row r="249" spans="1:24" x14ac:dyDescent="0.35">
      <c r="A249" s="108">
        <v>40054</v>
      </c>
      <c r="B249" s="109">
        <f t="shared" si="31"/>
        <v>6</v>
      </c>
      <c r="C249" s="108">
        <v>40418</v>
      </c>
      <c r="D249" s="109">
        <f t="shared" si="32"/>
        <v>6</v>
      </c>
      <c r="E249" s="115">
        <v>40782</v>
      </c>
      <c r="F249" s="109">
        <f t="shared" si="33"/>
        <v>6</v>
      </c>
      <c r="G249" s="115">
        <v>41146</v>
      </c>
      <c r="H249" s="109">
        <f t="shared" si="34"/>
        <v>6</v>
      </c>
      <c r="I249" s="115">
        <v>41510</v>
      </c>
      <c r="J249" s="109">
        <f t="shared" si="30"/>
        <v>6</v>
      </c>
      <c r="K249" s="108">
        <f t="shared" si="35"/>
        <v>41874</v>
      </c>
      <c r="L249" s="109">
        <f t="shared" si="29"/>
        <v>6</v>
      </c>
      <c r="M249" s="110">
        <v>81068.80840161939</v>
      </c>
      <c r="N249" s="110">
        <v>77232.148220143921</v>
      </c>
      <c r="O249" s="110">
        <v>95667.375220143964</v>
      </c>
      <c r="P249" s="110">
        <v>99681.307288097887</v>
      </c>
      <c r="Q249" s="110">
        <v>83253.919883228198</v>
      </c>
      <c r="R249" s="116"/>
      <c r="S249" s="112">
        <v>205.71502777777778</v>
      </c>
      <c r="T249" s="112">
        <v>432.46327777777782</v>
      </c>
      <c r="U249" s="112">
        <v>455.96602777777775</v>
      </c>
      <c r="V249" s="112">
        <v>294.22891666666669</v>
      </c>
      <c r="W249" s="112">
        <v>502.27691666666681</v>
      </c>
      <c r="X249" s="112"/>
    </row>
    <row r="250" spans="1:24" x14ac:dyDescent="0.35">
      <c r="A250" s="108">
        <v>40055</v>
      </c>
      <c r="B250" s="109">
        <f t="shared" si="31"/>
        <v>7</v>
      </c>
      <c r="C250" s="108">
        <v>40419</v>
      </c>
      <c r="D250" s="109">
        <f t="shared" si="32"/>
        <v>7</v>
      </c>
      <c r="E250" s="115">
        <v>40783</v>
      </c>
      <c r="F250" s="109">
        <f t="shared" si="33"/>
        <v>7</v>
      </c>
      <c r="G250" s="115">
        <v>41147</v>
      </c>
      <c r="H250" s="109">
        <f t="shared" si="34"/>
        <v>7</v>
      </c>
      <c r="I250" s="115">
        <v>41511</v>
      </c>
      <c r="J250" s="109">
        <f t="shared" si="30"/>
        <v>7</v>
      </c>
      <c r="K250" s="108">
        <f t="shared" si="35"/>
        <v>41875</v>
      </c>
      <c r="L250" s="109">
        <f t="shared" si="29"/>
        <v>7</v>
      </c>
      <c r="M250" s="110">
        <v>81202.812429397149</v>
      </c>
      <c r="N250" s="110">
        <v>77655.700628477265</v>
      </c>
      <c r="O250" s="110">
        <v>96329.765831255063</v>
      </c>
      <c r="P250" s="110">
        <v>99975.536204764634</v>
      </c>
      <c r="Q250" s="110">
        <v>83792.429244339335</v>
      </c>
      <c r="R250" s="116"/>
      <c r="S250" s="112">
        <v>134.00402777777776</v>
      </c>
      <c r="T250" s="112">
        <v>432.63794444444449</v>
      </c>
      <c r="U250" s="112">
        <v>556.47019444444447</v>
      </c>
      <c r="V250" s="112">
        <v>293.67947222222216</v>
      </c>
      <c r="W250" s="112">
        <v>538.50936111111128</v>
      </c>
      <c r="X250" s="112"/>
    </row>
    <row r="251" spans="1:24" x14ac:dyDescent="0.35">
      <c r="A251" s="108">
        <v>40056</v>
      </c>
      <c r="B251" s="109">
        <f t="shared" si="31"/>
        <v>1</v>
      </c>
      <c r="C251" s="108">
        <v>40420</v>
      </c>
      <c r="D251" s="109">
        <f t="shared" si="32"/>
        <v>1</v>
      </c>
      <c r="E251" s="115">
        <v>40784</v>
      </c>
      <c r="F251" s="109">
        <f t="shared" si="33"/>
        <v>1</v>
      </c>
      <c r="G251" s="115">
        <v>41148</v>
      </c>
      <c r="H251" s="109">
        <f t="shared" si="34"/>
        <v>1</v>
      </c>
      <c r="I251" s="115">
        <v>41512</v>
      </c>
      <c r="J251" s="109">
        <f t="shared" si="30"/>
        <v>1</v>
      </c>
      <c r="K251" s="108">
        <f t="shared" si="35"/>
        <v>41876</v>
      </c>
      <c r="L251" s="109">
        <f t="shared" si="29"/>
        <v>1</v>
      </c>
      <c r="M251" s="110">
        <v>81392.759290508286</v>
      </c>
      <c r="N251" s="110">
        <v>77810.589089588364</v>
      </c>
      <c r="O251" s="110">
        <v>96848.106414588387</v>
      </c>
      <c r="P251" s="110">
        <v>100269.21567698683</v>
      </c>
      <c r="Q251" s="110">
        <v>84263.363522117084</v>
      </c>
      <c r="R251" s="116"/>
      <c r="S251" s="112">
        <v>189.9468611111111</v>
      </c>
      <c r="T251" s="112">
        <v>164.01752777777776</v>
      </c>
      <c r="U251" s="112">
        <v>662.39061111111118</v>
      </c>
      <c r="V251" s="112">
        <v>232.80036111111113</v>
      </c>
      <c r="W251" s="112">
        <v>470.93427777777788</v>
      </c>
      <c r="X251" s="112"/>
    </row>
    <row r="252" spans="1:24" x14ac:dyDescent="0.35">
      <c r="A252" s="108">
        <v>40057</v>
      </c>
      <c r="B252" s="109">
        <f t="shared" si="31"/>
        <v>2</v>
      </c>
      <c r="C252" s="108">
        <v>40421</v>
      </c>
      <c r="D252" s="109">
        <f t="shared" si="32"/>
        <v>2</v>
      </c>
      <c r="E252" s="115">
        <v>40785</v>
      </c>
      <c r="F252" s="109">
        <f t="shared" si="33"/>
        <v>2</v>
      </c>
      <c r="G252" s="115">
        <v>41149</v>
      </c>
      <c r="H252" s="109">
        <f t="shared" si="34"/>
        <v>2</v>
      </c>
      <c r="I252" s="115">
        <v>41513</v>
      </c>
      <c r="J252" s="109">
        <f t="shared" si="30"/>
        <v>2</v>
      </c>
      <c r="K252" s="108">
        <f t="shared" si="35"/>
        <v>41877</v>
      </c>
      <c r="L252" s="109">
        <f t="shared" si="29"/>
        <v>2</v>
      </c>
      <c r="M252" s="110">
        <v>81487.706318286044</v>
      </c>
      <c r="N252" s="110">
        <v>78008.165086810593</v>
      </c>
      <c r="O252" s="110">
        <v>97302.788859032808</v>
      </c>
      <c r="P252" s="110">
        <v>100502.01603809792</v>
      </c>
      <c r="Q252" s="110">
        <v>84706.711772117065</v>
      </c>
      <c r="R252" s="116"/>
      <c r="S252" s="112">
        <v>94.947027777777777</v>
      </c>
      <c r="T252" s="112">
        <v>200.55058333333332</v>
      </c>
      <c r="U252" s="112">
        <v>518.34058333333326</v>
      </c>
      <c r="V252" s="112">
        <v>233.77644444444442</v>
      </c>
      <c r="W252" s="112">
        <v>443.34825000000006</v>
      </c>
      <c r="X252" s="112"/>
    </row>
    <row r="253" spans="1:24" x14ac:dyDescent="0.35">
      <c r="A253" s="108">
        <v>40058</v>
      </c>
      <c r="B253" s="109">
        <f t="shared" si="31"/>
        <v>3</v>
      </c>
      <c r="C253" s="108">
        <v>40422</v>
      </c>
      <c r="D253" s="109">
        <f t="shared" si="32"/>
        <v>3</v>
      </c>
      <c r="E253" s="115">
        <v>40786</v>
      </c>
      <c r="F253" s="109">
        <f t="shared" si="33"/>
        <v>3</v>
      </c>
      <c r="G253" s="115">
        <v>41150</v>
      </c>
      <c r="H253" s="109">
        <f t="shared" si="34"/>
        <v>3</v>
      </c>
      <c r="I253" s="115">
        <v>41514</v>
      </c>
      <c r="J253" s="109">
        <f t="shared" si="30"/>
        <v>3</v>
      </c>
      <c r="K253" s="108">
        <f t="shared" si="35"/>
        <v>41878</v>
      </c>
      <c r="L253" s="109">
        <f t="shared" ref="L253:L316" si="36">WEEKDAY(K253,2)</f>
        <v>3</v>
      </c>
      <c r="M253" s="110">
        <v>81595.873040508261</v>
      </c>
      <c r="N253" s="110">
        <v>78057.442945143906</v>
      </c>
      <c r="O253" s="110">
        <v>97703.727553477336</v>
      </c>
      <c r="P253" s="110">
        <v>100735.7924825424</v>
      </c>
      <c r="Q253" s="110">
        <v>85184.198855450421</v>
      </c>
      <c r="R253" s="116"/>
      <c r="S253" s="112">
        <v>108.16672222222222</v>
      </c>
      <c r="T253" s="112">
        <v>56.088166666666666</v>
      </c>
      <c r="U253" s="112">
        <v>454.68244444444451</v>
      </c>
      <c r="V253" s="112">
        <v>210.5230555555556</v>
      </c>
      <c r="W253" s="112">
        <v>477.48708333333315</v>
      </c>
      <c r="X253" s="112"/>
    </row>
    <row r="254" spans="1:24" x14ac:dyDescent="0.35">
      <c r="A254" s="108">
        <v>40059</v>
      </c>
      <c r="B254" s="109">
        <f t="shared" si="31"/>
        <v>4</v>
      </c>
      <c r="C254" s="108">
        <v>40423</v>
      </c>
      <c r="D254" s="109">
        <f t="shared" si="32"/>
        <v>4</v>
      </c>
      <c r="E254" s="115">
        <v>40787</v>
      </c>
      <c r="F254" s="109">
        <f t="shared" si="33"/>
        <v>4</v>
      </c>
      <c r="G254" s="115">
        <v>41151</v>
      </c>
      <c r="H254" s="109">
        <f t="shared" si="34"/>
        <v>4</v>
      </c>
      <c r="I254" s="115">
        <v>41515</v>
      </c>
      <c r="J254" s="109">
        <f t="shared" si="30"/>
        <v>4</v>
      </c>
      <c r="K254" s="108">
        <f t="shared" si="35"/>
        <v>41879</v>
      </c>
      <c r="L254" s="109">
        <f t="shared" si="36"/>
        <v>4</v>
      </c>
      <c r="M254" s="110">
        <v>81733.352901619408</v>
      </c>
      <c r="N254" s="110">
        <v>78219.833428477243</v>
      </c>
      <c r="O254" s="110">
        <v>98036.26288681064</v>
      </c>
      <c r="P254" s="110">
        <v>100946.31553809789</v>
      </c>
      <c r="Q254" s="110">
        <v>85640.616911006</v>
      </c>
      <c r="R254" s="116"/>
      <c r="S254" s="112">
        <v>137.47986111111112</v>
      </c>
      <c r="T254" s="112">
        <v>171.08469444444444</v>
      </c>
      <c r="U254" s="112">
        <v>400.93866666666668</v>
      </c>
      <c r="V254" s="112">
        <v>283.58211111111115</v>
      </c>
      <c r="W254" s="112">
        <v>456.41805555555555</v>
      </c>
      <c r="X254" s="112"/>
    </row>
    <row r="255" spans="1:24" x14ac:dyDescent="0.35">
      <c r="A255" s="108">
        <v>40060</v>
      </c>
      <c r="B255" s="109">
        <f t="shared" si="31"/>
        <v>5</v>
      </c>
      <c r="C255" s="108">
        <v>40424</v>
      </c>
      <c r="D255" s="109">
        <f t="shared" si="32"/>
        <v>5</v>
      </c>
      <c r="E255" s="115">
        <v>40788</v>
      </c>
      <c r="F255" s="109">
        <f t="shared" si="33"/>
        <v>5</v>
      </c>
      <c r="G255" s="115">
        <v>41152</v>
      </c>
      <c r="H255" s="109">
        <f t="shared" si="34"/>
        <v>5</v>
      </c>
      <c r="I255" s="115">
        <v>41516</v>
      </c>
      <c r="J255" s="109">
        <f t="shared" si="30"/>
        <v>5</v>
      </c>
      <c r="K255" s="108">
        <f t="shared" si="35"/>
        <v>41880</v>
      </c>
      <c r="L255" s="109">
        <f t="shared" si="36"/>
        <v>5</v>
      </c>
      <c r="M255" s="110">
        <v>81919.189568286049</v>
      </c>
      <c r="N255" s="110">
        <v>78477.473353477239</v>
      </c>
      <c r="O255" s="110">
        <v>98422.35960903285</v>
      </c>
      <c r="P255" s="110">
        <v>101223.62342698683</v>
      </c>
      <c r="Q255" s="110">
        <v>86138.528022117098</v>
      </c>
      <c r="R255" s="116"/>
      <c r="S255" s="112">
        <v>185.83666666666667</v>
      </c>
      <c r="T255" s="112">
        <v>266.37425000000002</v>
      </c>
      <c r="U255" s="112">
        <v>332.53533333333326</v>
      </c>
      <c r="V255" s="112">
        <v>398.59036111111101</v>
      </c>
      <c r="W255" s="112">
        <v>497.91111111111104</v>
      </c>
      <c r="X255" s="112"/>
    </row>
    <row r="256" spans="1:24" x14ac:dyDescent="0.35">
      <c r="A256" s="108">
        <v>40061</v>
      </c>
      <c r="B256" s="109">
        <f t="shared" si="31"/>
        <v>6</v>
      </c>
      <c r="C256" s="108">
        <v>40425</v>
      </c>
      <c r="D256" s="109">
        <f t="shared" si="32"/>
        <v>6</v>
      </c>
      <c r="E256" s="115">
        <v>40789</v>
      </c>
      <c r="F256" s="109">
        <f t="shared" si="33"/>
        <v>6</v>
      </c>
      <c r="G256" s="115">
        <v>41153</v>
      </c>
      <c r="H256" s="109">
        <f t="shared" si="34"/>
        <v>6</v>
      </c>
      <c r="I256" s="115">
        <v>41517</v>
      </c>
      <c r="J256" s="109">
        <f t="shared" si="30"/>
        <v>6</v>
      </c>
      <c r="K256" s="108">
        <f t="shared" si="35"/>
        <v>41881</v>
      </c>
      <c r="L256" s="109">
        <f t="shared" si="36"/>
        <v>6</v>
      </c>
      <c r="M256" s="110">
        <v>82268.693012730466</v>
      </c>
      <c r="N256" s="110">
        <v>78822.069728477247</v>
      </c>
      <c r="O256" s="110">
        <v>98964.997470143921</v>
      </c>
      <c r="P256" s="110">
        <v>101622.2137880979</v>
      </c>
      <c r="Q256" s="110">
        <v>86856.116716561548</v>
      </c>
      <c r="R256" s="116"/>
      <c r="S256" s="112">
        <v>349.50344444444443</v>
      </c>
      <c r="T256" s="112">
        <v>347.93402777777777</v>
      </c>
      <c r="U256" s="112">
        <v>386.0967222222223</v>
      </c>
      <c r="V256" s="112">
        <v>476.12399999999985</v>
      </c>
      <c r="W256" s="112">
        <v>717.58869444444451</v>
      </c>
      <c r="X256" s="112"/>
    </row>
    <row r="257" spans="1:24" x14ac:dyDescent="0.35">
      <c r="A257" s="108">
        <v>40062</v>
      </c>
      <c r="B257" s="109">
        <f t="shared" si="31"/>
        <v>7</v>
      </c>
      <c r="C257" s="108">
        <v>40426</v>
      </c>
      <c r="D257" s="109">
        <f t="shared" si="32"/>
        <v>7</v>
      </c>
      <c r="E257" s="115">
        <v>40790</v>
      </c>
      <c r="F257" s="109">
        <f t="shared" si="33"/>
        <v>7</v>
      </c>
      <c r="G257" s="115">
        <v>41154</v>
      </c>
      <c r="H257" s="109">
        <f t="shared" si="34"/>
        <v>7</v>
      </c>
      <c r="I257" s="115">
        <v>41518</v>
      </c>
      <c r="J257" s="109">
        <f t="shared" si="30"/>
        <v>7</v>
      </c>
      <c r="K257" s="108">
        <f t="shared" si="35"/>
        <v>41882</v>
      </c>
      <c r="L257" s="109">
        <f t="shared" si="36"/>
        <v>7</v>
      </c>
      <c r="M257" s="110">
        <v>82676.145346063859</v>
      </c>
      <c r="N257" s="110">
        <v>79139.172670143918</v>
      </c>
      <c r="O257" s="110">
        <v>99524.181192366203</v>
      </c>
      <c r="P257" s="110">
        <v>102098.33778809791</v>
      </c>
      <c r="Q257" s="110">
        <v>87517.93193878376</v>
      </c>
      <c r="R257" s="116"/>
      <c r="S257" s="112">
        <v>407.45233333333329</v>
      </c>
      <c r="T257" s="112">
        <v>320.43627777777783</v>
      </c>
      <c r="U257" s="112">
        <v>542.63786111111108</v>
      </c>
      <c r="V257" s="112">
        <v>353.02833333333348</v>
      </c>
      <c r="W257" s="112">
        <v>661.81522222222247</v>
      </c>
      <c r="X257" s="112"/>
    </row>
    <row r="258" spans="1:24" x14ac:dyDescent="0.35">
      <c r="A258" s="108">
        <v>40063</v>
      </c>
      <c r="B258" s="109">
        <f t="shared" si="31"/>
        <v>1</v>
      </c>
      <c r="C258" s="108">
        <v>40427</v>
      </c>
      <c r="D258" s="109">
        <f t="shared" si="32"/>
        <v>1</v>
      </c>
      <c r="E258" s="115">
        <v>40791</v>
      </c>
      <c r="F258" s="109">
        <f t="shared" si="33"/>
        <v>1</v>
      </c>
      <c r="G258" s="115">
        <v>41155</v>
      </c>
      <c r="H258" s="109">
        <f t="shared" si="34"/>
        <v>1</v>
      </c>
      <c r="I258" s="115">
        <v>41519</v>
      </c>
      <c r="J258" s="109">
        <f t="shared" si="30"/>
        <v>1</v>
      </c>
      <c r="K258" s="108">
        <f t="shared" si="35"/>
        <v>41883</v>
      </c>
      <c r="L258" s="109">
        <f t="shared" si="36"/>
        <v>1</v>
      </c>
      <c r="M258" s="110">
        <v>83010.551790508267</v>
      </c>
      <c r="N258" s="110">
        <v>79376.834586810568</v>
      </c>
      <c r="O258" s="110">
        <v>99840.639025699493</v>
      </c>
      <c r="P258" s="110">
        <v>102451.36612143123</v>
      </c>
      <c r="Q258" s="110">
        <v>87887.730549894855</v>
      </c>
      <c r="R258" s="116"/>
      <c r="S258" s="112">
        <v>334.40644444444445</v>
      </c>
      <c r="T258" s="112">
        <v>242.93730555555558</v>
      </c>
      <c r="U258" s="112">
        <v>559.18372222222217</v>
      </c>
      <c r="V258" s="112">
        <v>309.08983333333344</v>
      </c>
      <c r="W258" s="112">
        <v>369.79861111111103</v>
      </c>
      <c r="X258" s="112"/>
    </row>
    <row r="259" spans="1:24" x14ac:dyDescent="0.35">
      <c r="A259" s="108">
        <v>40064</v>
      </c>
      <c r="B259" s="109">
        <f t="shared" si="31"/>
        <v>2</v>
      </c>
      <c r="C259" s="108">
        <v>40428</v>
      </c>
      <c r="D259" s="109">
        <f t="shared" si="32"/>
        <v>2</v>
      </c>
      <c r="E259" s="115">
        <v>40792</v>
      </c>
      <c r="F259" s="109">
        <f t="shared" si="33"/>
        <v>2</v>
      </c>
      <c r="G259" s="115">
        <v>41156</v>
      </c>
      <c r="H259" s="109">
        <f t="shared" si="34"/>
        <v>2</v>
      </c>
      <c r="I259" s="115">
        <v>41520</v>
      </c>
      <c r="J259" s="109">
        <f t="shared" si="30"/>
        <v>2</v>
      </c>
      <c r="K259" s="108">
        <f t="shared" si="35"/>
        <v>41884</v>
      </c>
      <c r="L259" s="109">
        <f t="shared" si="36"/>
        <v>2</v>
      </c>
      <c r="M259" s="110">
        <v>83353.819318286027</v>
      </c>
      <c r="N259" s="110">
        <v>79583.29536458831</v>
      </c>
      <c r="O259" s="110">
        <v>100266.98038681057</v>
      </c>
      <c r="P259" s="110">
        <v>102760.45595476452</v>
      </c>
      <c r="Q259" s="110">
        <v>88156.099994339311</v>
      </c>
      <c r="R259" s="116"/>
      <c r="S259" s="112">
        <v>343.26752777777779</v>
      </c>
      <c r="T259" s="112">
        <v>211.23616666666666</v>
      </c>
      <c r="U259" s="112">
        <v>316.45783333333321</v>
      </c>
      <c r="V259" s="112">
        <v>344.61369444444438</v>
      </c>
      <c r="W259" s="112">
        <v>268.36944444444441</v>
      </c>
      <c r="X259" s="112"/>
    </row>
    <row r="260" spans="1:24" x14ac:dyDescent="0.35">
      <c r="A260" s="108">
        <v>40065</v>
      </c>
      <c r="B260" s="109">
        <f t="shared" si="31"/>
        <v>3</v>
      </c>
      <c r="C260" s="108">
        <v>40429</v>
      </c>
      <c r="D260" s="109">
        <f t="shared" si="32"/>
        <v>3</v>
      </c>
      <c r="E260" s="115">
        <v>40793</v>
      </c>
      <c r="F260" s="109">
        <f t="shared" si="33"/>
        <v>3</v>
      </c>
      <c r="G260" s="115">
        <v>41157</v>
      </c>
      <c r="H260" s="109">
        <f t="shared" si="34"/>
        <v>3</v>
      </c>
      <c r="I260" s="115">
        <v>41521</v>
      </c>
      <c r="J260" s="109">
        <f t="shared" si="30"/>
        <v>3</v>
      </c>
      <c r="K260" s="108">
        <f t="shared" si="35"/>
        <v>41885</v>
      </c>
      <c r="L260" s="109">
        <f t="shared" si="36"/>
        <v>3</v>
      </c>
      <c r="M260" s="110">
        <v>83641.302068286008</v>
      </c>
      <c r="N260" s="110">
        <v>79859.640086810556</v>
      </c>
      <c r="O260" s="110">
        <v>100633.26222014391</v>
      </c>
      <c r="P260" s="110">
        <v>103105.06964920902</v>
      </c>
      <c r="Q260" s="110">
        <v>88401.755077672686</v>
      </c>
      <c r="R260" s="116"/>
      <c r="S260" s="112">
        <v>287.48275000000001</v>
      </c>
      <c r="T260" s="112">
        <v>282.05677777777777</v>
      </c>
      <c r="U260" s="112">
        <v>426.34136111111115</v>
      </c>
      <c r="V260" s="112">
        <v>357.70094444444447</v>
      </c>
      <c r="W260" s="112">
        <v>245.65508333333329</v>
      </c>
      <c r="X260" s="112"/>
    </row>
    <row r="261" spans="1:24" x14ac:dyDescent="0.35">
      <c r="A261" s="108">
        <v>40066</v>
      </c>
      <c r="B261" s="109">
        <f t="shared" si="31"/>
        <v>4</v>
      </c>
      <c r="C261" s="108">
        <v>40430</v>
      </c>
      <c r="D261" s="109">
        <f t="shared" si="32"/>
        <v>4</v>
      </c>
      <c r="E261" s="115">
        <v>40794</v>
      </c>
      <c r="F261" s="109">
        <f t="shared" si="33"/>
        <v>4</v>
      </c>
      <c r="G261" s="115">
        <v>41158</v>
      </c>
      <c r="H261" s="109">
        <f t="shared" si="34"/>
        <v>4</v>
      </c>
      <c r="I261" s="115">
        <v>41522</v>
      </c>
      <c r="J261" s="109">
        <f t="shared" si="30"/>
        <v>4</v>
      </c>
      <c r="K261" s="108">
        <f t="shared" si="35"/>
        <v>41886</v>
      </c>
      <c r="L261" s="109">
        <f t="shared" si="36"/>
        <v>4</v>
      </c>
      <c r="M261" s="110">
        <v>83979.610679397156</v>
      </c>
      <c r="N261" s="110">
        <v>80157.77780903285</v>
      </c>
      <c r="O261" s="110">
        <v>101049.94658125503</v>
      </c>
      <c r="P261" s="110">
        <v>103462.77059365345</v>
      </c>
      <c r="Q261" s="110">
        <v>88637.494494339291</v>
      </c>
      <c r="R261" s="116"/>
      <c r="S261" s="112">
        <v>338.30861111111113</v>
      </c>
      <c r="T261" s="112">
        <v>302.99</v>
      </c>
      <c r="U261" s="112">
        <v>366.28183333333351</v>
      </c>
      <c r="V261" s="112">
        <v>338.58788888888887</v>
      </c>
      <c r="W261" s="112">
        <v>235.73941666666656</v>
      </c>
      <c r="X261" s="112"/>
    </row>
    <row r="262" spans="1:24" x14ac:dyDescent="0.35">
      <c r="A262" s="108">
        <v>40067</v>
      </c>
      <c r="B262" s="109">
        <f t="shared" si="31"/>
        <v>5</v>
      </c>
      <c r="C262" s="108">
        <v>40431</v>
      </c>
      <c r="D262" s="109">
        <f t="shared" si="32"/>
        <v>5</v>
      </c>
      <c r="E262" s="115">
        <v>40795</v>
      </c>
      <c r="F262" s="109">
        <f t="shared" si="33"/>
        <v>5</v>
      </c>
      <c r="G262" s="115">
        <v>41159</v>
      </c>
      <c r="H262" s="109">
        <f t="shared" si="34"/>
        <v>5</v>
      </c>
      <c r="I262" s="115">
        <v>41523</v>
      </c>
      <c r="J262" s="109">
        <f t="shared" si="30"/>
        <v>5</v>
      </c>
      <c r="K262" s="108">
        <f t="shared" si="35"/>
        <v>41887</v>
      </c>
      <c r="L262" s="109">
        <f t="shared" si="36"/>
        <v>5</v>
      </c>
      <c r="M262" s="110">
        <v>84284.276623841608</v>
      </c>
      <c r="N262" s="110">
        <v>80491.412836810588</v>
      </c>
      <c r="O262" s="110">
        <v>101448.08055347731</v>
      </c>
      <c r="P262" s="110">
        <v>103801.35848254235</v>
      </c>
      <c r="Q262" s="110">
        <v>88823.45313322822</v>
      </c>
      <c r="R262" s="116"/>
      <c r="S262" s="112">
        <v>304.66594444444439</v>
      </c>
      <c r="T262" s="112">
        <v>339.44944444444445</v>
      </c>
      <c r="U262" s="112">
        <v>416.68436111111095</v>
      </c>
      <c r="V262" s="112">
        <v>342.4881388888889</v>
      </c>
      <c r="W262" s="112">
        <v>185.95863888888886</v>
      </c>
      <c r="X262" s="112"/>
    </row>
    <row r="263" spans="1:24" x14ac:dyDescent="0.35">
      <c r="A263" s="108">
        <v>40068</v>
      </c>
      <c r="B263" s="109">
        <f t="shared" si="31"/>
        <v>6</v>
      </c>
      <c r="C263" s="108">
        <v>40432</v>
      </c>
      <c r="D263" s="109">
        <f t="shared" si="32"/>
        <v>6</v>
      </c>
      <c r="E263" s="115">
        <v>40796</v>
      </c>
      <c r="F263" s="109">
        <f t="shared" si="33"/>
        <v>6</v>
      </c>
      <c r="G263" s="115">
        <v>41160</v>
      </c>
      <c r="H263" s="109">
        <f t="shared" si="34"/>
        <v>6</v>
      </c>
      <c r="I263" s="115">
        <v>41524</v>
      </c>
      <c r="J263" s="109">
        <f t="shared" si="30"/>
        <v>6</v>
      </c>
      <c r="K263" s="108">
        <f t="shared" si="35"/>
        <v>41888</v>
      </c>
      <c r="L263" s="109">
        <f t="shared" si="36"/>
        <v>6</v>
      </c>
      <c r="M263" s="110">
        <v>84672.119457174922</v>
      </c>
      <c r="N263" s="110">
        <v>80834.106003477238</v>
      </c>
      <c r="O263" s="110">
        <v>101882.81527569948</v>
      </c>
      <c r="P263" s="110">
        <v>104143.84662143119</v>
      </c>
      <c r="Q263" s="110">
        <v>89182.63546656158</v>
      </c>
      <c r="R263" s="116"/>
      <c r="S263" s="112">
        <v>387.84283333333332</v>
      </c>
      <c r="T263" s="112">
        <v>348.45875000000001</v>
      </c>
      <c r="U263" s="112">
        <v>398.1339722222221</v>
      </c>
      <c r="V263" s="112">
        <v>339.76133333333337</v>
      </c>
      <c r="W263" s="112">
        <v>359.18233333333325</v>
      </c>
      <c r="X263" s="112"/>
    </row>
    <row r="264" spans="1:24" x14ac:dyDescent="0.35">
      <c r="A264" s="108">
        <v>40069</v>
      </c>
      <c r="B264" s="109">
        <f t="shared" si="31"/>
        <v>7</v>
      </c>
      <c r="C264" s="108">
        <v>40433</v>
      </c>
      <c r="D264" s="109">
        <f t="shared" si="32"/>
        <v>7</v>
      </c>
      <c r="E264" s="115">
        <v>40797</v>
      </c>
      <c r="F264" s="109">
        <f t="shared" si="33"/>
        <v>7</v>
      </c>
      <c r="G264" s="115">
        <v>41161</v>
      </c>
      <c r="H264" s="109">
        <f t="shared" si="34"/>
        <v>7</v>
      </c>
      <c r="I264" s="115">
        <v>41525</v>
      </c>
      <c r="J264" s="109">
        <f t="shared" si="30"/>
        <v>7</v>
      </c>
      <c r="K264" s="108">
        <f t="shared" si="35"/>
        <v>41889</v>
      </c>
      <c r="L264" s="109">
        <f t="shared" si="36"/>
        <v>7</v>
      </c>
      <c r="M264" s="110">
        <v>85030.435707174925</v>
      </c>
      <c r="N264" s="110">
        <v>81202.038531255021</v>
      </c>
      <c r="O264" s="110">
        <v>102320.51705347725</v>
      </c>
      <c r="P264" s="110">
        <v>104483.60795476461</v>
      </c>
      <c r="Q264" s="110">
        <v>89617.805938783786</v>
      </c>
      <c r="R264" s="116"/>
      <c r="S264" s="112">
        <v>358.31625000000003</v>
      </c>
      <c r="T264" s="112">
        <v>373.02913888888884</v>
      </c>
      <c r="U264" s="112">
        <v>434.73472222222244</v>
      </c>
      <c r="V264" s="112">
        <v>317.85900000000004</v>
      </c>
      <c r="W264" s="112">
        <v>435.17047222222209</v>
      </c>
      <c r="X264" s="112"/>
    </row>
    <row r="265" spans="1:24" x14ac:dyDescent="0.35">
      <c r="A265" s="108">
        <v>40070</v>
      </c>
      <c r="B265" s="109">
        <f t="shared" si="31"/>
        <v>1</v>
      </c>
      <c r="C265" s="108">
        <v>40434</v>
      </c>
      <c r="D265" s="109">
        <f t="shared" si="32"/>
        <v>1</v>
      </c>
      <c r="E265" s="115">
        <v>40798</v>
      </c>
      <c r="F265" s="109">
        <f t="shared" si="33"/>
        <v>1</v>
      </c>
      <c r="G265" s="115">
        <v>41162</v>
      </c>
      <c r="H265" s="109">
        <f t="shared" si="34"/>
        <v>1</v>
      </c>
      <c r="I265" s="115">
        <v>41526</v>
      </c>
      <c r="J265" s="109">
        <f t="shared" si="30"/>
        <v>1</v>
      </c>
      <c r="K265" s="108">
        <f t="shared" si="35"/>
        <v>41890</v>
      </c>
      <c r="L265" s="109">
        <f t="shared" si="36"/>
        <v>1</v>
      </c>
      <c r="M265" s="110">
        <v>85295.633734952702</v>
      </c>
      <c r="N265" s="110">
        <v>81477.044225699457</v>
      </c>
      <c r="O265" s="110">
        <v>102438.26566458834</v>
      </c>
      <c r="P265" s="110">
        <v>104801.46695476456</v>
      </c>
      <c r="Q265" s="110">
        <v>89847.487938783801</v>
      </c>
      <c r="R265" s="116"/>
      <c r="S265" s="112">
        <v>265.19802777777778</v>
      </c>
      <c r="T265" s="112">
        <v>280.73708333333332</v>
      </c>
      <c r="U265" s="112">
        <v>437.70177777777809</v>
      </c>
      <c r="V265" s="112">
        <v>271.15086111111111</v>
      </c>
      <c r="W265" s="112">
        <v>229.68199999999996</v>
      </c>
      <c r="X265" s="112"/>
    </row>
    <row r="266" spans="1:24" x14ac:dyDescent="0.35">
      <c r="A266" s="108">
        <v>40071</v>
      </c>
      <c r="B266" s="109">
        <f t="shared" si="31"/>
        <v>2</v>
      </c>
      <c r="C266" s="108">
        <v>40435</v>
      </c>
      <c r="D266" s="109">
        <f t="shared" si="32"/>
        <v>2</v>
      </c>
      <c r="E266" s="115">
        <v>40799</v>
      </c>
      <c r="F266" s="109">
        <f t="shared" si="33"/>
        <v>2</v>
      </c>
      <c r="G266" s="115">
        <v>41163</v>
      </c>
      <c r="H266" s="109">
        <f t="shared" si="34"/>
        <v>2</v>
      </c>
      <c r="I266" s="115">
        <v>41527</v>
      </c>
      <c r="J266" s="109">
        <f t="shared" si="30"/>
        <v>2</v>
      </c>
      <c r="K266" s="108">
        <f t="shared" si="35"/>
        <v>41891</v>
      </c>
      <c r="L266" s="109">
        <f t="shared" si="36"/>
        <v>2</v>
      </c>
      <c r="M266" s="110">
        <v>85483.160346063843</v>
      </c>
      <c r="N266" s="110">
        <v>81740.087281255037</v>
      </c>
      <c r="O266" s="110">
        <v>102556.27655347729</v>
      </c>
      <c r="P266" s="110">
        <v>105072.61781587572</v>
      </c>
      <c r="Q266" s="110">
        <v>90037.009494339305</v>
      </c>
      <c r="R266" s="116"/>
      <c r="S266" s="112">
        <v>187.52661111111112</v>
      </c>
      <c r="T266" s="112">
        <v>268.83452777777779</v>
      </c>
      <c r="U266" s="112">
        <v>117.74861111111107</v>
      </c>
      <c r="V266" s="112">
        <v>293.89402777777769</v>
      </c>
      <c r="W266" s="112">
        <v>189.52155555555549</v>
      </c>
      <c r="X266" s="112"/>
    </row>
    <row r="267" spans="1:24" x14ac:dyDescent="0.35">
      <c r="A267" s="108">
        <v>40072</v>
      </c>
      <c r="B267" s="109">
        <f t="shared" si="31"/>
        <v>3</v>
      </c>
      <c r="C267" s="108">
        <v>40436</v>
      </c>
      <c r="D267" s="109">
        <f t="shared" si="32"/>
        <v>3</v>
      </c>
      <c r="E267" s="115">
        <v>40800</v>
      </c>
      <c r="F267" s="109">
        <f t="shared" si="33"/>
        <v>3</v>
      </c>
      <c r="G267" s="115">
        <v>41164</v>
      </c>
      <c r="H267" s="109">
        <f t="shared" si="34"/>
        <v>3</v>
      </c>
      <c r="I267" s="115">
        <v>41528</v>
      </c>
      <c r="J267" s="109">
        <f t="shared" si="30"/>
        <v>3</v>
      </c>
      <c r="K267" s="108">
        <f t="shared" si="35"/>
        <v>41892</v>
      </c>
      <c r="L267" s="109">
        <f t="shared" si="36"/>
        <v>3</v>
      </c>
      <c r="M267" s="110">
        <v>85725.98554050822</v>
      </c>
      <c r="N267" s="110">
        <v>82020.389253477217</v>
      </c>
      <c r="O267" s="110">
        <v>102730.05819236611</v>
      </c>
      <c r="P267" s="110">
        <v>105366.51184365341</v>
      </c>
      <c r="Q267" s="110">
        <v>90276.034494339328</v>
      </c>
      <c r="R267" s="116"/>
      <c r="S267" s="112">
        <v>242.82519444444443</v>
      </c>
      <c r="T267" s="112">
        <v>285.80041666666665</v>
      </c>
      <c r="U267" s="112">
        <v>118.01088888888893</v>
      </c>
      <c r="V267" s="112">
        <v>328.66950000000003</v>
      </c>
      <c r="W267" s="112">
        <v>239.02499999999998</v>
      </c>
      <c r="X267" s="112"/>
    </row>
    <row r="268" spans="1:24" x14ac:dyDescent="0.35">
      <c r="A268" s="108">
        <v>40073</v>
      </c>
      <c r="B268" s="109">
        <f t="shared" si="31"/>
        <v>4</v>
      </c>
      <c r="C268" s="108">
        <v>40437</v>
      </c>
      <c r="D268" s="109">
        <f t="shared" si="32"/>
        <v>4</v>
      </c>
      <c r="E268" s="115">
        <v>40801</v>
      </c>
      <c r="F268" s="109">
        <f t="shared" si="33"/>
        <v>4</v>
      </c>
      <c r="G268" s="115">
        <v>41165</v>
      </c>
      <c r="H268" s="109">
        <f t="shared" si="34"/>
        <v>4</v>
      </c>
      <c r="I268" s="115">
        <v>41529</v>
      </c>
      <c r="J268" s="109">
        <f t="shared" si="30"/>
        <v>4</v>
      </c>
      <c r="K268" s="108">
        <f t="shared" si="35"/>
        <v>41893</v>
      </c>
      <c r="L268" s="109">
        <f t="shared" si="36"/>
        <v>4</v>
      </c>
      <c r="M268" s="110">
        <v>86128.408262730474</v>
      </c>
      <c r="N268" s="110">
        <v>82289.660253477239</v>
      </c>
      <c r="O268" s="110">
        <v>102996.92247014392</v>
      </c>
      <c r="P268" s="110">
        <v>105695.18134365343</v>
      </c>
      <c r="Q268" s="110">
        <v>90614.745161006009</v>
      </c>
      <c r="R268" s="116"/>
      <c r="S268" s="112">
        <v>402.42272222222226</v>
      </c>
      <c r="T268" s="112">
        <v>275.00994444444444</v>
      </c>
      <c r="U268" s="112">
        <v>173.78163888888892</v>
      </c>
      <c r="V268" s="112">
        <v>330.32619444444447</v>
      </c>
      <c r="W268" s="112">
        <v>338.71066666666655</v>
      </c>
      <c r="X268" s="112"/>
    </row>
    <row r="269" spans="1:24" x14ac:dyDescent="0.35">
      <c r="A269" s="108">
        <v>40074</v>
      </c>
      <c r="B269" s="109">
        <f t="shared" si="31"/>
        <v>5</v>
      </c>
      <c r="C269" s="108">
        <v>40438</v>
      </c>
      <c r="D269" s="109">
        <f t="shared" si="32"/>
        <v>5</v>
      </c>
      <c r="E269" s="115">
        <v>40802</v>
      </c>
      <c r="F269" s="109">
        <f t="shared" si="33"/>
        <v>5</v>
      </c>
      <c r="G269" s="115">
        <v>41166</v>
      </c>
      <c r="H269" s="109">
        <f t="shared" si="34"/>
        <v>5</v>
      </c>
      <c r="I269" s="115">
        <v>41530</v>
      </c>
      <c r="J269" s="109">
        <f t="shared" si="30"/>
        <v>5</v>
      </c>
      <c r="K269" s="108">
        <f t="shared" si="35"/>
        <v>41894</v>
      </c>
      <c r="L269" s="109">
        <f t="shared" si="36"/>
        <v>5</v>
      </c>
      <c r="M269" s="110">
        <v>86507.00117939715</v>
      </c>
      <c r="N269" s="110">
        <v>82687.720836810578</v>
      </c>
      <c r="O269" s="110">
        <v>103227.30183125503</v>
      </c>
      <c r="P269" s="110">
        <v>106025.50753809793</v>
      </c>
      <c r="Q269" s="110">
        <v>91029.087272117104</v>
      </c>
      <c r="R269" s="116"/>
      <c r="S269" s="112">
        <v>378.59291666666667</v>
      </c>
      <c r="T269" s="112">
        <v>403.71055555555557</v>
      </c>
      <c r="U269" s="112">
        <v>266.86427777777777</v>
      </c>
      <c r="V269" s="112">
        <v>330.0392500000001</v>
      </c>
      <c r="W269" s="112">
        <v>414.34211111111102</v>
      </c>
      <c r="X269" s="112"/>
    </row>
    <row r="270" spans="1:24" x14ac:dyDescent="0.35">
      <c r="A270" s="108">
        <v>40075</v>
      </c>
      <c r="B270" s="109">
        <f t="shared" si="31"/>
        <v>6</v>
      </c>
      <c r="C270" s="108">
        <v>40439</v>
      </c>
      <c r="D270" s="109">
        <f t="shared" si="32"/>
        <v>6</v>
      </c>
      <c r="E270" s="115">
        <v>40803</v>
      </c>
      <c r="F270" s="109">
        <f t="shared" si="33"/>
        <v>6</v>
      </c>
      <c r="G270" s="115">
        <v>41167</v>
      </c>
      <c r="H270" s="109">
        <f t="shared" si="34"/>
        <v>6</v>
      </c>
      <c r="I270" s="115">
        <v>41531</v>
      </c>
      <c r="J270" s="109">
        <f t="shared" ref="J270:J333" si="37">WEEKDAY(I270,2)</f>
        <v>6</v>
      </c>
      <c r="K270" s="108">
        <f t="shared" si="35"/>
        <v>41895</v>
      </c>
      <c r="L270" s="109">
        <f t="shared" si="36"/>
        <v>6</v>
      </c>
      <c r="M270" s="110">
        <v>86885.215318286006</v>
      </c>
      <c r="N270" s="110">
        <v>83119.43747569948</v>
      </c>
      <c r="O270" s="110">
        <v>103671.81966458836</v>
      </c>
      <c r="P270" s="110">
        <v>106355.54678809796</v>
      </c>
      <c r="Q270" s="110">
        <v>91515.66496656157</v>
      </c>
      <c r="R270" s="116"/>
      <c r="S270" s="112">
        <v>378.21413888888884</v>
      </c>
      <c r="T270" s="112">
        <v>437.4229722222222</v>
      </c>
      <c r="U270" s="112">
        <v>230.37936111111114</v>
      </c>
      <c r="V270" s="112">
        <v>388.359861111111</v>
      </c>
      <c r="W270" s="112">
        <v>486.57769444444443</v>
      </c>
      <c r="X270" s="112"/>
    </row>
    <row r="271" spans="1:24" x14ac:dyDescent="0.35">
      <c r="A271" s="108">
        <v>40076</v>
      </c>
      <c r="B271" s="109">
        <f t="shared" si="31"/>
        <v>7</v>
      </c>
      <c r="C271" s="108">
        <v>40440</v>
      </c>
      <c r="D271" s="109">
        <f t="shared" si="32"/>
        <v>7</v>
      </c>
      <c r="E271" s="115">
        <v>40804</v>
      </c>
      <c r="F271" s="109">
        <f t="shared" si="33"/>
        <v>7</v>
      </c>
      <c r="G271" s="115">
        <v>41168</v>
      </c>
      <c r="H271" s="109">
        <f t="shared" si="34"/>
        <v>7</v>
      </c>
      <c r="I271" s="115">
        <v>41532</v>
      </c>
      <c r="J271" s="109">
        <f t="shared" si="37"/>
        <v>7</v>
      </c>
      <c r="K271" s="108">
        <f t="shared" si="35"/>
        <v>41896</v>
      </c>
      <c r="L271" s="109">
        <f t="shared" si="36"/>
        <v>7</v>
      </c>
      <c r="M271" s="110">
        <v>87372.353873841581</v>
      </c>
      <c r="N271" s="110">
        <v>83628.683614588401</v>
      </c>
      <c r="O271" s="110">
        <v>104190.26144236614</v>
      </c>
      <c r="P271" s="110">
        <v>106743.90664920905</v>
      </c>
      <c r="Q271" s="110">
        <v>92083.571661006019</v>
      </c>
      <c r="R271" s="116"/>
      <c r="S271" s="112">
        <v>487.13855555555557</v>
      </c>
      <c r="T271" s="112">
        <v>511.94524999999999</v>
      </c>
      <c r="U271" s="112">
        <v>444.51783333333321</v>
      </c>
      <c r="V271" s="112">
        <v>144.73255555555556</v>
      </c>
      <c r="W271" s="112">
        <v>567.9066944444445</v>
      </c>
      <c r="X271" s="112"/>
    </row>
    <row r="272" spans="1:24" x14ac:dyDescent="0.35">
      <c r="A272" s="108">
        <v>40077</v>
      </c>
      <c r="B272" s="109">
        <f t="shared" si="31"/>
        <v>1</v>
      </c>
      <c r="C272" s="108">
        <v>40441</v>
      </c>
      <c r="D272" s="109">
        <f t="shared" si="32"/>
        <v>1</v>
      </c>
      <c r="E272" s="115">
        <v>40805</v>
      </c>
      <c r="F272" s="109">
        <f t="shared" si="33"/>
        <v>1</v>
      </c>
      <c r="G272" s="115">
        <v>41169</v>
      </c>
      <c r="H272" s="109">
        <f t="shared" si="34"/>
        <v>1</v>
      </c>
      <c r="I272" s="115">
        <v>41533</v>
      </c>
      <c r="J272" s="109">
        <f t="shared" si="37"/>
        <v>1</v>
      </c>
      <c r="K272" s="108">
        <f t="shared" si="35"/>
        <v>41897</v>
      </c>
      <c r="L272" s="109">
        <f t="shared" si="36"/>
        <v>1</v>
      </c>
      <c r="M272" s="110">
        <v>87606.618734952703</v>
      </c>
      <c r="N272" s="110">
        <v>83915.164281255027</v>
      </c>
      <c r="O272" s="110">
        <v>104415.87999792173</v>
      </c>
      <c r="P272" s="110">
        <v>106888.63920476455</v>
      </c>
      <c r="Q272" s="110">
        <v>92483.735716561569</v>
      </c>
      <c r="R272" s="116"/>
      <c r="S272" s="112">
        <v>234.26486111111112</v>
      </c>
      <c r="T272" s="112">
        <v>291.9663888888889</v>
      </c>
      <c r="U272" s="112">
        <v>518.4417777777777</v>
      </c>
      <c r="V272" s="112">
        <v>149.25152777777777</v>
      </c>
      <c r="W272" s="112">
        <v>400.16405555555565</v>
      </c>
      <c r="X272" s="112"/>
    </row>
    <row r="273" spans="1:24" x14ac:dyDescent="0.35">
      <c r="A273" s="108">
        <v>40078</v>
      </c>
      <c r="B273" s="109">
        <f t="shared" si="31"/>
        <v>2</v>
      </c>
      <c r="C273" s="108">
        <v>40442</v>
      </c>
      <c r="D273" s="109">
        <f t="shared" si="32"/>
        <v>2</v>
      </c>
      <c r="E273" s="115">
        <v>40806</v>
      </c>
      <c r="F273" s="109">
        <f t="shared" si="33"/>
        <v>2</v>
      </c>
      <c r="G273" s="115">
        <v>41170</v>
      </c>
      <c r="H273" s="109">
        <f t="shared" si="34"/>
        <v>2</v>
      </c>
      <c r="I273" s="115">
        <v>41534</v>
      </c>
      <c r="J273" s="109">
        <f t="shared" si="37"/>
        <v>2</v>
      </c>
      <c r="K273" s="108">
        <f t="shared" si="35"/>
        <v>41898</v>
      </c>
      <c r="L273" s="109">
        <f t="shared" si="36"/>
        <v>2</v>
      </c>
      <c r="M273" s="110">
        <v>87756.212040508239</v>
      </c>
      <c r="N273" s="110">
        <v>84232.473392366126</v>
      </c>
      <c r="O273" s="110">
        <v>104634.05694236615</v>
      </c>
      <c r="P273" s="110">
        <v>107037.89073254236</v>
      </c>
      <c r="Q273" s="110">
        <v>92869.622938783825</v>
      </c>
      <c r="R273" s="116"/>
      <c r="S273" s="112">
        <v>149.59330555555556</v>
      </c>
      <c r="T273" s="112">
        <v>322.47397222222224</v>
      </c>
      <c r="U273" s="112">
        <v>225.61855555555556</v>
      </c>
      <c r="V273" s="112">
        <v>286.77088888888892</v>
      </c>
      <c r="W273" s="112">
        <v>385.88722222222214</v>
      </c>
      <c r="X273" s="112"/>
    </row>
    <row r="274" spans="1:24" x14ac:dyDescent="0.35">
      <c r="A274" s="108">
        <v>40079</v>
      </c>
      <c r="B274" s="109">
        <f t="shared" si="31"/>
        <v>3</v>
      </c>
      <c r="C274" s="108">
        <v>40443</v>
      </c>
      <c r="D274" s="109">
        <f t="shared" si="32"/>
        <v>3</v>
      </c>
      <c r="E274" s="115">
        <v>40807</v>
      </c>
      <c r="F274" s="109">
        <f t="shared" si="33"/>
        <v>3</v>
      </c>
      <c r="G274" s="115">
        <v>41171</v>
      </c>
      <c r="H274" s="109">
        <f t="shared" si="34"/>
        <v>3</v>
      </c>
      <c r="I274" s="115">
        <v>41535</v>
      </c>
      <c r="J274" s="109">
        <f t="shared" si="37"/>
        <v>3</v>
      </c>
      <c r="K274" s="108">
        <f t="shared" si="35"/>
        <v>41899</v>
      </c>
      <c r="L274" s="109">
        <f t="shared" si="36"/>
        <v>3</v>
      </c>
      <c r="M274" s="110">
        <v>88076.069623841584</v>
      </c>
      <c r="N274" s="110">
        <v>84566.637336810614</v>
      </c>
      <c r="O274" s="110">
        <v>104961.50688681059</v>
      </c>
      <c r="P274" s="110">
        <v>107324.66162143124</v>
      </c>
      <c r="Q274" s="110">
        <v>93240.077883228267</v>
      </c>
      <c r="R274" s="116"/>
      <c r="S274" s="112">
        <v>319.85758333333337</v>
      </c>
      <c r="T274" s="112">
        <v>343.80624999999998</v>
      </c>
      <c r="U274" s="112">
        <v>218.17694444444447</v>
      </c>
      <c r="V274" s="112">
        <v>282.09372222222214</v>
      </c>
      <c r="W274" s="112">
        <v>370.45494444444438</v>
      </c>
      <c r="X274" s="112"/>
    </row>
    <row r="275" spans="1:24" x14ac:dyDescent="0.35">
      <c r="A275" s="108">
        <v>40080</v>
      </c>
      <c r="B275" s="109">
        <f t="shared" si="31"/>
        <v>4</v>
      </c>
      <c r="C275" s="108">
        <v>40444</v>
      </c>
      <c r="D275" s="109">
        <f t="shared" si="32"/>
        <v>4</v>
      </c>
      <c r="E275" s="115">
        <v>40808</v>
      </c>
      <c r="F275" s="109">
        <f t="shared" si="33"/>
        <v>4</v>
      </c>
      <c r="G275" s="115">
        <v>41172</v>
      </c>
      <c r="H275" s="109">
        <f t="shared" si="34"/>
        <v>4</v>
      </c>
      <c r="I275" s="115">
        <v>41536</v>
      </c>
      <c r="J275" s="109">
        <f t="shared" si="37"/>
        <v>4</v>
      </c>
      <c r="K275" s="108">
        <f t="shared" si="35"/>
        <v>41900</v>
      </c>
      <c r="L275" s="109">
        <f t="shared" si="36"/>
        <v>4</v>
      </c>
      <c r="M275" s="110">
        <v>88351.188207174942</v>
      </c>
      <c r="N275" s="110">
        <v>84877.090067366153</v>
      </c>
      <c r="O275" s="110">
        <v>105238.94424792171</v>
      </c>
      <c r="P275" s="110">
        <v>107606.75534365351</v>
      </c>
      <c r="Q275" s="110">
        <v>93485.33938322826</v>
      </c>
      <c r="R275" s="116"/>
      <c r="S275" s="112">
        <v>275.11858333333333</v>
      </c>
      <c r="T275" s="112">
        <v>321.95102777777777</v>
      </c>
      <c r="U275" s="112">
        <v>327.4499444444445</v>
      </c>
      <c r="V275" s="112">
        <v>283.85250000000008</v>
      </c>
      <c r="W275" s="112">
        <v>245.26149999999996</v>
      </c>
      <c r="X275" s="112"/>
    </row>
    <row r="276" spans="1:24" x14ac:dyDescent="0.35">
      <c r="A276" s="108">
        <v>40081</v>
      </c>
      <c r="B276" s="109">
        <f t="shared" si="31"/>
        <v>5</v>
      </c>
      <c r="C276" s="108">
        <v>40445</v>
      </c>
      <c r="D276" s="109">
        <f t="shared" si="32"/>
        <v>5</v>
      </c>
      <c r="E276" s="115">
        <v>40809</v>
      </c>
      <c r="F276" s="109">
        <f t="shared" si="33"/>
        <v>5</v>
      </c>
      <c r="G276" s="115">
        <v>41173</v>
      </c>
      <c r="H276" s="109">
        <f t="shared" si="34"/>
        <v>5</v>
      </c>
      <c r="I276" s="115">
        <v>41537</v>
      </c>
      <c r="J276" s="109">
        <f t="shared" si="37"/>
        <v>5</v>
      </c>
      <c r="K276" s="108">
        <f t="shared" si="35"/>
        <v>41901</v>
      </c>
      <c r="L276" s="109">
        <f t="shared" si="36"/>
        <v>5</v>
      </c>
      <c r="M276" s="110">
        <v>88765.075679397152</v>
      </c>
      <c r="N276" s="110">
        <v>85205.61787014392</v>
      </c>
      <c r="O276" s="110">
        <v>105465.78635903279</v>
      </c>
      <c r="P276" s="110">
        <v>107890.60784365349</v>
      </c>
      <c r="Q276" s="110">
        <v>93593.744161006034</v>
      </c>
      <c r="R276" s="116"/>
      <c r="S276" s="112">
        <v>413.88747222222219</v>
      </c>
      <c r="T276" s="112">
        <v>342.08733333333333</v>
      </c>
      <c r="U276" s="112">
        <v>277.43736111111116</v>
      </c>
      <c r="V276" s="112">
        <v>280.78258333333338</v>
      </c>
      <c r="W276" s="112">
        <v>108.40477777777778</v>
      </c>
      <c r="X276" s="112"/>
    </row>
    <row r="277" spans="1:24" x14ac:dyDescent="0.35">
      <c r="A277" s="108">
        <v>40082</v>
      </c>
      <c r="B277" s="109">
        <f t="shared" si="31"/>
        <v>6</v>
      </c>
      <c r="C277" s="108">
        <v>40446</v>
      </c>
      <c r="D277" s="109">
        <f t="shared" si="32"/>
        <v>6</v>
      </c>
      <c r="E277" s="115">
        <v>40810</v>
      </c>
      <c r="F277" s="109">
        <f t="shared" si="33"/>
        <v>6</v>
      </c>
      <c r="G277" s="115">
        <v>41174</v>
      </c>
      <c r="H277" s="109">
        <f t="shared" si="34"/>
        <v>6</v>
      </c>
      <c r="I277" s="115">
        <v>41538</v>
      </c>
      <c r="J277" s="109">
        <f t="shared" si="37"/>
        <v>6</v>
      </c>
      <c r="K277" s="108">
        <f t="shared" si="35"/>
        <v>41902</v>
      </c>
      <c r="L277" s="109">
        <f t="shared" si="36"/>
        <v>6</v>
      </c>
      <c r="M277" s="110">
        <v>89212.085873841614</v>
      </c>
      <c r="N277" s="110">
        <v>85677.229572921671</v>
      </c>
      <c r="O277" s="110">
        <v>105898.44574792169</v>
      </c>
      <c r="P277" s="110">
        <v>108171.39042698676</v>
      </c>
      <c r="Q277" s="110">
        <v>93911.504133228227</v>
      </c>
      <c r="R277" s="116"/>
      <c r="S277" s="112">
        <v>447.01019444444444</v>
      </c>
      <c r="T277" s="112">
        <v>484.78430555555553</v>
      </c>
      <c r="U277" s="112">
        <v>226.84211111111114</v>
      </c>
      <c r="V277" s="112">
        <v>290.56166666666667</v>
      </c>
      <c r="W277" s="112">
        <v>317.75997222222213</v>
      </c>
      <c r="X277" s="112"/>
    </row>
    <row r="278" spans="1:24" x14ac:dyDescent="0.35">
      <c r="A278" s="108">
        <v>40083</v>
      </c>
      <c r="B278" s="109">
        <f t="shared" si="31"/>
        <v>7</v>
      </c>
      <c r="C278" s="108">
        <v>40447</v>
      </c>
      <c r="D278" s="109">
        <f t="shared" si="32"/>
        <v>7</v>
      </c>
      <c r="E278" s="115">
        <v>40811</v>
      </c>
      <c r="F278" s="109">
        <f t="shared" si="33"/>
        <v>7</v>
      </c>
      <c r="G278" s="115">
        <v>41175</v>
      </c>
      <c r="H278" s="109">
        <f t="shared" si="34"/>
        <v>7</v>
      </c>
      <c r="I278" s="115">
        <v>41539</v>
      </c>
      <c r="J278" s="109">
        <f t="shared" si="37"/>
        <v>7</v>
      </c>
      <c r="K278" s="108">
        <f t="shared" si="35"/>
        <v>41903</v>
      </c>
      <c r="L278" s="109">
        <f t="shared" si="36"/>
        <v>7</v>
      </c>
      <c r="M278" s="110">
        <v>89649.056429397169</v>
      </c>
      <c r="N278" s="110">
        <v>86293.718692366121</v>
      </c>
      <c r="O278" s="110">
        <v>106343.64674792171</v>
      </c>
      <c r="P278" s="110">
        <v>108461.9520936535</v>
      </c>
      <c r="Q278" s="110">
        <v>94402.321744339381</v>
      </c>
      <c r="R278" s="116"/>
      <c r="S278" s="112">
        <v>436.97055555555556</v>
      </c>
      <c r="T278" s="112">
        <v>629.54277777777781</v>
      </c>
      <c r="U278" s="112">
        <v>432.6593888888886</v>
      </c>
      <c r="V278" s="112">
        <v>284.87869444444448</v>
      </c>
      <c r="W278" s="112">
        <v>490.81761111111103</v>
      </c>
      <c r="X278" s="112"/>
    </row>
    <row r="279" spans="1:24" x14ac:dyDescent="0.35">
      <c r="A279" s="108">
        <v>40084</v>
      </c>
      <c r="B279" s="109">
        <f t="shared" si="31"/>
        <v>1</v>
      </c>
      <c r="C279" s="108">
        <v>40448</v>
      </c>
      <c r="D279" s="109">
        <f t="shared" si="32"/>
        <v>1</v>
      </c>
      <c r="E279" s="115">
        <v>40812</v>
      </c>
      <c r="F279" s="109">
        <f t="shared" si="33"/>
        <v>1</v>
      </c>
      <c r="G279" s="115">
        <v>41176</v>
      </c>
      <c r="H279" s="109">
        <f t="shared" si="34"/>
        <v>1</v>
      </c>
      <c r="I279" s="115">
        <v>41540</v>
      </c>
      <c r="J279" s="109">
        <f t="shared" si="37"/>
        <v>1</v>
      </c>
      <c r="K279" s="108">
        <f t="shared" si="35"/>
        <v>41904</v>
      </c>
      <c r="L279" s="109">
        <f t="shared" si="36"/>
        <v>1</v>
      </c>
      <c r="M279" s="110">
        <v>89835.031068286073</v>
      </c>
      <c r="N279" s="110">
        <v>86808.810506255017</v>
      </c>
      <c r="O279" s="110">
        <v>106671.33713681056</v>
      </c>
      <c r="P279" s="110">
        <v>108746.83078809793</v>
      </c>
      <c r="Q279" s="110">
        <v>94632.636383228266</v>
      </c>
      <c r="R279" s="116"/>
      <c r="S279" s="112">
        <v>185.97463888888888</v>
      </c>
      <c r="T279" s="112">
        <v>528.4588611111111</v>
      </c>
      <c r="U279" s="112">
        <v>445.20100000000008</v>
      </c>
      <c r="V279" s="112">
        <v>275.63341666666673</v>
      </c>
      <c r="W279" s="112">
        <v>230.31463888888882</v>
      </c>
      <c r="X279" s="112"/>
    </row>
    <row r="280" spans="1:24" x14ac:dyDescent="0.35">
      <c r="A280" s="108">
        <v>40085</v>
      </c>
      <c r="B280" s="109">
        <f t="shared" si="31"/>
        <v>2</v>
      </c>
      <c r="C280" s="108">
        <v>40449</v>
      </c>
      <c r="D280" s="109">
        <f t="shared" si="32"/>
        <v>2</v>
      </c>
      <c r="E280" s="115">
        <v>40813</v>
      </c>
      <c r="F280" s="109">
        <f t="shared" si="33"/>
        <v>2</v>
      </c>
      <c r="G280" s="115">
        <v>41177</v>
      </c>
      <c r="H280" s="109">
        <f t="shared" si="34"/>
        <v>2</v>
      </c>
      <c r="I280" s="115">
        <v>41541</v>
      </c>
      <c r="J280" s="109">
        <f t="shared" si="37"/>
        <v>2</v>
      </c>
      <c r="K280" s="108">
        <f t="shared" si="35"/>
        <v>41905</v>
      </c>
      <c r="L280" s="109">
        <f t="shared" si="36"/>
        <v>2</v>
      </c>
      <c r="M280" s="110">
        <v>89922.364679397157</v>
      </c>
      <c r="N280" s="110">
        <v>87187.029317366163</v>
      </c>
      <c r="O280" s="110">
        <v>106954.76619236615</v>
      </c>
      <c r="P280" s="110">
        <v>109022.46420476458</v>
      </c>
      <c r="Q280" s="110">
        <v>94833.419661006017</v>
      </c>
      <c r="R280" s="116"/>
      <c r="S280" s="112">
        <v>87.333611111111111</v>
      </c>
      <c r="T280" s="112">
        <v>391.62386111111107</v>
      </c>
      <c r="U280" s="112">
        <v>327.69038888888889</v>
      </c>
      <c r="V280" s="112">
        <v>276.94180555555556</v>
      </c>
      <c r="W280" s="112">
        <v>200.78327777777776</v>
      </c>
      <c r="X280" s="112"/>
    </row>
    <row r="281" spans="1:24" x14ac:dyDescent="0.35">
      <c r="A281" s="108">
        <v>40086</v>
      </c>
      <c r="B281" s="109">
        <f t="shared" si="31"/>
        <v>3</v>
      </c>
      <c r="C281" s="108">
        <v>40450</v>
      </c>
      <c r="D281" s="109">
        <f t="shared" si="32"/>
        <v>3</v>
      </c>
      <c r="E281" s="115">
        <v>40814</v>
      </c>
      <c r="F281" s="109">
        <f t="shared" si="33"/>
        <v>3</v>
      </c>
      <c r="G281" s="115">
        <v>41178</v>
      </c>
      <c r="H281" s="109">
        <f t="shared" si="34"/>
        <v>3</v>
      </c>
      <c r="I281" s="115">
        <v>41542</v>
      </c>
      <c r="J281" s="109">
        <f t="shared" si="37"/>
        <v>3</v>
      </c>
      <c r="K281" s="108">
        <f t="shared" si="35"/>
        <v>41906</v>
      </c>
      <c r="L281" s="109">
        <f t="shared" si="36"/>
        <v>3</v>
      </c>
      <c r="M281" s="110">
        <v>90032.285984952701</v>
      </c>
      <c r="N281" s="110">
        <v>87657.869625699488</v>
      </c>
      <c r="O281" s="110">
        <v>107214.68230347721</v>
      </c>
      <c r="P281" s="110">
        <v>109299.4060103201</v>
      </c>
      <c r="Q281" s="110">
        <v>95035.378772117125</v>
      </c>
      <c r="R281" s="116"/>
      <c r="S281" s="112">
        <v>109.92130555555556</v>
      </c>
      <c r="T281" s="112">
        <v>483.84249999999997</v>
      </c>
      <c r="U281" s="112">
        <v>283.42905555555546</v>
      </c>
      <c r="V281" s="112">
        <v>278.14086111111112</v>
      </c>
      <c r="W281" s="112">
        <v>201.9591111111111</v>
      </c>
      <c r="X281" s="112"/>
    </row>
    <row r="282" spans="1:24" x14ac:dyDescent="0.35">
      <c r="A282" s="108">
        <v>40087</v>
      </c>
      <c r="B282" s="109">
        <f t="shared" si="31"/>
        <v>4</v>
      </c>
      <c r="C282" s="108">
        <v>40451</v>
      </c>
      <c r="D282" s="109">
        <f t="shared" si="32"/>
        <v>4</v>
      </c>
      <c r="E282" s="115">
        <v>40815</v>
      </c>
      <c r="F282" s="109">
        <f t="shared" si="33"/>
        <v>4</v>
      </c>
      <c r="G282" s="115">
        <v>41179</v>
      </c>
      <c r="H282" s="109">
        <f t="shared" si="34"/>
        <v>4</v>
      </c>
      <c r="I282" s="115">
        <v>41543</v>
      </c>
      <c r="J282" s="109">
        <f t="shared" si="37"/>
        <v>4</v>
      </c>
      <c r="K282" s="108">
        <f t="shared" si="35"/>
        <v>41907</v>
      </c>
      <c r="L282" s="109">
        <f t="shared" si="36"/>
        <v>4</v>
      </c>
      <c r="M282" s="110">
        <v>90125.955651619355</v>
      </c>
      <c r="N282" s="110">
        <v>88261.666164588387</v>
      </c>
      <c r="O282" s="110">
        <v>107486.74133125508</v>
      </c>
      <c r="P282" s="110">
        <v>109577.54687143129</v>
      </c>
      <c r="Q282" s="110">
        <v>95161.51007767269</v>
      </c>
      <c r="R282" s="116"/>
      <c r="S282" s="112">
        <v>93.669666666666657</v>
      </c>
      <c r="T282" s="112">
        <v>498.33022222222223</v>
      </c>
      <c r="U282" s="112">
        <v>259.91611111111121</v>
      </c>
      <c r="V282" s="112">
        <v>273.3705555555556</v>
      </c>
      <c r="W282" s="112">
        <v>126.1313055555555</v>
      </c>
      <c r="X282" s="112"/>
    </row>
    <row r="283" spans="1:24" x14ac:dyDescent="0.35">
      <c r="A283" s="108">
        <v>40088</v>
      </c>
      <c r="B283" s="109">
        <f t="shared" si="31"/>
        <v>5</v>
      </c>
      <c r="C283" s="108">
        <v>40452</v>
      </c>
      <c r="D283" s="109">
        <f t="shared" si="32"/>
        <v>5</v>
      </c>
      <c r="E283" s="115">
        <v>40816</v>
      </c>
      <c r="F283" s="109">
        <f t="shared" si="33"/>
        <v>5</v>
      </c>
      <c r="G283" s="115">
        <v>41180</v>
      </c>
      <c r="H283" s="109">
        <f t="shared" si="34"/>
        <v>5</v>
      </c>
      <c r="I283" s="115">
        <v>41544</v>
      </c>
      <c r="J283" s="109">
        <f t="shared" si="37"/>
        <v>5</v>
      </c>
      <c r="K283" s="108">
        <f t="shared" si="35"/>
        <v>41908</v>
      </c>
      <c r="L283" s="109">
        <f t="shared" si="36"/>
        <v>5</v>
      </c>
      <c r="M283" s="110">
        <v>90276.160623841599</v>
      </c>
      <c r="N283" s="110">
        <v>88839.668742366135</v>
      </c>
      <c r="O283" s="110">
        <v>108052.70724792173</v>
      </c>
      <c r="P283" s="110">
        <v>109850.91742698681</v>
      </c>
      <c r="Q283" s="110">
        <v>95377.229772117134</v>
      </c>
      <c r="R283" s="116"/>
      <c r="S283" s="112">
        <v>150.20497222222224</v>
      </c>
      <c r="T283" s="112">
        <v>591.51374999999996</v>
      </c>
      <c r="U283" s="112">
        <v>272.05902777777777</v>
      </c>
      <c r="V283" s="112">
        <v>278.27911111111121</v>
      </c>
      <c r="W283" s="112">
        <v>215.71969444444443</v>
      </c>
      <c r="X283" s="112"/>
    </row>
    <row r="284" spans="1:24" x14ac:dyDescent="0.35">
      <c r="A284" s="108">
        <v>40089</v>
      </c>
      <c r="B284" s="109">
        <f t="shared" si="31"/>
        <v>6</v>
      </c>
      <c r="C284" s="108">
        <v>40453</v>
      </c>
      <c r="D284" s="109">
        <f t="shared" si="32"/>
        <v>6</v>
      </c>
      <c r="E284" s="115">
        <v>40817</v>
      </c>
      <c r="F284" s="109">
        <f t="shared" si="33"/>
        <v>6</v>
      </c>
      <c r="G284" s="115">
        <v>41181</v>
      </c>
      <c r="H284" s="109">
        <f t="shared" si="34"/>
        <v>6</v>
      </c>
      <c r="I284" s="115">
        <v>41545</v>
      </c>
      <c r="J284" s="109">
        <f t="shared" si="37"/>
        <v>6</v>
      </c>
      <c r="K284" s="108">
        <f t="shared" si="35"/>
        <v>41909</v>
      </c>
      <c r="L284" s="109">
        <f t="shared" si="36"/>
        <v>6</v>
      </c>
      <c r="M284" s="110">
        <v>90680.744873841613</v>
      </c>
      <c r="N284" s="110">
        <v>89518.605306255049</v>
      </c>
      <c r="O284" s="110">
        <v>108317.02122014393</v>
      </c>
      <c r="P284" s="110">
        <v>110129.19653809788</v>
      </c>
      <c r="Q284" s="110">
        <v>95800.487327672658</v>
      </c>
      <c r="R284" s="116"/>
      <c r="S284" s="112">
        <v>404.58425</v>
      </c>
      <c r="T284" s="112">
        <v>692.84780555555562</v>
      </c>
      <c r="U284" s="112">
        <v>270.64836111111117</v>
      </c>
      <c r="V284" s="112">
        <v>274.14086111111106</v>
      </c>
      <c r="W284" s="112">
        <v>423.25755555555554</v>
      </c>
      <c r="X284" s="112"/>
    </row>
    <row r="285" spans="1:24" x14ac:dyDescent="0.35">
      <c r="A285" s="108">
        <v>40090</v>
      </c>
      <c r="B285" s="109">
        <f t="shared" si="31"/>
        <v>7</v>
      </c>
      <c r="C285" s="108">
        <v>40454</v>
      </c>
      <c r="D285" s="109">
        <f t="shared" si="32"/>
        <v>7</v>
      </c>
      <c r="E285" s="115">
        <v>40818</v>
      </c>
      <c r="F285" s="109">
        <f t="shared" si="33"/>
        <v>7</v>
      </c>
      <c r="G285" s="115">
        <v>41182</v>
      </c>
      <c r="H285" s="109">
        <f t="shared" si="34"/>
        <v>7</v>
      </c>
      <c r="I285" s="115">
        <v>41546</v>
      </c>
      <c r="J285" s="109">
        <f t="shared" si="37"/>
        <v>7</v>
      </c>
      <c r="K285" s="108">
        <f t="shared" si="35"/>
        <v>41910</v>
      </c>
      <c r="L285" s="109">
        <f t="shared" si="36"/>
        <v>7</v>
      </c>
      <c r="M285" s="110">
        <v>91002.281762730534</v>
      </c>
      <c r="N285" s="110">
        <v>90167.961053477251</v>
      </c>
      <c r="O285" s="110">
        <v>108579.64213681058</v>
      </c>
      <c r="P285" s="110">
        <v>110403.71878809792</v>
      </c>
      <c r="Q285" s="110">
        <v>96267.961411006007</v>
      </c>
      <c r="R285" s="116"/>
      <c r="S285" s="112">
        <v>321.53688888888888</v>
      </c>
      <c r="T285" s="112">
        <v>663.10983333333331</v>
      </c>
      <c r="U285" s="112">
        <v>264.31397222222211</v>
      </c>
      <c r="V285" s="112">
        <v>272.9179444444444</v>
      </c>
      <c r="W285" s="112">
        <v>467.47408333333317</v>
      </c>
      <c r="X285" s="112"/>
    </row>
    <row r="286" spans="1:24" x14ac:dyDescent="0.35">
      <c r="A286" s="108">
        <v>40091</v>
      </c>
      <c r="B286" s="109">
        <f t="shared" si="31"/>
        <v>1</v>
      </c>
      <c r="C286" s="108">
        <v>40455</v>
      </c>
      <c r="D286" s="109">
        <f t="shared" si="32"/>
        <v>1</v>
      </c>
      <c r="E286" s="115">
        <v>40819</v>
      </c>
      <c r="F286" s="109">
        <f t="shared" si="33"/>
        <v>1</v>
      </c>
      <c r="G286" s="115">
        <v>41183</v>
      </c>
      <c r="H286" s="109">
        <f t="shared" si="34"/>
        <v>1</v>
      </c>
      <c r="I286" s="115">
        <v>41547</v>
      </c>
      <c r="J286" s="109">
        <f t="shared" si="37"/>
        <v>1</v>
      </c>
      <c r="K286" s="108">
        <f t="shared" si="35"/>
        <v>41911</v>
      </c>
      <c r="L286" s="109">
        <f t="shared" si="36"/>
        <v>1</v>
      </c>
      <c r="M286" s="110">
        <v>91157.986707174947</v>
      </c>
      <c r="N286" s="110">
        <v>90727.745528477288</v>
      </c>
      <c r="O286" s="110">
        <v>108826.9173590328</v>
      </c>
      <c r="P286" s="110">
        <v>110676.25614337566</v>
      </c>
      <c r="Q286" s="110">
        <v>96427.641105450472</v>
      </c>
      <c r="R286" s="116"/>
      <c r="S286" s="112">
        <v>155.70494444444446</v>
      </c>
      <c r="T286" s="112">
        <v>572.38041666666663</v>
      </c>
      <c r="U286" s="112">
        <v>262.62091666666669</v>
      </c>
      <c r="V286" s="112">
        <v>281.28591666666671</v>
      </c>
      <c r="W286" s="112">
        <v>159.67969444444441</v>
      </c>
      <c r="X286" s="112"/>
    </row>
    <row r="287" spans="1:24" x14ac:dyDescent="0.35">
      <c r="A287" s="108">
        <v>40092</v>
      </c>
      <c r="B287" s="109">
        <f t="shared" si="31"/>
        <v>2</v>
      </c>
      <c r="C287" s="108">
        <v>40456</v>
      </c>
      <c r="D287" s="109">
        <f t="shared" si="32"/>
        <v>2</v>
      </c>
      <c r="E287" s="115">
        <v>40820</v>
      </c>
      <c r="F287" s="109">
        <f t="shared" si="33"/>
        <v>2</v>
      </c>
      <c r="G287" s="115">
        <v>41184</v>
      </c>
      <c r="H287" s="109">
        <f t="shared" si="34"/>
        <v>2</v>
      </c>
      <c r="I287" s="115">
        <v>41548</v>
      </c>
      <c r="J287" s="109">
        <f t="shared" si="37"/>
        <v>2</v>
      </c>
      <c r="K287" s="108">
        <f t="shared" si="35"/>
        <v>41912</v>
      </c>
      <c r="L287" s="109">
        <f t="shared" si="36"/>
        <v>2</v>
      </c>
      <c r="M287" s="110">
        <v>91393.22706828604</v>
      </c>
      <c r="N287" s="110">
        <v>91228.84081736613</v>
      </c>
      <c r="O287" s="110">
        <v>109043.20247014394</v>
      </c>
      <c r="P287" s="110">
        <v>110957.54206004238</v>
      </c>
      <c r="Q287" s="110">
        <v>96581.006383228232</v>
      </c>
      <c r="R287" s="116"/>
      <c r="S287" s="112">
        <v>235.24036111111113</v>
      </c>
      <c r="T287" s="112">
        <v>514.78174999999999</v>
      </c>
      <c r="U287" s="112">
        <v>247.2752222222222</v>
      </c>
      <c r="V287" s="112">
        <v>327.85708333333338</v>
      </c>
      <c r="W287" s="112">
        <v>153.36527777777778</v>
      </c>
      <c r="X287" s="112"/>
    </row>
    <row r="288" spans="1:24" x14ac:dyDescent="0.35">
      <c r="A288" s="108">
        <v>40093</v>
      </c>
      <c r="B288" s="109">
        <f t="shared" si="31"/>
        <v>3</v>
      </c>
      <c r="C288" s="108">
        <v>40457</v>
      </c>
      <c r="D288" s="109">
        <f t="shared" si="32"/>
        <v>3</v>
      </c>
      <c r="E288" s="115">
        <v>40821</v>
      </c>
      <c r="F288" s="109">
        <f t="shared" si="33"/>
        <v>3</v>
      </c>
      <c r="G288" s="115">
        <v>41185</v>
      </c>
      <c r="H288" s="109">
        <f t="shared" si="34"/>
        <v>3</v>
      </c>
      <c r="I288" s="115">
        <v>41549</v>
      </c>
      <c r="J288" s="109">
        <f t="shared" si="37"/>
        <v>3</v>
      </c>
      <c r="K288" s="108">
        <f t="shared" si="35"/>
        <v>41913</v>
      </c>
      <c r="L288" s="109">
        <f t="shared" si="36"/>
        <v>3</v>
      </c>
      <c r="M288" s="110">
        <v>91536.605151619384</v>
      </c>
      <c r="N288" s="110">
        <v>91769.817575699504</v>
      </c>
      <c r="O288" s="110">
        <v>109202.28616458829</v>
      </c>
      <c r="P288" s="110">
        <v>111285.39914337567</v>
      </c>
      <c r="Q288" s="110">
        <v>96739.481216561515</v>
      </c>
      <c r="R288" s="116"/>
      <c r="S288" s="112">
        <v>143.37808333333334</v>
      </c>
      <c r="T288" s="112">
        <v>553.9</v>
      </c>
      <c r="U288" s="112">
        <v>216.28511111111115</v>
      </c>
      <c r="V288" s="112">
        <v>240.08741666666674</v>
      </c>
      <c r="W288" s="112">
        <v>158.47483333333335</v>
      </c>
      <c r="X288" s="112"/>
    </row>
    <row r="289" spans="1:24" x14ac:dyDescent="0.35">
      <c r="A289" s="108">
        <v>40094</v>
      </c>
      <c r="B289" s="109">
        <f t="shared" si="31"/>
        <v>4</v>
      </c>
      <c r="C289" s="108">
        <v>40458</v>
      </c>
      <c r="D289" s="109">
        <f t="shared" si="32"/>
        <v>4</v>
      </c>
      <c r="E289" s="115">
        <v>40822</v>
      </c>
      <c r="F289" s="109">
        <f t="shared" si="33"/>
        <v>4</v>
      </c>
      <c r="G289" s="115">
        <v>41186</v>
      </c>
      <c r="H289" s="109">
        <f t="shared" si="34"/>
        <v>4</v>
      </c>
      <c r="I289" s="115">
        <v>41550</v>
      </c>
      <c r="J289" s="109">
        <f t="shared" si="37"/>
        <v>4</v>
      </c>
      <c r="K289" s="108">
        <f t="shared" si="35"/>
        <v>41914</v>
      </c>
      <c r="L289" s="109">
        <f t="shared" si="36"/>
        <v>4</v>
      </c>
      <c r="M289" s="110">
        <v>91672.315818286035</v>
      </c>
      <c r="N289" s="110">
        <v>92249.000172921704</v>
      </c>
      <c r="O289" s="110">
        <v>109318.2247201439</v>
      </c>
      <c r="P289" s="110">
        <v>111525.48656004234</v>
      </c>
      <c r="Q289" s="110">
        <v>96908.225716561574</v>
      </c>
      <c r="R289" s="116"/>
      <c r="S289" s="112">
        <v>135.71066666666667</v>
      </c>
      <c r="T289" s="112">
        <v>492.60502777777782</v>
      </c>
      <c r="U289" s="112">
        <v>159.08369444444446</v>
      </c>
      <c r="V289" s="112">
        <v>260.09202777777773</v>
      </c>
      <c r="W289" s="112">
        <v>168.74450000000007</v>
      </c>
      <c r="X289" s="112"/>
    </row>
    <row r="290" spans="1:24" x14ac:dyDescent="0.35">
      <c r="A290" s="108">
        <v>40095</v>
      </c>
      <c r="B290" s="109">
        <f t="shared" si="31"/>
        <v>5</v>
      </c>
      <c r="C290" s="108">
        <v>40459</v>
      </c>
      <c r="D290" s="109">
        <f t="shared" si="32"/>
        <v>5</v>
      </c>
      <c r="E290" s="115">
        <v>40823</v>
      </c>
      <c r="F290" s="109">
        <f t="shared" si="33"/>
        <v>5</v>
      </c>
      <c r="G290" s="115">
        <v>41187</v>
      </c>
      <c r="H290" s="109">
        <f t="shared" si="34"/>
        <v>5</v>
      </c>
      <c r="I290" s="115">
        <v>41551</v>
      </c>
      <c r="J290" s="109">
        <f t="shared" si="37"/>
        <v>5</v>
      </c>
      <c r="K290" s="108">
        <f t="shared" si="35"/>
        <v>41915</v>
      </c>
      <c r="L290" s="109">
        <f t="shared" si="36"/>
        <v>5</v>
      </c>
      <c r="M290" s="110">
        <v>91910.987068285991</v>
      </c>
      <c r="N290" s="110">
        <v>92673.143020143936</v>
      </c>
      <c r="O290" s="110">
        <v>109564.0446090328</v>
      </c>
      <c r="P290" s="110">
        <v>111785.5785878201</v>
      </c>
      <c r="Q290" s="110">
        <v>96988.702688783786</v>
      </c>
      <c r="R290" s="116"/>
      <c r="S290" s="112">
        <v>238.78252777777777</v>
      </c>
      <c r="T290" s="112">
        <v>437.66236111111112</v>
      </c>
      <c r="U290" s="112">
        <v>115.93855555555554</v>
      </c>
      <c r="V290" s="112">
        <v>249.11555555555552</v>
      </c>
      <c r="W290" s="112">
        <v>80.476972222222201</v>
      </c>
      <c r="X290" s="112"/>
    </row>
    <row r="291" spans="1:24" x14ac:dyDescent="0.35">
      <c r="A291" s="108">
        <v>40096</v>
      </c>
      <c r="B291" s="109">
        <f t="shared" si="31"/>
        <v>6</v>
      </c>
      <c r="C291" s="108">
        <v>40460</v>
      </c>
      <c r="D291" s="109">
        <f t="shared" si="32"/>
        <v>6</v>
      </c>
      <c r="E291" s="115">
        <v>40824</v>
      </c>
      <c r="F291" s="109">
        <f t="shared" si="33"/>
        <v>6</v>
      </c>
      <c r="G291" s="115">
        <v>41188</v>
      </c>
      <c r="H291" s="109">
        <f t="shared" si="34"/>
        <v>6</v>
      </c>
      <c r="I291" s="115">
        <v>41552</v>
      </c>
      <c r="J291" s="109">
        <f t="shared" si="37"/>
        <v>6</v>
      </c>
      <c r="K291" s="108">
        <f t="shared" si="35"/>
        <v>41916</v>
      </c>
      <c r="L291" s="109">
        <f t="shared" si="36"/>
        <v>6</v>
      </c>
      <c r="M291" s="110">
        <v>92334.603873841581</v>
      </c>
      <c r="N291" s="110">
        <v>93187.369464588381</v>
      </c>
      <c r="O291" s="110">
        <v>109807.79377569948</v>
      </c>
      <c r="P291" s="110">
        <v>112034.69414337566</v>
      </c>
      <c r="Q291" s="110">
        <v>97208.802244339342</v>
      </c>
      <c r="R291" s="116"/>
      <c r="S291" s="112">
        <v>423.61680555555557</v>
      </c>
      <c r="T291" s="112">
        <v>527.67661111111113</v>
      </c>
      <c r="U291" s="112">
        <v>245.81988888888887</v>
      </c>
      <c r="V291" s="112">
        <v>248.56152777777777</v>
      </c>
      <c r="W291" s="112">
        <v>220.09955555555555</v>
      </c>
      <c r="X291" s="112"/>
    </row>
    <row r="292" spans="1:24" x14ac:dyDescent="0.35">
      <c r="A292" s="108">
        <v>40097</v>
      </c>
      <c r="B292" s="109">
        <f t="shared" ref="B292:B355" si="38">WEEKDAY(A292,2)</f>
        <v>7</v>
      </c>
      <c r="C292" s="108">
        <v>40461</v>
      </c>
      <c r="D292" s="109">
        <f t="shared" si="32"/>
        <v>7</v>
      </c>
      <c r="E292" s="115">
        <v>40825</v>
      </c>
      <c r="F292" s="109">
        <f t="shared" si="33"/>
        <v>7</v>
      </c>
      <c r="G292" s="115">
        <v>41189</v>
      </c>
      <c r="H292" s="109">
        <f t="shared" si="34"/>
        <v>7</v>
      </c>
      <c r="I292" s="115">
        <v>41553</v>
      </c>
      <c r="J292" s="109">
        <f t="shared" si="37"/>
        <v>7</v>
      </c>
      <c r="K292" s="108">
        <f t="shared" si="35"/>
        <v>41917</v>
      </c>
      <c r="L292" s="109">
        <f t="shared" si="36"/>
        <v>7</v>
      </c>
      <c r="M292" s="110">
        <v>92751.168429397163</v>
      </c>
      <c r="N292" s="110">
        <v>93706.678639588368</v>
      </c>
      <c r="O292" s="110">
        <v>110051.89294236619</v>
      </c>
      <c r="P292" s="110">
        <v>112283.25567115347</v>
      </c>
      <c r="Q292" s="110">
        <v>97601.242216561572</v>
      </c>
      <c r="R292" s="116"/>
      <c r="S292" s="112">
        <v>416.56455555555556</v>
      </c>
      <c r="T292" s="112">
        <v>532.74338888888883</v>
      </c>
      <c r="U292" s="112">
        <v>243.7491666666665</v>
      </c>
      <c r="V292" s="112">
        <v>249.25380555555554</v>
      </c>
      <c r="W292" s="112">
        <v>392.43997222222231</v>
      </c>
      <c r="X292" s="112"/>
    </row>
    <row r="293" spans="1:24" x14ac:dyDescent="0.35">
      <c r="A293" s="108">
        <v>40098</v>
      </c>
      <c r="B293" s="109">
        <f t="shared" si="38"/>
        <v>1</v>
      </c>
      <c r="C293" s="108">
        <v>40462</v>
      </c>
      <c r="D293" s="109">
        <f t="shared" ref="D293:D356" si="39">WEEKDAY(C293,2)</f>
        <v>1</v>
      </c>
      <c r="E293" s="115">
        <v>40826</v>
      </c>
      <c r="F293" s="109">
        <f t="shared" si="33"/>
        <v>1</v>
      </c>
      <c r="G293" s="115">
        <v>41190</v>
      </c>
      <c r="H293" s="109">
        <f t="shared" si="34"/>
        <v>1</v>
      </c>
      <c r="I293" s="115">
        <v>41554</v>
      </c>
      <c r="J293" s="109">
        <f t="shared" si="37"/>
        <v>1</v>
      </c>
      <c r="K293" s="108">
        <f t="shared" si="35"/>
        <v>41918</v>
      </c>
      <c r="L293" s="109">
        <f t="shared" si="36"/>
        <v>1</v>
      </c>
      <c r="M293" s="110">
        <v>92950.62990161941</v>
      </c>
      <c r="N293" s="110">
        <v>94007.763000699473</v>
      </c>
      <c r="O293" s="110">
        <v>110242.07672014389</v>
      </c>
      <c r="P293" s="110">
        <v>112532.509476709</v>
      </c>
      <c r="Q293" s="110">
        <v>97845.356716561568</v>
      </c>
      <c r="R293" s="116"/>
      <c r="S293" s="112">
        <v>199.50041666666667</v>
      </c>
      <c r="T293" s="112">
        <v>314.48263888888891</v>
      </c>
      <c r="U293" s="112">
        <v>244.09916666666666</v>
      </c>
      <c r="V293" s="112">
        <v>264.04374999999999</v>
      </c>
      <c r="W293" s="112">
        <v>244.11449999999996</v>
      </c>
      <c r="X293" s="112"/>
    </row>
    <row r="294" spans="1:24" x14ac:dyDescent="0.35">
      <c r="A294" s="108">
        <v>40099</v>
      </c>
      <c r="B294" s="109">
        <f t="shared" si="38"/>
        <v>2</v>
      </c>
      <c r="C294" s="108">
        <v>40463</v>
      </c>
      <c r="D294" s="109">
        <f t="shared" si="39"/>
        <v>2</v>
      </c>
      <c r="E294" s="115">
        <v>40827</v>
      </c>
      <c r="F294" s="109">
        <f t="shared" ref="F294:F357" si="40">WEEKDAY(E294,2)</f>
        <v>2</v>
      </c>
      <c r="G294" s="115">
        <v>41191</v>
      </c>
      <c r="H294" s="109">
        <f t="shared" si="34"/>
        <v>2</v>
      </c>
      <c r="I294" s="115">
        <v>41555</v>
      </c>
      <c r="J294" s="109">
        <f t="shared" si="37"/>
        <v>2</v>
      </c>
      <c r="K294" s="108">
        <f t="shared" si="35"/>
        <v>41919</v>
      </c>
      <c r="L294" s="109">
        <f t="shared" si="36"/>
        <v>2</v>
      </c>
      <c r="M294" s="110">
        <v>93201.631957174934</v>
      </c>
      <c r="N294" s="110">
        <v>94283.775125699511</v>
      </c>
      <c r="O294" s="110">
        <v>110432.95433125498</v>
      </c>
      <c r="P294" s="110">
        <v>112796.55322670899</v>
      </c>
      <c r="Q294" s="110">
        <v>98022.738605450475</v>
      </c>
      <c r="R294" s="116"/>
      <c r="S294" s="112">
        <v>251.00205555555556</v>
      </c>
      <c r="T294" s="112">
        <v>289.47536111111111</v>
      </c>
      <c r="U294" s="112">
        <v>190.18377777777778</v>
      </c>
      <c r="V294" s="112">
        <v>175.45691666666667</v>
      </c>
      <c r="W294" s="112">
        <v>177.38188888888894</v>
      </c>
      <c r="X294" s="112"/>
    </row>
    <row r="295" spans="1:24" x14ac:dyDescent="0.35">
      <c r="A295" s="108">
        <v>40100</v>
      </c>
      <c r="B295" s="109">
        <f t="shared" si="38"/>
        <v>3</v>
      </c>
      <c r="C295" s="108">
        <v>40464</v>
      </c>
      <c r="D295" s="109">
        <f t="shared" si="39"/>
        <v>3</v>
      </c>
      <c r="E295" s="115">
        <v>40828</v>
      </c>
      <c r="F295" s="109">
        <f t="shared" si="40"/>
        <v>3</v>
      </c>
      <c r="G295" s="115">
        <v>41192</v>
      </c>
      <c r="H295" s="109">
        <f t="shared" si="34"/>
        <v>3</v>
      </c>
      <c r="I295" s="115">
        <v>41556</v>
      </c>
      <c r="J295" s="109">
        <f t="shared" si="37"/>
        <v>3</v>
      </c>
      <c r="K295" s="108">
        <f t="shared" si="35"/>
        <v>41920</v>
      </c>
      <c r="L295" s="109">
        <f t="shared" si="36"/>
        <v>3</v>
      </c>
      <c r="M295" s="110">
        <v>93355.947707174972</v>
      </c>
      <c r="N295" s="110">
        <v>94426.569320143928</v>
      </c>
      <c r="O295" s="110">
        <v>110632.62369236612</v>
      </c>
      <c r="P295" s="110">
        <v>112972.00544893122</v>
      </c>
      <c r="Q295" s="110">
        <v>98277.335605450411</v>
      </c>
      <c r="R295" s="116"/>
      <c r="S295" s="112">
        <v>154.49572222222221</v>
      </c>
      <c r="T295" s="112">
        <v>152.97897222222224</v>
      </c>
      <c r="U295" s="112">
        <v>190.87761111111109</v>
      </c>
      <c r="V295" s="112">
        <v>214.11155555555567</v>
      </c>
      <c r="W295" s="112">
        <v>254.59700000000012</v>
      </c>
      <c r="X295" s="112"/>
    </row>
    <row r="296" spans="1:24" x14ac:dyDescent="0.35">
      <c r="A296" s="108">
        <v>40101</v>
      </c>
      <c r="B296" s="109">
        <f t="shared" si="38"/>
        <v>4</v>
      </c>
      <c r="C296" s="108">
        <v>40465</v>
      </c>
      <c r="D296" s="109">
        <f t="shared" si="39"/>
        <v>4</v>
      </c>
      <c r="E296" s="115">
        <v>40829</v>
      </c>
      <c r="F296" s="109">
        <f t="shared" si="40"/>
        <v>4</v>
      </c>
      <c r="G296" s="115">
        <v>41193</v>
      </c>
      <c r="H296" s="109">
        <f t="shared" ref="H296:H359" si="41">WEEKDAY(G296,2)</f>
        <v>4</v>
      </c>
      <c r="I296" s="115">
        <v>41557</v>
      </c>
      <c r="J296" s="109">
        <f t="shared" si="37"/>
        <v>4</v>
      </c>
      <c r="K296" s="108">
        <f t="shared" si="35"/>
        <v>41921</v>
      </c>
      <c r="L296" s="109">
        <f t="shared" si="36"/>
        <v>4</v>
      </c>
      <c r="M296" s="110">
        <v>93258.208540508305</v>
      </c>
      <c r="N296" s="110">
        <v>94656.063303477291</v>
      </c>
      <c r="O296" s="110">
        <v>110829.32255347719</v>
      </c>
      <c r="P296" s="110">
        <v>113186.11700448679</v>
      </c>
      <c r="Q296" s="110">
        <v>98639.146272117097</v>
      </c>
      <c r="R296" s="116"/>
      <c r="S296" s="112">
        <v>-97.739166666666662</v>
      </c>
      <c r="T296" s="112">
        <v>242.96788888888889</v>
      </c>
      <c r="U296" s="112">
        <v>199.66936111111104</v>
      </c>
      <c r="V296" s="112">
        <v>277.15047222222222</v>
      </c>
      <c r="W296" s="112">
        <v>361.81066666666652</v>
      </c>
      <c r="X296" s="112"/>
    </row>
    <row r="297" spans="1:24" x14ac:dyDescent="0.35">
      <c r="A297" s="108">
        <v>40102</v>
      </c>
      <c r="B297" s="109">
        <f t="shared" si="38"/>
        <v>5</v>
      </c>
      <c r="C297" s="108">
        <v>40466</v>
      </c>
      <c r="D297" s="109">
        <f t="shared" si="39"/>
        <v>5</v>
      </c>
      <c r="E297" s="115">
        <v>40830</v>
      </c>
      <c r="F297" s="109">
        <f t="shared" si="40"/>
        <v>5</v>
      </c>
      <c r="G297" s="115">
        <v>41194</v>
      </c>
      <c r="H297" s="109">
        <f t="shared" si="41"/>
        <v>5</v>
      </c>
      <c r="I297" s="115">
        <v>41558</v>
      </c>
      <c r="J297" s="109">
        <f t="shared" si="37"/>
        <v>5</v>
      </c>
      <c r="K297" s="108">
        <f t="shared" si="35"/>
        <v>41922</v>
      </c>
      <c r="L297" s="109">
        <f t="shared" si="36"/>
        <v>5</v>
      </c>
      <c r="M297" s="110">
        <v>93012.490234952682</v>
      </c>
      <c r="N297" s="110">
        <v>94910.980470143928</v>
      </c>
      <c r="O297" s="110">
        <v>111052.83919236614</v>
      </c>
      <c r="P297" s="110">
        <v>113463.17694893123</v>
      </c>
      <c r="Q297" s="110">
        <v>99009.041577672644</v>
      </c>
      <c r="R297" s="116"/>
      <c r="S297" s="112">
        <v>-245.71830555555556</v>
      </c>
      <c r="T297" s="112">
        <v>266.97261111111112</v>
      </c>
      <c r="U297" s="112">
        <v>196.69886111111114</v>
      </c>
      <c r="V297" s="112">
        <v>220.22516666666672</v>
      </c>
      <c r="W297" s="112">
        <v>369.89530555555558</v>
      </c>
      <c r="X297" s="112"/>
    </row>
    <row r="298" spans="1:24" x14ac:dyDescent="0.35">
      <c r="A298" s="108">
        <v>40103</v>
      </c>
      <c r="B298" s="109">
        <f t="shared" si="38"/>
        <v>6</v>
      </c>
      <c r="C298" s="108">
        <v>40467</v>
      </c>
      <c r="D298" s="109">
        <f t="shared" si="39"/>
        <v>6</v>
      </c>
      <c r="E298" s="115">
        <v>40831</v>
      </c>
      <c r="F298" s="109">
        <f t="shared" si="40"/>
        <v>6</v>
      </c>
      <c r="G298" s="115">
        <v>41195</v>
      </c>
      <c r="H298" s="109">
        <f t="shared" si="41"/>
        <v>6</v>
      </c>
      <c r="I298" s="115">
        <v>41559</v>
      </c>
      <c r="J298" s="109">
        <f t="shared" si="37"/>
        <v>6</v>
      </c>
      <c r="K298" s="108">
        <f t="shared" ref="K298:K361" si="42">K297+1</f>
        <v>41923</v>
      </c>
      <c r="L298" s="109">
        <f t="shared" si="36"/>
        <v>6</v>
      </c>
      <c r="M298" s="110">
        <v>92895.922596063829</v>
      </c>
      <c r="N298" s="110">
        <v>95246.231942366139</v>
      </c>
      <c r="O298" s="110">
        <v>111252.50052569949</v>
      </c>
      <c r="P298" s="110">
        <v>113683.40211559791</v>
      </c>
      <c r="Q298" s="110">
        <v>99448.217383228228</v>
      </c>
      <c r="R298" s="116"/>
      <c r="S298" s="112">
        <v>-116.56763888888889</v>
      </c>
      <c r="T298" s="112">
        <v>345.27691666666664</v>
      </c>
      <c r="U298" s="112">
        <v>223.51663888888885</v>
      </c>
      <c r="V298" s="112">
        <v>166.72277777777785</v>
      </c>
      <c r="W298" s="112">
        <v>439.1758055555556</v>
      </c>
      <c r="X298" s="112"/>
    </row>
    <row r="299" spans="1:24" x14ac:dyDescent="0.35">
      <c r="A299" s="108">
        <v>40104</v>
      </c>
      <c r="B299" s="109">
        <f t="shared" si="38"/>
        <v>7</v>
      </c>
      <c r="C299" s="108">
        <v>40468</v>
      </c>
      <c r="D299" s="109">
        <f t="shared" si="39"/>
        <v>7</v>
      </c>
      <c r="E299" s="115">
        <v>40832</v>
      </c>
      <c r="F299" s="109">
        <f t="shared" si="40"/>
        <v>7</v>
      </c>
      <c r="G299" s="115">
        <v>41196</v>
      </c>
      <c r="H299" s="109">
        <f t="shared" si="41"/>
        <v>7</v>
      </c>
      <c r="I299" s="115">
        <v>41560</v>
      </c>
      <c r="J299" s="109">
        <f t="shared" si="37"/>
        <v>7</v>
      </c>
      <c r="K299" s="108">
        <f t="shared" si="42"/>
        <v>41924</v>
      </c>
      <c r="L299" s="109">
        <f t="shared" si="36"/>
        <v>7</v>
      </c>
      <c r="M299" s="110">
        <v>92685.044207174913</v>
      </c>
      <c r="N299" s="110">
        <v>95432.856300699481</v>
      </c>
      <c r="O299" s="110">
        <v>111463.32838681061</v>
      </c>
      <c r="P299" s="110">
        <v>113850.12489337569</v>
      </c>
      <c r="Q299" s="110">
        <v>99896.162883228244</v>
      </c>
      <c r="R299" s="116"/>
      <c r="S299" s="112">
        <v>-210.87838888888888</v>
      </c>
      <c r="T299" s="112">
        <v>198.87205555555556</v>
      </c>
      <c r="U299" s="112">
        <v>199.6613333333332</v>
      </c>
      <c r="V299" s="112">
        <v>149.14436111111112</v>
      </c>
      <c r="W299" s="112">
        <v>447.94550000000004</v>
      </c>
      <c r="X299" s="112"/>
    </row>
    <row r="300" spans="1:24" x14ac:dyDescent="0.35">
      <c r="A300" s="108">
        <v>40105</v>
      </c>
      <c r="B300" s="109">
        <f t="shared" si="38"/>
        <v>1</v>
      </c>
      <c r="C300" s="108">
        <v>40469</v>
      </c>
      <c r="D300" s="109">
        <f t="shared" si="39"/>
        <v>1</v>
      </c>
      <c r="E300" s="115">
        <v>40833</v>
      </c>
      <c r="F300" s="109">
        <f t="shared" si="40"/>
        <v>1</v>
      </c>
      <c r="G300" s="115">
        <v>41197</v>
      </c>
      <c r="H300" s="109">
        <f t="shared" si="41"/>
        <v>1</v>
      </c>
      <c r="I300" s="115">
        <v>41561</v>
      </c>
      <c r="J300" s="109">
        <f t="shared" si="37"/>
        <v>1</v>
      </c>
      <c r="K300" s="108">
        <f t="shared" si="42"/>
        <v>41925</v>
      </c>
      <c r="L300" s="109">
        <f t="shared" si="36"/>
        <v>1</v>
      </c>
      <c r="M300" s="110">
        <v>92107.182596063823</v>
      </c>
      <c r="N300" s="110">
        <v>95467.733334032862</v>
      </c>
      <c r="O300" s="110">
        <v>111494.47177569944</v>
      </c>
      <c r="P300" s="110">
        <v>113999.2692544868</v>
      </c>
      <c r="Q300" s="110">
        <v>100015.3108832282</v>
      </c>
      <c r="R300" s="116"/>
      <c r="S300" s="112">
        <v>-577.86161111111107</v>
      </c>
      <c r="T300" s="112">
        <v>48.65508333333333</v>
      </c>
      <c r="U300" s="112">
        <v>210.8278611111111</v>
      </c>
      <c r="V300" s="112">
        <v>31.154916666666669</v>
      </c>
      <c r="W300" s="112">
        <v>119.14799999999998</v>
      </c>
      <c r="X300" s="112"/>
    </row>
    <row r="301" spans="1:24" x14ac:dyDescent="0.35">
      <c r="A301" s="108">
        <v>40106</v>
      </c>
      <c r="B301" s="109">
        <f t="shared" si="38"/>
        <v>2</v>
      </c>
      <c r="C301" s="108">
        <v>40470</v>
      </c>
      <c r="D301" s="109">
        <f t="shared" si="39"/>
        <v>2</v>
      </c>
      <c r="E301" s="115">
        <v>40834</v>
      </c>
      <c r="F301" s="109">
        <f t="shared" si="40"/>
        <v>2</v>
      </c>
      <c r="G301" s="115">
        <v>41198</v>
      </c>
      <c r="H301" s="109">
        <f t="shared" si="41"/>
        <v>2</v>
      </c>
      <c r="I301" s="115">
        <v>41562</v>
      </c>
      <c r="J301" s="109">
        <f t="shared" si="37"/>
        <v>2</v>
      </c>
      <c r="K301" s="108">
        <f t="shared" si="42"/>
        <v>41926</v>
      </c>
      <c r="L301" s="109">
        <f t="shared" si="36"/>
        <v>2</v>
      </c>
      <c r="M301" s="110">
        <v>91371.157457174937</v>
      </c>
      <c r="N301" s="110">
        <v>95509.101584032818</v>
      </c>
      <c r="O301" s="110">
        <v>111389.10660903278</v>
      </c>
      <c r="P301" s="110">
        <v>114030.42000448679</v>
      </c>
      <c r="Q301" s="110">
        <v>100078.9686332282</v>
      </c>
      <c r="R301" s="116"/>
      <c r="S301" s="112">
        <v>-736.02513888888893</v>
      </c>
      <c r="T301" s="112">
        <v>53.661111111111111</v>
      </c>
      <c r="U301" s="112">
        <v>31.143388888888925</v>
      </c>
      <c r="V301" s="112">
        <v>8.4288055555555701</v>
      </c>
      <c r="W301" s="112">
        <v>63.657749999999993</v>
      </c>
      <c r="X301" s="112"/>
    </row>
    <row r="302" spans="1:24" x14ac:dyDescent="0.35">
      <c r="A302" s="108">
        <v>40107</v>
      </c>
      <c r="B302" s="109">
        <f t="shared" si="38"/>
        <v>3</v>
      </c>
      <c r="C302" s="108">
        <v>40471</v>
      </c>
      <c r="D302" s="109">
        <f t="shared" si="39"/>
        <v>3</v>
      </c>
      <c r="E302" s="115">
        <v>40835</v>
      </c>
      <c r="F302" s="109">
        <f t="shared" si="40"/>
        <v>3</v>
      </c>
      <c r="G302" s="115">
        <v>41199</v>
      </c>
      <c r="H302" s="109">
        <f t="shared" si="41"/>
        <v>3</v>
      </c>
      <c r="I302" s="115">
        <v>41563</v>
      </c>
      <c r="J302" s="109">
        <f t="shared" si="37"/>
        <v>3</v>
      </c>
      <c r="K302" s="108">
        <f t="shared" si="42"/>
        <v>41927</v>
      </c>
      <c r="L302" s="109">
        <f t="shared" si="36"/>
        <v>3</v>
      </c>
      <c r="M302" s="110">
        <v>90927.449457174924</v>
      </c>
      <c r="N302" s="110">
        <v>95550.080528477265</v>
      </c>
      <c r="O302" s="110">
        <v>111289.81399792171</v>
      </c>
      <c r="P302" s="110">
        <v>114038.84119893129</v>
      </c>
      <c r="Q302" s="110">
        <v>100404.3993832282</v>
      </c>
      <c r="R302" s="116"/>
      <c r="S302" s="112">
        <v>-443.70541666666668</v>
      </c>
      <c r="T302" s="112">
        <v>51.012999999999998</v>
      </c>
      <c r="U302" s="112">
        <v>-105.36516666666672</v>
      </c>
      <c r="V302" s="112">
        <v>191.75147222222225</v>
      </c>
      <c r="W302" s="112">
        <v>325.43074999999982</v>
      </c>
      <c r="X302" s="112"/>
    </row>
    <row r="303" spans="1:24" x14ac:dyDescent="0.35">
      <c r="A303" s="108">
        <v>40108</v>
      </c>
      <c r="B303" s="109">
        <f t="shared" si="38"/>
        <v>4</v>
      </c>
      <c r="C303" s="108">
        <v>40472</v>
      </c>
      <c r="D303" s="109">
        <f t="shared" si="39"/>
        <v>4</v>
      </c>
      <c r="E303" s="115">
        <v>40836</v>
      </c>
      <c r="F303" s="109">
        <f t="shared" si="40"/>
        <v>4</v>
      </c>
      <c r="G303" s="115">
        <v>41200</v>
      </c>
      <c r="H303" s="109">
        <f t="shared" si="41"/>
        <v>4</v>
      </c>
      <c r="I303" s="115">
        <v>41564</v>
      </c>
      <c r="J303" s="109">
        <f t="shared" si="37"/>
        <v>4</v>
      </c>
      <c r="K303" s="108">
        <f t="shared" si="42"/>
        <v>41928</v>
      </c>
      <c r="L303" s="109">
        <f t="shared" si="36"/>
        <v>4</v>
      </c>
      <c r="M303" s="110">
        <v>90543.973040508266</v>
      </c>
      <c r="N303" s="110">
        <v>95549.847139588397</v>
      </c>
      <c r="O303" s="110">
        <v>111289.03413681059</v>
      </c>
      <c r="P303" s="110">
        <v>114230.5854211535</v>
      </c>
      <c r="Q303" s="110">
        <v>100710.1640221171</v>
      </c>
      <c r="R303" s="116"/>
      <c r="S303" s="112">
        <v>-383.47641666666669</v>
      </c>
      <c r="T303" s="112">
        <v>9.7797222222222224</v>
      </c>
      <c r="U303" s="112">
        <v>-99.292611111111071</v>
      </c>
      <c r="V303" s="112">
        <v>284.81900000000007</v>
      </c>
      <c r="W303" s="112">
        <v>305.76463888888873</v>
      </c>
      <c r="X303" s="112"/>
    </row>
    <row r="304" spans="1:24" x14ac:dyDescent="0.35">
      <c r="A304" s="108">
        <v>40109</v>
      </c>
      <c r="B304" s="109">
        <f t="shared" si="38"/>
        <v>5</v>
      </c>
      <c r="C304" s="108">
        <v>40473</v>
      </c>
      <c r="D304" s="109">
        <f t="shared" si="39"/>
        <v>5</v>
      </c>
      <c r="E304" s="115">
        <v>40837</v>
      </c>
      <c r="F304" s="109">
        <f t="shared" si="40"/>
        <v>5</v>
      </c>
      <c r="G304" s="115">
        <v>41201</v>
      </c>
      <c r="H304" s="109">
        <f t="shared" si="41"/>
        <v>5</v>
      </c>
      <c r="I304" s="115">
        <v>41565</v>
      </c>
      <c r="J304" s="109">
        <f t="shared" si="37"/>
        <v>5</v>
      </c>
      <c r="K304" s="108">
        <f t="shared" si="42"/>
        <v>41929</v>
      </c>
      <c r="L304" s="109">
        <f t="shared" si="36"/>
        <v>5</v>
      </c>
      <c r="M304" s="110">
        <v>90479.357568286025</v>
      </c>
      <c r="N304" s="110">
        <v>95549.657889588372</v>
      </c>
      <c r="O304" s="110">
        <v>111243.99163681053</v>
      </c>
      <c r="P304" s="110">
        <v>114515.3625600423</v>
      </c>
      <c r="Q304" s="110">
        <v>100950.424411006</v>
      </c>
      <c r="R304" s="116"/>
      <c r="S304" s="112">
        <v>-64.586500000000001</v>
      </c>
      <c r="T304" s="112">
        <v>9.8176111111111108</v>
      </c>
      <c r="U304" s="112">
        <v>-0.77986111111108691</v>
      </c>
      <c r="V304" s="112">
        <v>288.77727777777778</v>
      </c>
      <c r="W304" s="112">
        <v>240.26038888888888</v>
      </c>
      <c r="X304" s="112"/>
    </row>
    <row r="305" spans="1:24" x14ac:dyDescent="0.35">
      <c r="A305" s="108">
        <v>40110</v>
      </c>
      <c r="B305" s="109">
        <f t="shared" si="38"/>
        <v>6</v>
      </c>
      <c r="C305" s="108">
        <v>40474</v>
      </c>
      <c r="D305" s="109">
        <f t="shared" si="39"/>
        <v>6</v>
      </c>
      <c r="E305" s="115">
        <v>40838</v>
      </c>
      <c r="F305" s="109">
        <f t="shared" si="40"/>
        <v>6</v>
      </c>
      <c r="G305" s="115">
        <v>41202</v>
      </c>
      <c r="H305" s="109">
        <f t="shared" si="41"/>
        <v>6</v>
      </c>
      <c r="I305" s="115">
        <v>41566</v>
      </c>
      <c r="J305" s="109">
        <f t="shared" si="37"/>
        <v>6</v>
      </c>
      <c r="K305" s="108">
        <f t="shared" si="42"/>
        <v>41930</v>
      </c>
      <c r="L305" s="109">
        <f t="shared" si="36"/>
        <v>6</v>
      </c>
      <c r="M305" s="110">
        <v>90570.686457174903</v>
      </c>
      <c r="N305" s="110">
        <v>95716.801611810602</v>
      </c>
      <c r="O305" s="110">
        <v>111316.3793590328</v>
      </c>
      <c r="P305" s="110">
        <v>114804.08656004234</v>
      </c>
      <c r="Q305" s="110">
        <v>101349.34718878375</v>
      </c>
      <c r="R305" s="116"/>
      <c r="S305" s="112">
        <v>91.328888888888883</v>
      </c>
      <c r="T305" s="112">
        <v>177.12811111111111</v>
      </c>
      <c r="U305" s="112">
        <v>-45.042499999999997</v>
      </c>
      <c r="V305" s="112">
        <v>225.49830555555553</v>
      </c>
      <c r="W305" s="112">
        <v>398.9227777777777</v>
      </c>
      <c r="X305" s="112"/>
    </row>
    <row r="306" spans="1:24" x14ac:dyDescent="0.35">
      <c r="A306" s="108">
        <v>40111</v>
      </c>
      <c r="B306" s="109">
        <f t="shared" si="38"/>
        <v>7</v>
      </c>
      <c r="C306" s="108">
        <v>40475</v>
      </c>
      <c r="D306" s="109">
        <f t="shared" si="39"/>
        <v>7</v>
      </c>
      <c r="E306" s="115">
        <v>40839</v>
      </c>
      <c r="F306" s="109">
        <f t="shared" si="40"/>
        <v>7</v>
      </c>
      <c r="G306" s="115">
        <v>41203</v>
      </c>
      <c r="H306" s="109">
        <f t="shared" si="41"/>
        <v>7</v>
      </c>
      <c r="I306" s="115">
        <v>41567</v>
      </c>
      <c r="J306" s="109">
        <f t="shared" si="37"/>
        <v>7</v>
      </c>
      <c r="K306" s="108">
        <f t="shared" si="42"/>
        <v>41931</v>
      </c>
      <c r="L306" s="109">
        <f t="shared" si="36"/>
        <v>7</v>
      </c>
      <c r="M306" s="110">
        <v>90812.801401619392</v>
      </c>
      <c r="N306" s="110">
        <v>95852.864806255049</v>
      </c>
      <c r="O306" s="110">
        <v>111364.47941458838</v>
      </c>
      <c r="P306" s="110">
        <v>115029.58486559795</v>
      </c>
      <c r="Q306" s="110">
        <v>101723.653661006</v>
      </c>
      <c r="R306" s="116"/>
      <c r="S306" s="112">
        <v>242.11494444444446</v>
      </c>
      <c r="T306" s="112">
        <v>146.05702777777779</v>
      </c>
      <c r="U306" s="112">
        <v>72.387722222222223</v>
      </c>
      <c r="V306" s="112">
        <v>175.75369444444445</v>
      </c>
      <c r="W306" s="112">
        <v>374.30647222222223</v>
      </c>
      <c r="X306" s="112"/>
    </row>
    <row r="307" spans="1:24" x14ac:dyDescent="0.35">
      <c r="A307" s="108">
        <v>40112</v>
      </c>
      <c r="B307" s="109">
        <f t="shared" si="38"/>
        <v>1</v>
      </c>
      <c r="C307" s="108">
        <v>40476</v>
      </c>
      <c r="D307" s="109">
        <f t="shared" si="39"/>
        <v>1</v>
      </c>
      <c r="E307" s="115">
        <v>40840</v>
      </c>
      <c r="F307" s="109">
        <f t="shared" si="40"/>
        <v>1</v>
      </c>
      <c r="G307" s="115">
        <v>41204</v>
      </c>
      <c r="H307" s="109">
        <f t="shared" si="41"/>
        <v>1</v>
      </c>
      <c r="I307" s="115">
        <v>41568</v>
      </c>
      <c r="J307" s="109">
        <f t="shared" si="37"/>
        <v>1</v>
      </c>
      <c r="K307" s="108">
        <f t="shared" si="42"/>
        <v>41932</v>
      </c>
      <c r="L307" s="109">
        <f t="shared" si="36"/>
        <v>1</v>
      </c>
      <c r="M307" s="110">
        <v>90834.087762730473</v>
      </c>
      <c r="N307" s="110">
        <v>95852.670028477238</v>
      </c>
      <c r="O307" s="110">
        <v>111032.29477569945</v>
      </c>
      <c r="P307" s="110">
        <v>115205.15589337566</v>
      </c>
      <c r="Q307" s="110">
        <v>101954.60627211712</v>
      </c>
      <c r="R307" s="116"/>
      <c r="S307" s="112">
        <v>21.286361111111109</v>
      </c>
      <c r="T307" s="112">
        <v>9.7626388888888709</v>
      </c>
      <c r="U307" s="112">
        <v>48.100055555555535</v>
      </c>
      <c r="V307" s="112">
        <v>99.374416666666647</v>
      </c>
      <c r="W307" s="112">
        <v>230.9526111111112</v>
      </c>
      <c r="X307" s="112"/>
    </row>
    <row r="308" spans="1:24" x14ac:dyDescent="0.35">
      <c r="A308" s="108">
        <v>40113</v>
      </c>
      <c r="B308" s="109">
        <f t="shared" si="38"/>
        <v>2</v>
      </c>
      <c r="C308" s="108">
        <v>40477</v>
      </c>
      <c r="D308" s="109">
        <f t="shared" si="39"/>
        <v>2</v>
      </c>
      <c r="E308" s="115">
        <v>40841</v>
      </c>
      <c r="F308" s="109">
        <f t="shared" si="40"/>
        <v>2</v>
      </c>
      <c r="G308" s="115">
        <v>41205</v>
      </c>
      <c r="H308" s="109">
        <f t="shared" si="41"/>
        <v>2</v>
      </c>
      <c r="I308" s="115">
        <v>41569</v>
      </c>
      <c r="J308" s="109">
        <f t="shared" si="37"/>
        <v>2</v>
      </c>
      <c r="K308" s="108">
        <f t="shared" si="42"/>
        <v>41933</v>
      </c>
      <c r="L308" s="109">
        <f t="shared" si="36"/>
        <v>2</v>
      </c>
      <c r="M308" s="110">
        <v>90833.881012730519</v>
      </c>
      <c r="N308" s="110">
        <v>95751.979611810588</v>
      </c>
      <c r="O308" s="110">
        <v>110685.50105347723</v>
      </c>
      <c r="P308" s="110">
        <v>115304.52275448681</v>
      </c>
      <c r="Q308" s="110">
        <v>102165.6612165616</v>
      </c>
      <c r="R308" s="116"/>
      <c r="S308" s="112">
        <v>-0.20675000000000499</v>
      </c>
      <c r="T308" s="112">
        <v>-90.739638888888891</v>
      </c>
      <c r="U308" s="112">
        <v>-332.18463888888886</v>
      </c>
      <c r="V308" s="112">
        <v>-98.80988888888885</v>
      </c>
      <c r="W308" s="112">
        <v>211.05494444444446</v>
      </c>
      <c r="X308" s="112"/>
    </row>
    <row r="309" spans="1:24" x14ac:dyDescent="0.35">
      <c r="A309" s="108">
        <v>40114</v>
      </c>
      <c r="B309" s="109">
        <f t="shared" si="38"/>
        <v>3</v>
      </c>
      <c r="C309" s="108">
        <v>40478</v>
      </c>
      <c r="D309" s="109">
        <f t="shared" si="39"/>
        <v>3</v>
      </c>
      <c r="E309" s="115">
        <v>40842</v>
      </c>
      <c r="F309" s="109">
        <f t="shared" si="40"/>
        <v>3</v>
      </c>
      <c r="G309" s="115">
        <v>41206</v>
      </c>
      <c r="H309" s="109">
        <f t="shared" si="41"/>
        <v>3</v>
      </c>
      <c r="I309" s="115">
        <v>41570</v>
      </c>
      <c r="J309" s="109">
        <f t="shared" si="37"/>
        <v>3</v>
      </c>
      <c r="K309" s="108">
        <f t="shared" si="42"/>
        <v>41934</v>
      </c>
      <c r="L309" s="109">
        <f t="shared" si="36"/>
        <v>3</v>
      </c>
      <c r="M309" s="110">
        <v>90833.691318286059</v>
      </c>
      <c r="N309" s="110">
        <v>95417.078528477228</v>
      </c>
      <c r="O309" s="110">
        <v>110560.90566458834</v>
      </c>
      <c r="P309" s="110">
        <v>115205.70650448682</v>
      </c>
      <c r="Q309" s="110">
        <v>102477.0425498949</v>
      </c>
      <c r="R309" s="116"/>
      <c r="S309" s="112">
        <v>-0.18969444444442907</v>
      </c>
      <c r="T309" s="112">
        <v>-324.95386111111111</v>
      </c>
      <c r="U309" s="112">
        <v>-346.79372222222224</v>
      </c>
      <c r="V309" s="112">
        <v>-86.833083333333363</v>
      </c>
      <c r="W309" s="112">
        <v>311.3813333333332</v>
      </c>
      <c r="X309" s="112"/>
    </row>
    <row r="310" spans="1:24" x14ac:dyDescent="0.35">
      <c r="A310" s="108">
        <v>40115</v>
      </c>
      <c r="B310" s="109">
        <f t="shared" si="38"/>
        <v>4</v>
      </c>
      <c r="C310" s="108">
        <v>40479</v>
      </c>
      <c r="D310" s="109">
        <f t="shared" si="39"/>
        <v>4</v>
      </c>
      <c r="E310" s="115">
        <v>40843</v>
      </c>
      <c r="F310" s="109">
        <f t="shared" si="40"/>
        <v>4</v>
      </c>
      <c r="G310" s="115">
        <v>41207</v>
      </c>
      <c r="H310" s="109">
        <f t="shared" si="41"/>
        <v>4</v>
      </c>
      <c r="I310" s="115">
        <v>41571</v>
      </c>
      <c r="J310" s="109">
        <f t="shared" si="37"/>
        <v>4</v>
      </c>
      <c r="K310" s="108">
        <f t="shared" si="42"/>
        <v>41935</v>
      </c>
      <c r="L310" s="109">
        <f t="shared" si="36"/>
        <v>4</v>
      </c>
      <c r="M310" s="110">
        <v>90740.940318286055</v>
      </c>
      <c r="N310" s="110">
        <v>95312.074306255017</v>
      </c>
      <c r="O310" s="110">
        <v>110524.88508125504</v>
      </c>
      <c r="P310" s="110">
        <v>115118.86242115345</v>
      </c>
      <c r="Q310" s="110">
        <v>102826.67321656155</v>
      </c>
      <c r="R310" s="116"/>
      <c r="S310" s="112">
        <v>-92.631972222222217</v>
      </c>
      <c r="T310" s="112">
        <v>-95.069083333333339</v>
      </c>
      <c r="U310" s="112">
        <v>-124.59538888888889</v>
      </c>
      <c r="V310" s="112">
        <v>-67.300611111111138</v>
      </c>
      <c r="W310" s="112">
        <v>349.63066666666668</v>
      </c>
      <c r="X310" s="112"/>
    </row>
    <row r="311" spans="1:24" x14ac:dyDescent="0.35">
      <c r="A311" s="108">
        <v>40116</v>
      </c>
      <c r="B311" s="109">
        <f t="shared" si="38"/>
        <v>5</v>
      </c>
      <c r="C311" s="108">
        <v>40480</v>
      </c>
      <c r="D311" s="109">
        <f t="shared" si="39"/>
        <v>5</v>
      </c>
      <c r="E311" s="115">
        <v>40844</v>
      </c>
      <c r="F311" s="109">
        <f t="shared" si="40"/>
        <v>5</v>
      </c>
      <c r="G311" s="115">
        <v>41208</v>
      </c>
      <c r="H311" s="109">
        <f t="shared" si="41"/>
        <v>5</v>
      </c>
      <c r="I311" s="115">
        <v>41572</v>
      </c>
      <c r="J311" s="109">
        <f t="shared" si="37"/>
        <v>5</v>
      </c>
      <c r="K311" s="108">
        <f t="shared" si="42"/>
        <v>41936</v>
      </c>
      <c r="L311" s="109">
        <f t="shared" si="36"/>
        <v>5</v>
      </c>
      <c r="M311" s="110">
        <v>90823.264207174958</v>
      </c>
      <c r="N311" s="110">
        <v>95307.227250699463</v>
      </c>
      <c r="O311" s="110">
        <v>110543.48708125504</v>
      </c>
      <c r="P311" s="110">
        <v>115051.55867115349</v>
      </c>
      <c r="Q311" s="110">
        <v>103206.70196656158</v>
      </c>
      <c r="R311" s="116"/>
      <c r="S311" s="112">
        <v>84.584249999999997</v>
      </c>
      <c r="T311" s="112">
        <v>5.0935277777777781</v>
      </c>
      <c r="U311" s="112">
        <v>-36.02058333333332</v>
      </c>
      <c r="V311" s="112">
        <v>189.13330555555555</v>
      </c>
      <c r="W311" s="112">
        <v>380.02875</v>
      </c>
      <c r="X311" s="112"/>
    </row>
    <row r="312" spans="1:24" x14ac:dyDescent="0.35">
      <c r="A312" s="108">
        <v>40117</v>
      </c>
      <c r="B312" s="109">
        <f t="shared" si="38"/>
        <v>6</v>
      </c>
      <c r="C312" s="108">
        <v>40481</v>
      </c>
      <c r="D312" s="109">
        <f t="shared" si="39"/>
        <v>6</v>
      </c>
      <c r="E312" s="115">
        <v>40845</v>
      </c>
      <c r="F312" s="109">
        <f t="shared" si="40"/>
        <v>6</v>
      </c>
      <c r="G312" s="115">
        <v>41209</v>
      </c>
      <c r="H312" s="109">
        <f t="shared" si="41"/>
        <v>6</v>
      </c>
      <c r="I312" s="115">
        <v>41573</v>
      </c>
      <c r="J312" s="109">
        <f t="shared" si="37"/>
        <v>6</v>
      </c>
      <c r="K312" s="108">
        <f t="shared" si="42"/>
        <v>41937</v>
      </c>
      <c r="L312" s="109">
        <f t="shared" si="36"/>
        <v>6</v>
      </c>
      <c r="M312" s="110">
        <v>91161.158512730472</v>
      </c>
      <c r="N312" s="110">
        <v>95551.098028477267</v>
      </c>
      <c r="O312" s="110">
        <v>110562.61855347727</v>
      </c>
      <c r="P312" s="110">
        <v>115240.40597670905</v>
      </c>
      <c r="Q312" s="110">
        <v>103684.80699433935</v>
      </c>
      <c r="R312" s="116"/>
      <c r="S312" s="112">
        <v>338.70102777777777</v>
      </c>
      <c r="T312" s="112">
        <v>253.80030555555555</v>
      </c>
      <c r="U312" s="112">
        <v>18.602</v>
      </c>
      <c r="V312" s="112">
        <v>89.570416666666645</v>
      </c>
      <c r="W312" s="112">
        <v>478.10502777777765</v>
      </c>
      <c r="X312" s="112"/>
    </row>
    <row r="313" spans="1:24" x14ac:dyDescent="0.35">
      <c r="A313" s="108">
        <v>40118</v>
      </c>
      <c r="B313" s="109">
        <f t="shared" si="38"/>
        <v>7</v>
      </c>
      <c r="C313" s="108">
        <v>40482</v>
      </c>
      <c r="D313" s="109">
        <f t="shared" si="39"/>
        <v>7</v>
      </c>
      <c r="E313" s="115">
        <v>40846</v>
      </c>
      <c r="F313" s="109">
        <f t="shared" si="40"/>
        <v>7</v>
      </c>
      <c r="G313" s="115">
        <v>41210</v>
      </c>
      <c r="H313" s="109">
        <f t="shared" si="41"/>
        <v>7</v>
      </c>
      <c r="I313" s="115">
        <v>41574</v>
      </c>
      <c r="J313" s="109">
        <f t="shared" si="37"/>
        <v>7</v>
      </c>
      <c r="K313" s="108">
        <f t="shared" si="42"/>
        <v>41938</v>
      </c>
      <c r="L313" s="109">
        <f t="shared" si="36"/>
        <v>7</v>
      </c>
      <c r="M313" s="110">
        <v>91136.582984952751</v>
      </c>
      <c r="N313" s="110">
        <v>95821.325028477193</v>
      </c>
      <c r="O313" s="110">
        <v>110618.15010903275</v>
      </c>
      <c r="P313" s="110">
        <v>115329.81042115345</v>
      </c>
      <c r="Q313" s="110">
        <v>104181.37682767265</v>
      </c>
      <c r="R313" s="116"/>
      <c r="S313" s="112">
        <v>-24.575527777777761</v>
      </c>
      <c r="T313" s="112">
        <v>284.25786111111114</v>
      </c>
      <c r="U313" s="112">
        <v>19.131472222222218</v>
      </c>
      <c r="V313" s="112">
        <v>-271.1371111111111</v>
      </c>
      <c r="W313" s="112">
        <v>496.56983333333318</v>
      </c>
      <c r="X313" s="112"/>
    </row>
    <row r="314" spans="1:24" x14ac:dyDescent="0.35">
      <c r="A314" s="108">
        <v>40119</v>
      </c>
      <c r="B314" s="109">
        <f t="shared" si="38"/>
        <v>1</v>
      </c>
      <c r="C314" s="108">
        <v>40483</v>
      </c>
      <c r="D314" s="109">
        <f t="shared" si="39"/>
        <v>1</v>
      </c>
      <c r="E314" s="118">
        <v>40847</v>
      </c>
      <c r="F314" s="109">
        <f t="shared" si="40"/>
        <v>1</v>
      </c>
      <c r="G314" s="115">
        <v>41211</v>
      </c>
      <c r="H314" s="109">
        <f t="shared" si="41"/>
        <v>1</v>
      </c>
      <c r="I314" s="115">
        <v>41575</v>
      </c>
      <c r="J314" s="109">
        <f t="shared" si="37"/>
        <v>1</v>
      </c>
      <c r="K314" s="108">
        <f t="shared" si="42"/>
        <v>41939</v>
      </c>
      <c r="L314" s="109">
        <f t="shared" si="36"/>
        <v>1</v>
      </c>
      <c r="M314" s="110">
        <v>90551.103012730498</v>
      </c>
      <c r="N314" s="110">
        <v>96076.157278477287</v>
      </c>
      <c r="O314" s="110">
        <v>110863.04913681059</v>
      </c>
      <c r="P314" s="110">
        <v>115058.66514337565</v>
      </c>
      <c r="Q314" s="110">
        <v>104564.7324387838</v>
      </c>
      <c r="R314" s="116"/>
      <c r="S314" s="112">
        <v>-585.40266666666673</v>
      </c>
      <c r="T314" s="112">
        <v>264.24994444444445</v>
      </c>
      <c r="U314" s="112">
        <v>55.531555555555606</v>
      </c>
      <c r="V314" s="112">
        <v>-380.97563888888885</v>
      </c>
      <c r="W314" s="112">
        <v>383.3556111111111</v>
      </c>
      <c r="X314" s="112"/>
    </row>
    <row r="315" spans="1:24" x14ac:dyDescent="0.35">
      <c r="A315" s="108">
        <v>40120</v>
      </c>
      <c r="B315" s="109">
        <f t="shared" si="38"/>
        <v>2</v>
      </c>
      <c r="C315" s="108">
        <v>40484</v>
      </c>
      <c r="D315" s="109">
        <f t="shared" si="39"/>
        <v>2</v>
      </c>
      <c r="E315" s="115">
        <v>40848</v>
      </c>
      <c r="F315" s="109">
        <f t="shared" si="40"/>
        <v>2</v>
      </c>
      <c r="G315" s="115">
        <v>41212</v>
      </c>
      <c r="H315" s="109">
        <f t="shared" si="41"/>
        <v>2</v>
      </c>
      <c r="I315" s="115">
        <v>41576</v>
      </c>
      <c r="J315" s="109">
        <f t="shared" si="37"/>
        <v>2</v>
      </c>
      <c r="K315" s="108">
        <f t="shared" si="42"/>
        <v>41940</v>
      </c>
      <c r="L315" s="109">
        <f t="shared" si="36"/>
        <v>2</v>
      </c>
      <c r="M315" s="110">
        <v>90003.756262730458</v>
      </c>
      <c r="N315" s="110">
        <v>96127.41225069949</v>
      </c>
      <c r="O315" s="110">
        <v>110649.14552569947</v>
      </c>
      <c r="P315" s="110">
        <v>114677.67542115346</v>
      </c>
      <c r="Q315" s="110">
        <v>104691.10679989489</v>
      </c>
      <c r="R315" s="116"/>
      <c r="S315" s="112">
        <v>-545.29588888888884</v>
      </c>
      <c r="T315" s="112">
        <v>55.985388888888885</v>
      </c>
      <c r="U315" s="112">
        <v>62.081222222222237</v>
      </c>
      <c r="V315" s="112">
        <v>-246.87744444444454</v>
      </c>
      <c r="W315" s="112">
        <v>126.3743611111111</v>
      </c>
      <c r="X315" s="112"/>
    </row>
    <row r="316" spans="1:24" x14ac:dyDescent="0.35">
      <c r="A316" s="108">
        <v>40121</v>
      </c>
      <c r="B316" s="109">
        <f t="shared" si="38"/>
        <v>3</v>
      </c>
      <c r="C316" s="108">
        <v>40485</v>
      </c>
      <c r="D316" s="109">
        <f t="shared" si="39"/>
        <v>3</v>
      </c>
      <c r="E316" s="115">
        <v>40849</v>
      </c>
      <c r="F316" s="109">
        <f t="shared" si="40"/>
        <v>3</v>
      </c>
      <c r="G316" s="115">
        <v>41213</v>
      </c>
      <c r="H316" s="109">
        <f t="shared" si="41"/>
        <v>3</v>
      </c>
      <c r="I316" s="115">
        <v>41577</v>
      </c>
      <c r="J316" s="109">
        <f t="shared" si="37"/>
        <v>3</v>
      </c>
      <c r="K316" s="108">
        <f t="shared" si="42"/>
        <v>41941</v>
      </c>
      <c r="L316" s="109">
        <f t="shared" si="36"/>
        <v>3</v>
      </c>
      <c r="M316" s="110">
        <v>89451.260651619363</v>
      </c>
      <c r="N316" s="110">
        <v>96390.291056255039</v>
      </c>
      <c r="O316" s="110">
        <v>110233.25166458832</v>
      </c>
      <c r="P316" s="110">
        <v>114430.7938933757</v>
      </c>
      <c r="Q316" s="110">
        <v>104732.97652211714</v>
      </c>
      <c r="R316" s="116"/>
      <c r="S316" s="112">
        <v>-549.00722222222225</v>
      </c>
      <c r="T316" s="112">
        <v>272.80741666666665</v>
      </c>
      <c r="U316" s="112">
        <v>-213.90361111111122</v>
      </c>
      <c r="V316" s="112">
        <v>-14.400750000000009</v>
      </c>
      <c r="W316" s="112">
        <v>41.869722222222229</v>
      </c>
      <c r="X316" s="112"/>
    </row>
    <row r="317" spans="1:24" x14ac:dyDescent="0.35">
      <c r="A317" s="108">
        <v>40122</v>
      </c>
      <c r="B317" s="109">
        <f t="shared" si="38"/>
        <v>4</v>
      </c>
      <c r="C317" s="108">
        <v>40486</v>
      </c>
      <c r="D317" s="109">
        <f t="shared" si="39"/>
        <v>4</v>
      </c>
      <c r="E317" s="115">
        <v>40850</v>
      </c>
      <c r="F317" s="109">
        <f t="shared" si="40"/>
        <v>4</v>
      </c>
      <c r="G317" s="115">
        <v>41214</v>
      </c>
      <c r="H317" s="109">
        <f t="shared" si="41"/>
        <v>4</v>
      </c>
      <c r="I317" s="115">
        <v>41578</v>
      </c>
      <c r="J317" s="109">
        <f t="shared" si="37"/>
        <v>4</v>
      </c>
      <c r="K317" s="108">
        <f t="shared" si="42"/>
        <v>41942</v>
      </c>
      <c r="L317" s="109">
        <f t="shared" ref="L317:L378" si="43">WEEKDAY(K317,2)</f>
        <v>4</v>
      </c>
      <c r="M317" s="110">
        <v>89003.694346063829</v>
      </c>
      <c r="N317" s="110">
        <v>96602.207750699497</v>
      </c>
      <c r="O317" s="110">
        <v>109973.20794236612</v>
      </c>
      <c r="P317" s="110">
        <v>114416.3926989312</v>
      </c>
      <c r="Q317" s="110">
        <v>104731.65999433935</v>
      </c>
      <c r="R317" s="116"/>
      <c r="S317" s="112">
        <v>-442.80744444444446</v>
      </c>
      <c r="T317" s="112">
        <v>221.83599999999998</v>
      </c>
      <c r="U317" s="112">
        <v>-415.89386111111122</v>
      </c>
      <c r="V317" s="112">
        <v>169.38822222222228</v>
      </c>
      <c r="W317" s="112">
        <v>-1.3165277777777771</v>
      </c>
      <c r="X317" s="112"/>
    </row>
    <row r="318" spans="1:24" x14ac:dyDescent="0.35">
      <c r="A318" s="108">
        <v>40123</v>
      </c>
      <c r="B318" s="109">
        <f t="shared" si="38"/>
        <v>5</v>
      </c>
      <c r="C318" s="108">
        <v>40487</v>
      </c>
      <c r="D318" s="109">
        <f t="shared" si="39"/>
        <v>5</v>
      </c>
      <c r="E318" s="115">
        <v>40851</v>
      </c>
      <c r="F318" s="109">
        <f t="shared" si="40"/>
        <v>5</v>
      </c>
      <c r="G318" s="115">
        <v>41215</v>
      </c>
      <c r="H318" s="109">
        <f t="shared" si="41"/>
        <v>5</v>
      </c>
      <c r="I318" s="115">
        <v>41579</v>
      </c>
      <c r="J318" s="109">
        <f t="shared" si="37"/>
        <v>5</v>
      </c>
      <c r="K318" s="108">
        <f t="shared" si="42"/>
        <v>41943</v>
      </c>
      <c r="L318" s="109">
        <f t="shared" si="43"/>
        <v>5</v>
      </c>
      <c r="M318" s="110">
        <v>88827.636512730503</v>
      </c>
      <c r="N318" s="110">
        <v>96939.339111810565</v>
      </c>
      <c r="O318" s="110">
        <v>109852.59897014392</v>
      </c>
      <c r="P318" s="110">
        <v>114585.70864337566</v>
      </c>
      <c r="Q318" s="110">
        <v>104859.92117450001</v>
      </c>
      <c r="R318" s="116"/>
      <c r="S318" s="112">
        <v>-171.0348611111111</v>
      </c>
      <c r="T318" s="112">
        <v>347.02591666666666</v>
      </c>
      <c r="U318" s="112">
        <v>-260.04372222222224</v>
      </c>
      <c r="V318" s="112">
        <v>81.493583333333305</v>
      </c>
      <c r="W318" s="112">
        <v>128.26098694444445</v>
      </c>
      <c r="X318" s="112"/>
    </row>
    <row r="319" spans="1:24" x14ac:dyDescent="0.35">
      <c r="A319" s="108">
        <v>40124</v>
      </c>
      <c r="B319" s="109">
        <f t="shared" si="38"/>
        <v>6</v>
      </c>
      <c r="C319" s="108">
        <v>40488</v>
      </c>
      <c r="D319" s="109">
        <f t="shared" si="39"/>
        <v>6</v>
      </c>
      <c r="E319" s="115">
        <v>40852</v>
      </c>
      <c r="F319" s="109">
        <f t="shared" si="40"/>
        <v>6</v>
      </c>
      <c r="G319" s="115">
        <v>41216</v>
      </c>
      <c r="H319" s="109">
        <f t="shared" si="41"/>
        <v>6</v>
      </c>
      <c r="I319" s="115">
        <v>41580</v>
      </c>
      <c r="J319" s="109">
        <f t="shared" si="37"/>
        <v>6</v>
      </c>
      <c r="K319" s="108">
        <f t="shared" si="42"/>
        <v>41944</v>
      </c>
      <c r="L319" s="109">
        <f t="shared" si="43"/>
        <v>6</v>
      </c>
      <c r="M319" s="110">
        <v>88826.853957174957</v>
      </c>
      <c r="N319" s="110">
        <v>97311.916111810584</v>
      </c>
      <c r="O319" s="110">
        <v>109842.02483125501</v>
      </c>
      <c r="P319" s="110">
        <v>114667.10456004238</v>
      </c>
      <c r="Q319" s="110">
        <v>105014.19517422223</v>
      </c>
      <c r="R319" s="116"/>
      <c r="S319" s="112">
        <v>4.0967222222222048</v>
      </c>
      <c r="T319" s="112">
        <v>382.46461111111114</v>
      </c>
      <c r="U319" s="112">
        <v>-120.60897222222222</v>
      </c>
      <c r="V319" s="112">
        <v>-30.449027777777783</v>
      </c>
      <c r="W319" s="112">
        <v>154.27390761111113</v>
      </c>
      <c r="X319" s="112"/>
    </row>
    <row r="320" spans="1:24" x14ac:dyDescent="0.35">
      <c r="A320" s="108">
        <v>40125</v>
      </c>
      <c r="B320" s="109">
        <f t="shared" si="38"/>
        <v>7</v>
      </c>
      <c r="C320" s="108">
        <v>40489</v>
      </c>
      <c r="D320" s="109">
        <f t="shared" si="39"/>
        <v>7</v>
      </c>
      <c r="E320" s="115">
        <v>40853</v>
      </c>
      <c r="F320" s="109">
        <f t="shared" si="40"/>
        <v>7</v>
      </c>
      <c r="G320" s="115">
        <v>41217</v>
      </c>
      <c r="H320" s="109">
        <f t="shared" si="41"/>
        <v>7</v>
      </c>
      <c r="I320" s="115">
        <v>41581</v>
      </c>
      <c r="J320" s="109">
        <f t="shared" si="37"/>
        <v>7</v>
      </c>
      <c r="K320" s="108">
        <f t="shared" si="42"/>
        <v>41945</v>
      </c>
      <c r="L320" s="109">
        <f t="shared" si="43"/>
        <v>7</v>
      </c>
      <c r="M320" s="110">
        <v>88702.113151619385</v>
      </c>
      <c r="N320" s="110">
        <v>97768.552111810612</v>
      </c>
      <c r="O320" s="110">
        <v>109877.55452569945</v>
      </c>
      <c r="P320" s="110">
        <v>114636.65169893124</v>
      </c>
      <c r="Q320" s="110">
        <v>105047.61653527778</v>
      </c>
      <c r="R320" s="116"/>
      <c r="S320" s="112">
        <v>-119.80163888888889</v>
      </c>
      <c r="T320" s="112">
        <v>466.51113888888892</v>
      </c>
      <c r="U320" s="112">
        <v>-10.574138888888884</v>
      </c>
      <c r="V320" s="112">
        <v>162.07700000000003</v>
      </c>
      <c r="W320" s="112">
        <v>33.42126255555555</v>
      </c>
      <c r="X320" s="112"/>
    </row>
    <row r="321" spans="1:24" x14ac:dyDescent="0.35">
      <c r="A321" s="108">
        <v>40126</v>
      </c>
      <c r="B321" s="109">
        <f t="shared" si="38"/>
        <v>1</v>
      </c>
      <c r="C321" s="108">
        <v>40490</v>
      </c>
      <c r="D321" s="109">
        <f t="shared" si="39"/>
        <v>1</v>
      </c>
      <c r="E321" s="115">
        <v>40854</v>
      </c>
      <c r="F321" s="109">
        <f t="shared" si="40"/>
        <v>1</v>
      </c>
      <c r="G321" s="115">
        <v>41218</v>
      </c>
      <c r="H321" s="109">
        <f t="shared" si="41"/>
        <v>1</v>
      </c>
      <c r="I321" s="115">
        <v>41582</v>
      </c>
      <c r="J321" s="109">
        <f t="shared" si="37"/>
        <v>1</v>
      </c>
      <c r="K321" s="108">
        <f t="shared" si="42"/>
        <v>41946</v>
      </c>
      <c r="L321" s="109">
        <f t="shared" si="43"/>
        <v>1</v>
      </c>
      <c r="M321" s="110">
        <v>88334.410151619348</v>
      </c>
      <c r="N321" s="110">
        <v>97979.513778477281</v>
      </c>
      <c r="O321" s="110">
        <v>109623.91288681052</v>
      </c>
      <c r="P321" s="110">
        <v>114798.49028226457</v>
      </c>
      <c r="Q321" s="110">
        <v>104884.63759083334</v>
      </c>
      <c r="R321" s="116"/>
      <c r="S321" s="112">
        <v>-362.74308333333335</v>
      </c>
      <c r="T321" s="112">
        <v>220.8423611111111</v>
      </c>
      <c r="U321" s="112">
        <v>35.529694444444445</v>
      </c>
      <c r="V321" s="112">
        <v>-87.813722222222211</v>
      </c>
      <c r="W321" s="112">
        <v>-162.9789296388889</v>
      </c>
      <c r="X321" s="112"/>
    </row>
    <row r="322" spans="1:24" x14ac:dyDescent="0.35">
      <c r="A322" s="108">
        <v>40127</v>
      </c>
      <c r="B322" s="109">
        <f t="shared" si="38"/>
        <v>2</v>
      </c>
      <c r="C322" s="108">
        <v>40491</v>
      </c>
      <c r="D322" s="109">
        <f t="shared" si="39"/>
        <v>2</v>
      </c>
      <c r="E322" s="115">
        <v>40855</v>
      </c>
      <c r="F322" s="109">
        <f t="shared" si="40"/>
        <v>2</v>
      </c>
      <c r="G322" s="115">
        <v>41219</v>
      </c>
      <c r="H322" s="109">
        <f t="shared" si="41"/>
        <v>2</v>
      </c>
      <c r="I322" s="115">
        <v>41583</v>
      </c>
      <c r="J322" s="109">
        <f t="shared" si="37"/>
        <v>2</v>
      </c>
      <c r="K322" s="108">
        <f t="shared" si="42"/>
        <v>41947</v>
      </c>
      <c r="L322" s="109">
        <f t="shared" si="43"/>
        <v>2</v>
      </c>
      <c r="M322" s="110">
        <v>88099.225012730429</v>
      </c>
      <c r="N322" s="110">
        <v>97890.714361810562</v>
      </c>
      <c r="O322" s="110">
        <v>109421.56552569945</v>
      </c>
      <c r="P322" s="110">
        <v>114710.67300448677</v>
      </c>
      <c r="Q322" s="110">
        <v>104498.31384083333</v>
      </c>
      <c r="R322" s="116"/>
      <c r="S322" s="112">
        <v>-234.60894444444443</v>
      </c>
      <c r="T322" s="112">
        <v>-78.938166666666675</v>
      </c>
      <c r="U322" s="112">
        <v>-253.64163888888885</v>
      </c>
      <c r="V322" s="112">
        <v>-78.341222222222214</v>
      </c>
      <c r="W322" s="112">
        <v>-386.3237604722222</v>
      </c>
      <c r="X322" s="112"/>
    </row>
    <row r="323" spans="1:24" x14ac:dyDescent="0.35">
      <c r="A323" s="108">
        <v>40128</v>
      </c>
      <c r="B323" s="109">
        <f t="shared" si="38"/>
        <v>3</v>
      </c>
      <c r="C323" s="108">
        <v>40492</v>
      </c>
      <c r="D323" s="109">
        <f t="shared" si="39"/>
        <v>3</v>
      </c>
      <c r="E323" s="115">
        <v>40856</v>
      </c>
      <c r="F323" s="109">
        <f t="shared" si="40"/>
        <v>3</v>
      </c>
      <c r="G323" s="115">
        <v>41220</v>
      </c>
      <c r="H323" s="109">
        <f t="shared" si="41"/>
        <v>3</v>
      </c>
      <c r="I323" s="115">
        <v>41584</v>
      </c>
      <c r="J323" s="109">
        <f t="shared" si="37"/>
        <v>3</v>
      </c>
      <c r="K323" s="108">
        <f t="shared" si="42"/>
        <v>41948</v>
      </c>
      <c r="L323" s="109">
        <f t="shared" si="43"/>
        <v>3</v>
      </c>
      <c r="M323" s="110">
        <v>87815.436623841611</v>
      </c>
      <c r="N323" s="110">
        <v>97875.445722921693</v>
      </c>
      <c r="O323" s="110">
        <v>109340.57819236613</v>
      </c>
      <c r="P323" s="110">
        <v>114632.32919893129</v>
      </c>
      <c r="Q323" s="110">
        <v>104267.92472972223</v>
      </c>
      <c r="R323" s="116"/>
      <c r="S323" s="112">
        <v>-325.45505555555553</v>
      </c>
      <c r="T323" s="112">
        <v>-5.3805833333333331</v>
      </c>
      <c r="U323" s="112">
        <v>-202.34736111111118</v>
      </c>
      <c r="V323" s="112">
        <v>-155.83647222222223</v>
      </c>
      <c r="W323" s="112">
        <v>-230.38903516666667</v>
      </c>
      <c r="X323" s="112"/>
    </row>
    <row r="324" spans="1:24" x14ac:dyDescent="0.35">
      <c r="A324" s="108">
        <v>40129</v>
      </c>
      <c r="B324" s="109">
        <f t="shared" si="38"/>
        <v>4</v>
      </c>
      <c r="C324" s="108">
        <v>40493</v>
      </c>
      <c r="D324" s="109">
        <f t="shared" si="39"/>
        <v>4</v>
      </c>
      <c r="E324" s="115">
        <v>40857</v>
      </c>
      <c r="F324" s="109">
        <f t="shared" si="40"/>
        <v>4</v>
      </c>
      <c r="G324" s="115">
        <v>41221</v>
      </c>
      <c r="H324" s="109">
        <f t="shared" si="41"/>
        <v>4</v>
      </c>
      <c r="I324" s="115">
        <v>41585</v>
      </c>
      <c r="J324" s="109">
        <f t="shared" si="37"/>
        <v>4</v>
      </c>
      <c r="K324" s="108">
        <f t="shared" si="42"/>
        <v>41949</v>
      </c>
      <c r="L324" s="109">
        <f t="shared" si="43"/>
        <v>4</v>
      </c>
      <c r="M324" s="110">
        <v>87471.964290508287</v>
      </c>
      <c r="N324" s="110">
        <v>97849.476667366194</v>
      </c>
      <c r="O324" s="110">
        <v>109183.85452569948</v>
      </c>
      <c r="P324" s="110">
        <v>113646.92883782013</v>
      </c>
      <c r="Q324" s="110">
        <v>104171.9752575</v>
      </c>
      <c r="R324" s="116"/>
      <c r="S324" s="112">
        <v>-343.47233333333332</v>
      </c>
      <c r="T324" s="112">
        <v>-17.996611111111111</v>
      </c>
      <c r="U324" s="112">
        <v>-80.987333333333325</v>
      </c>
      <c r="V324" s="112">
        <v>-213.56424999999996</v>
      </c>
      <c r="W324" s="112">
        <v>-95.949490749999995</v>
      </c>
      <c r="X324" s="112"/>
    </row>
    <row r="325" spans="1:24" x14ac:dyDescent="0.35">
      <c r="A325" s="108">
        <v>40130</v>
      </c>
      <c r="B325" s="109">
        <f t="shared" si="38"/>
        <v>5</v>
      </c>
      <c r="C325" s="108">
        <v>40494</v>
      </c>
      <c r="D325" s="109">
        <f t="shared" si="39"/>
        <v>5</v>
      </c>
      <c r="E325" s="115">
        <v>40858</v>
      </c>
      <c r="F325" s="109">
        <f t="shared" si="40"/>
        <v>5</v>
      </c>
      <c r="G325" s="115">
        <v>41222</v>
      </c>
      <c r="H325" s="109">
        <f t="shared" si="41"/>
        <v>5</v>
      </c>
      <c r="I325" s="115">
        <v>41586</v>
      </c>
      <c r="J325" s="109">
        <f t="shared" si="37"/>
        <v>5</v>
      </c>
      <c r="K325" s="108">
        <f t="shared" si="42"/>
        <v>41950</v>
      </c>
      <c r="L325" s="109">
        <f t="shared" si="43"/>
        <v>5</v>
      </c>
      <c r="M325" s="110">
        <v>87156.508096063801</v>
      </c>
      <c r="N325" s="110">
        <v>97909.677361810594</v>
      </c>
      <c r="O325" s="110">
        <v>108946.55733125503</v>
      </c>
      <c r="P325" s="110">
        <v>113433.36367115346</v>
      </c>
      <c r="Q325" s="110">
        <v>104252.19386861111</v>
      </c>
      <c r="R325" s="116"/>
      <c r="S325" s="112">
        <v>-315.45619444444446</v>
      </c>
      <c r="T325" s="112">
        <v>68.217666666666673</v>
      </c>
      <c r="U325" s="112">
        <v>-156.72366666666665</v>
      </c>
      <c r="V325" s="112">
        <v>6.6512500000000019</v>
      </c>
      <c r="W325" s="112">
        <v>80.218702722222204</v>
      </c>
      <c r="X325" s="112"/>
    </row>
    <row r="326" spans="1:24" x14ac:dyDescent="0.35">
      <c r="A326" s="108">
        <v>40131</v>
      </c>
      <c r="B326" s="109">
        <f t="shared" si="38"/>
        <v>6</v>
      </c>
      <c r="C326" s="108">
        <v>40495</v>
      </c>
      <c r="D326" s="109">
        <f t="shared" si="39"/>
        <v>6</v>
      </c>
      <c r="E326" s="115">
        <v>40859</v>
      </c>
      <c r="F326" s="109">
        <f t="shared" si="40"/>
        <v>6</v>
      </c>
      <c r="G326" s="115">
        <v>41223</v>
      </c>
      <c r="H326" s="109">
        <f t="shared" si="41"/>
        <v>6</v>
      </c>
      <c r="I326" s="115">
        <v>41587</v>
      </c>
      <c r="J326" s="109">
        <f t="shared" si="37"/>
        <v>6</v>
      </c>
      <c r="K326" s="108">
        <f t="shared" si="42"/>
        <v>41951</v>
      </c>
      <c r="L326" s="109">
        <f t="shared" si="43"/>
        <v>6</v>
      </c>
      <c r="M326" s="110">
        <v>87133.33959606383</v>
      </c>
      <c r="N326" s="110">
        <v>98063.647306255036</v>
      </c>
      <c r="O326" s="110">
        <v>108882.8701368106</v>
      </c>
      <c r="P326" s="110">
        <v>113440.00358782016</v>
      </c>
      <c r="Q326" s="110">
        <v>104489.3633953611</v>
      </c>
      <c r="R326" s="116"/>
      <c r="S326" s="112">
        <v>-23.168499999999984</v>
      </c>
      <c r="T326" s="112">
        <v>163.83583333333334</v>
      </c>
      <c r="U326" s="112">
        <v>-237.29719444444436</v>
      </c>
      <c r="V326" s="112">
        <v>-118.98213888888891</v>
      </c>
      <c r="W326" s="112">
        <v>237.16954072222222</v>
      </c>
      <c r="X326" s="112"/>
    </row>
    <row r="327" spans="1:24" x14ac:dyDescent="0.35">
      <c r="A327" s="108">
        <v>40132</v>
      </c>
      <c r="B327" s="109">
        <f t="shared" si="38"/>
        <v>7</v>
      </c>
      <c r="C327" s="108">
        <v>40496</v>
      </c>
      <c r="D327" s="109">
        <f t="shared" si="39"/>
        <v>7</v>
      </c>
      <c r="E327" s="115">
        <v>40860</v>
      </c>
      <c r="F327" s="109">
        <f t="shared" si="40"/>
        <v>7</v>
      </c>
      <c r="G327" s="115">
        <v>41224</v>
      </c>
      <c r="H327" s="109">
        <f t="shared" si="41"/>
        <v>7</v>
      </c>
      <c r="I327" s="115">
        <v>41588</v>
      </c>
      <c r="J327" s="109">
        <f t="shared" si="37"/>
        <v>7</v>
      </c>
      <c r="K327" s="108">
        <f t="shared" si="42"/>
        <v>41952</v>
      </c>
      <c r="L327" s="109">
        <f t="shared" si="43"/>
        <v>7</v>
      </c>
      <c r="M327" s="110">
        <v>87167.858873841615</v>
      </c>
      <c r="N327" s="110">
        <v>98267.138084032849</v>
      </c>
      <c r="O327" s="110">
        <v>108824.52841458839</v>
      </c>
      <c r="P327" s="110">
        <v>113321.01936559791</v>
      </c>
      <c r="Q327" s="110">
        <v>104595.66570091667</v>
      </c>
      <c r="R327" s="116"/>
      <c r="S327" s="112">
        <v>34.519277777777774</v>
      </c>
      <c r="T327" s="112">
        <v>213.33411111111113</v>
      </c>
      <c r="U327" s="112">
        <v>-63.687194444444444</v>
      </c>
      <c r="V327" s="112">
        <v>-306.59125000000012</v>
      </c>
      <c r="W327" s="112">
        <v>106.30228313888888</v>
      </c>
      <c r="X327" s="112"/>
    </row>
    <row r="328" spans="1:24" x14ac:dyDescent="0.35">
      <c r="A328" s="108">
        <v>40133</v>
      </c>
      <c r="B328" s="109">
        <f t="shared" si="38"/>
        <v>1</v>
      </c>
      <c r="C328" s="108">
        <v>40497</v>
      </c>
      <c r="D328" s="109">
        <f t="shared" si="39"/>
        <v>1</v>
      </c>
      <c r="E328" s="115">
        <v>40861</v>
      </c>
      <c r="F328" s="109">
        <f t="shared" si="40"/>
        <v>1</v>
      </c>
      <c r="G328" s="115">
        <v>41225</v>
      </c>
      <c r="H328" s="109">
        <f t="shared" si="41"/>
        <v>1</v>
      </c>
      <c r="I328" s="115">
        <v>41589</v>
      </c>
      <c r="J328" s="109">
        <f t="shared" si="37"/>
        <v>1</v>
      </c>
      <c r="K328" s="108">
        <f t="shared" si="42"/>
        <v>41953</v>
      </c>
      <c r="L328" s="109">
        <f t="shared" si="43"/>
        <v>1</v>
      </c>
      <c r="M328" s="110">
        <v>87167.548484952684</v>
      </c>
      <c r="N328" s="110">
        <v>98233.238945143938</v>
      </c>
      <c r="O328" s="110">
        <v>108329.89702569947</v>
      </c>
      <c r="P328" s="110">
        <v>113014.42811559793</v>
      </c>
      <c r="Q328" s="110">
        <v>104339.67256188889</v>
      </c>
      <c r="R328" s="116"/>
      <c r="S328" s="112">
        <v>-0.31038888888889132</v>
      </c>
      <c r="T328" s="112">
        <v>-24.040749999999978</v>
      </c>
      <c r="U328" s="112">
        <v>-58.341722222222216</v>
      </c>
      <c r="V328" s="112">
        <v>-269.37311111111114</v>
      </c>
      <c r="W328" s="112">
        <v>-255.99308044444447</v>
      </c>
      <c r="X328" s="112"/>
    </row>
    <row r="329" spans="1:24" x14ac:dyDescent="0.35">
      <c r="A329" s="108">
        <v>40134</v>
      </c>
      <c r="B329" s="109">
        <f t="shared" si="38"/>
        <v>2</v>
      </c>
      <c r="C329" s="108">
        <v>40498</v>
      </c>
      <c r="D329" s="109">
        <f t="shared" si="39"/>
        <v>2</v>
      </c>
      <c r="E329" s="115">
        <v>40862</v>
      </c>
      <c r="F329" s="109">
        <f t="shared" si="40"/>
        <v>2</v>
      </c>
      <c r="G329" s="115">
        <v>41226</v>
      </c>
      <c r="H329" s="109">
        <f t="shared" si="41"/>
        <v>2</v>
      </c>
      <c r="I329" s="115">
        <v>41590</v>
      </c>
      <c r="J329" s="109">
        <f t="shared" si="37"/>
        <v>2</v>
      </c>
      <c r="K329" s="108">
        <f t="shared" si="42"/>
        <v>41954</v>
      </c>
      <c r="L329" s="109">
        <f t="shared" si="43"/>
        <v>2</v>
      </c>
      <c r="M329" s="110">
        <v>87092.728762730505</v>
      </c>
      <c r="N329" s="110">
        <v>98278.726500699515</v>
      </c>
      <c r="O329" s="110">
        <v>107688.88622014395</v>
      </c>
      <c r="P329" s="110">
        <v>112745.05433782011</v>
      </c>
      <c r="Q329" s="110">
        <v>103916.57263888889</v>
      </c>
      <c r="R329" s="116"/>
      <c r="S329" s="112">
        <v>-74.819722222222225</v>
      </c>
      <c r="T329" s="112">
        <v>55.349500000000006</v>
      </c>
      <c r="U329" s="112">
        <v>-494.63138888888898</v>
      </c>
      <c r="V329" s="112">
        <v>-43.158666666666662</v>
      </c>
      <c r="W329" s="112">
        <v>-423.09989486111112</v>
      </c>
      <c r="X329" s="112"/>
    </row>
    <row r="330" spans="1:24" x14ac:dyDescent="0.35">
      <c r="A330" s="108">
        <v>40135</v>
      </c>
      <c r="B330" s="109">
        <f t="shared" si="38"/>
        <v>3</v>
      </c>
      <c r="C330" s="108">
        <v>40499</v>
      </c>
      <c r="D330" s="109">
        <f t="shared" si="39"/>
        <v>3</v>
      </c>
      <c r="E330" s="115">
        <v>40863</v>
      </c>
      <c r="F330" s="109">
        <f t="shared" si="40"/>
        <v>3</v>
      </c>
      <c r="G330" s="115">
        <v>41227</v>
      </c>
      <c r="H330" s="109">
        <f t="shared" si="41"/>
        <v>3</v>
      </c>
      <c r="I330" s="115">
        <v>41591</v>
      </c>
      <c r="J330" s="109">
        <f t="shared" si="37"/>
        <v>3</v>
      </c>
      <c r="K330" s="108">
        <f t="shared" si="42"/>
        <v>41955</v>
      </c>
      <c r="L330" s="109">
        <f t="shared" si="43"/>
        <v>3</v>
      </c>
      <c r="M330" s="110">
        <v>87067.643984952709</v>
      </c>
      <c r="N330" s="110">
        <v>98265.186500699521</v>
      </c>
      <c r="O330" s="110">
        <v>107003.47208125507</v>
      </c>
      <c r="P330" s="110">
        <v>112701.88678226457</v>
      </c>
      <c r="Q330" s="110">
        <v>103545.74322222223</v>
      </c>
      <c r="R330" s="116"/>
      <c r="S330" s="112">
        <v>-66.751444444444445</v>
      </c>
      <c r="T330" s="112">
        <v>-3.5812499999999998</v>
      </c>
      <c r="U330" s="112">
        <v>-641.01080555555552</v>
      </c>
      <c r="V330" s="112">
        <v>-194.35347222222222</v>
      </c>
      <c r="W330" s="112">
        <v>-370.82934544444447</v>
      </c>
      <c r="X330" s="112"/>
    </row>
    <row r="331" spans="1:24" x14ac:dyDescent="0.35">
      <c r="A331" s="108">
        <v>40136</v>
      </c>
      <c r="B331" s="109">
        <f t="shared" si="38"/>
        <v>4</v>
      </c>
      <c r="C331" s="108">
        <v>40500</v>
      </c>
      <c r="D331" s="109">
        <f t="shared" si="39"/>
        <v>4</v>
      </c>
      <c r="E331" s="115">
        <v>40864</v>
      </c>
      <c r="F331" s="109">
        <f t="shared" si="40"/>
        <v>4</v>
      </c>
      <c r="G331" s="115">
        <v>41228</v>
      </c>
      <c r="H331" s="109">
        <f t="shared" si="41"/>
        <v>4</v>
      </c>
      <c r="I331" s="115">
        <v>41592</v>
      </c>
      <c r="J331" s="109">
        <f t="shared" si="37"/>
        <v>4</v>
      </c>
      <c r="K331" s="108">
        <f t="shared" si="42"/>
        <v>41956</v>
      </c>
      <c r="L331" s="109">
        <f t="shared" si="43"/>
        <v>4</v>
      </c>
      <c r="M331" s="110">
        <v>87018.200151619341</v>
      </c>
      <c r="N331" s="110">
        <v>97994.994389588392</v>
      </c>
      <c r="O331" s="110">
        <v>106255.04952569948</v>
      </c>
      <c r="P331" s="110">
        <v>112507.53331004237</v>
      </c>
      <c r="Q331" s="110">
        <v>103209.51666666666</v>
      </c>
      <c r="R331" s="116"/>
      <c r="S331" s="112">
        <v>-49.44383333333333</v>
      </c>
      <c r="T331" s="112">
        <v>-260.12991666666665</v>
      </c>
      <c r="U331" s="112">
        <v>-685.41413888888883</v>
      </c>
      <c r="V331" s="112">
        <v>-208.84838888888893</v>
      </c>
      <c r="W331" s="112">
        <v>-336.22646608333332</v>
      </c>
      <c r="X331" s="112"/>
    </row>
    <row r="332" spans="1:24" x14ac:dyDescent="0.35">
      <c r="A332" s="108">
        <v>40137</v>
      </c>
      <c r="B332" s="109">
        <f t="shared" si="38"/>
        <v>5</v>
      </c>
      <c r="C332" s="108">
        <v>40501</v>
      </c>
      <c r="D332" s="109">
        <f t="shared" si="39"/>
        <v>5</v>
      </c>
      <c r="E332" s="115">
        <v>40865</v>
      </c>
      <c r="F332" s="109">
        <f t="shared" si="40"/>
        <v>5</v>
      </c>
      <c r="G332" s="115">
        <v>41229</v>
      </c>
      <c r="H332" s="109">
        <f t="shared" si="41"/>
        <v>5</v>
      </c>
      <c r="I332" s="115">
        <v>41593</v>
      </c>
      <c r="J332" s="109">
        <f t="shared" si="37"/>
        <v>5</v>
      </c>
      <c r="K332" s="108">
        <f t="shared" si="42"/>
        <v>41957</v>
      </c>
      <c r="L332" s="109">
        <f t="shared" si="43"/>
        <v>5</v>
      </c>
      <c r="M332" s="110">
        <v>87017.926762730465</v>
      </c>
      <c r="N332" s="110">
        <v>97878.280945143881</v>
      </c>
      <c r="O332" s="110">
        <v>105671.733831255</v>
      </c>
      <c r="P332" s="110">
        <v>112298.68492115341</v>
      </c>
      <c r="Q332" s="110">
        <v>102754.21244444445</v>
      </c>
      <c r="R332" s="116"/>
      <c r="S332" s="112">
        <v>-0.27338888888888579</v>
      </c>
      <c r="T332" s="112">
        <v>-106.64825</v>
      </c>
      <c r="U332" s="112">
        <v>-748.42255555555539</v>
      </c>
      <c r="V332" s="112">
        <v>-128.55466666666666</v>
      </c>
      <c r="W332" s="112">
        <v>-455.30415566666665</v>
      </c>
      <c r="X332" s="112"/>
    </row>
    <row r="333" spans="1:24" x14ac:dyDescent="0.35">
      <c r="A333" s="108">
        <v>40138</v>
      </c>
      <c r="B333" s="109">
        <f t="shared" si="38"/>
        <v>6</v>
      </c>
      <c r="C333" s="108">
        <v>40502</v>
      </c>
      <c r="D333" s="109">
        <f t="shared" si="39"/>
        <v>6</v>
      </c>
      <c r="E333" s="115">
        <v>40866</v>
      </c>
      <c r="F333" s="109">
        <f t="shared" si="40"/>
        <v>6</v>
      </c>
      <c r="G333" s="115">
        <v>41230</v>
      </c>
      <c r="H333" s="109">
        <f t="shared" si="41"/>
        <v>6</v>
      </c>
      <c r="I333" s="115">
        <v>41594</v>
      </c>
      <c r="J333" s="109">
        <f t="shared" si="37"/>
        <v>6</v>
      </c>
      <c r="K333" s="108">
        <f t="shared" si="42"/>
        <v>41958</v>
      </c>
      <c r="L333" s="109">
        <f t="shared" si="43"/>
        <v>6</v>
      </c>
      <c r="M333" s="110">
        <v>86948.411012730503</v>
      </c>
      <c r="N333" s="110">
        <v>97853.582250699503</v>
      </c>
      <c r="O333" s="110">
        <v>105252.1073868106</v>
      </c>
      <c r="P333" s="110">
        <v>112170.13025448679</v>
      </c>
      <c r="Q333" s="110">
        <v>102773.62002777778</v>
      </c>
      <c r="R333" s="116"/>
      <c r="S333" s="112">
        <v>-69.515749999999997</v>
      </c>
      <c r="T333" s="112">
        <v>-14.651833333333304</v>
      </c>
      <c r="U333" s="112">
        <v>-583.3156944444446</v>
      </c>
      <c r="V333" s="112">
        <v>-210.11455555555557</v>
      </c>
      <c r="W333" s="112">
        <v>-63.925674722222226</v>
      </c>
      <c r="X333" s="112"/>
    </row>
    <row r="334" spans="1:24" x14ac:dyDescent="0.35">
      <c r="A334" s="108">
        <v>40139</v>
      </c>
      <c r="B334" s="109">
        <f t="shared" si="38"/>
        <v>7</v>
      </c>
      <c r="C334" s="108">
        <v>40503</v>
      </c>
      <c r="D334" s="109">
        <f t="shared" si="39"/>
        <v>7</v>
      </c>
      <c r="E334" s="115">
        <v>40867</v>
      </c>
      <c r="F334" s="109">
        <f t="shared" si="40"/>
        <v>7</v>
      </c>
      <c r="G334" s="115">
        <v>41231</v>
      </c>
      <c r="H334" s="109">
        <f t="shared" si="41"/>
        <v>7</v>
      </c>
      <c r="I334" s="115">
        <v>41595</v>
      </c>
      <c r="J334" s="109">
        <f t="shared" ref="J334:J378" si="44">WEEKDAY(I334,2)</f>
        <v>7</v>
      </c>
      <c r="K334" s="108">
        <f t="shared" si="42"/>
        <v>41959</v>
      </c>
      <c r="L334" s="109">
        <f t="shared" si="43"/>
        <v>7</v>
      </c>
      <c r="M334" s="110">
        <v>86948.136457174915</v>
      </c>
      <c r="N334" s="110">
        <v>97820.0169451439</v>
      </c>
      <c r="O334" s="110">
        <v>104850.57219236613</v>
      </c>
      <c r="P334" s="110">
        <v>111960.00856004236</v>
      </c>
      <c r="Q334" s="110">
        <v>102601.02</v>
      </c>
      <c r="R334" s="116"/>
      <c r="S334" s="112">
        <v>-0.27455555555555872</v>
      </c>
      <c r="T334" s="112">
        <v>-23.520499999999984</v>
      </c>
      <c r="U334" s="112">
        <v>-419.62644444444442</v>
      </c>
      <c r="V334" s="112">
        <v>-447.02302777777777</v>
      </c>
      <c r="W334" s="112">
        <v>-89.266683444444453</v>
      </c>
      <c r="X334" s="112"/>
    </row>
    <row r="335" spans="1:24" x14ac:dyDescent="0.35">
      <c r="A335" s="108">
        <v>40140</v>
      </c>
      <c r="B335" s="109">
        <f t="shared" si="38"/>
        <v>1</v>
      </c>
      <c r="C335" s="108">
        <v>40504</v>
      </c>
      <c r="D335" s="109">
        <f t="shared" si="39"/>
        <v>1</v>
      </c>
      <c r="E335" s="115">
        <v>40868</v>
      </c>
      <c r="F335" s="109">
        <f t="shared" si="40"/>
        <v>1</v>
      </c>
      <c r="G335" s="115">
        <v>41232</v>
      </c>
      <c r="H335" s="109">
        <f t="shared" si="41"/>
        <v>1</v>
      </c>
      <c r="I335" s="115">
        <v>41596</v>
      </c>
      <c r="J335" s="109">
        <f t="shared" si="44"/>
        <v>1</v>
      </c>
      <c r="K335" s="108">
        <f t="shared" si="42"/>
        <v>41960</v>
      </c>
      <c r="L335" s="109">
        <f t="shared" si="43"/>
        <v>1</v>
      </c>
      <c r="M335" s="110">
        <v>86819.047984952689</v>
      </c>
      <c r="N335" s="110">
        <v>97490.572167366146</v>
      </c>
      <c r="O335" s="110">
        <v>103997.95208125499</v>
      </c>
      <c r="P335" s="110">
        <v>111512.9778655979</v>
      </c>
      <c r="Q335" s="110">
        <v>102226.37875</v>
      </c>
      <c r="R335" s="116"/>
      <c r="S335" s="112">
        <v>-129.08847222222221</v>
      </c>
      <c r="T335" s="112">
        <v>-319.40294444444447</v>
      </c>
      <c r="U335" s="112">
        <v>-401.53519444444458</v>
      </c>
      <c r="V335" s="112">
        <v>-363.14797222222217</v>
      </c>
      <c r="W335" s="112">
        <v>-374.64127452777774</v>
      </c>
      <c r="X335" s="112"/>
    </row>
    <row r="336" spans="1:24" x14ac:dyDescent="0.35">
      <c r="A336" s="108">
        <v>40141</v>
      </c>
      <c r="B336" s="109">
        <f t="shared" si="38"/>
        <v>2</v>
      </c>
      <c r="C336" s="108">
        <v>40505</v>
      </c>
      <c r="D336" s="109">
        <f t="shared" si="39"/>
        <v>2</v>
      </c>
      <c r="E336" s="115">
        <v>40869</v>
      </c>
      <c r="F336" s="109">
        <f t="shared" si="40"/>
        <v>2</v>
      </c>
      <c r="G336" s="115">
        <v>41233</v>
      </c>
      <c r="H336" s="109">
        <f t="shared" si="41"/>
        <v>2</v>
      </c>
      <c r="I336" s="115">
        <v>41597</v>
      </c>
      <c r="J336" s="109">
        <f t="shared" si="44"/>
        <v>2</v>
      </c>
      <c r="K336" s="108">
        <f t="shared" si="42"/>
        <v>41961</v>
      </c>
      <c r="L336" s="109">
        <f t="shared" si="43"/>
        <v>2</v>
      </c>
      <c r="M336" s="110">
        <v>86597.667457174961</v>
      </c>
      <c r="N336" s="110">
        <v>97098.774528477268</v>
      </c>
      <c r="O336" s="110">
        <v>103239.47980347724</v>
      </c>
      <c r="P336" s="110">
        <v>111153.13439337572</v>
      </c>
      <c r="Q336" s="110">
        <v>101877.31494444444</v>
      </c>
      <c r="R336" s="116"/>
      <c r="S336" s="112">
        <v>-221.38052777777779</v>
      </c>
      <c r="T336" s="112">
        <v>-384.79708333333332</v>
      </c>
      <c r="U336" s="112">
        <v>-852.6201111111111</v>
      </c>
      <c r="V336" s="112">
        <v>-254.9394166666666</v>
      </c>
      <c r="W336" s="112">
        <v>-349.06385616666665</v>
      </c>
      <c r="X336" s="112"/>
    </row>
    <row r="337" spans="1:24" x14ac:dyDescent="0.35">
      <c r="A337" s="108">
        <v>40142</v>
      </c>
      <c r="B337" s="109">
        <f t="shared" si="38"/>
        <v>3</v>
      </c>
      <c r="C337" s="108">
        <v>40506</v>
      </c>
      <c r="D337" s="109">
        <f t="shared" si="39"/>
        <v>3</v>
      </c>
      <c r="E337" s="115">
        <v>40870</v>
      </c>
      <c r="F337" s="109">
        <f t="shared" si="40"/>
        <v>3</v>
      </c>
      <c r="G337" s="115">
        <v>41234</v>
      </c>
      <c r="H337" s="109">
        <f t="shared" si="41"/>
        <v>3</v>
      </c>
      <c r="I337" s="115">
        <v>41598</v>
      </c>
      <c r="J337" s="109">
        <f t="shared" si="44"/>
        <v>3</v>
      </c>
      <c r="K337" s="108">
        <f t="shared" si="42"/>
        <v>41962</v>
      </c>
      <c r="L337" s="109">
        <f t="shared" si="43"/>
        <v>3</v>
      </c>
      <c r="M337" s="110">
        <v>85963.573290508284</v>
      </c>
      <c r="N337" s="110">
        <v>96489.550028477257</v>
      </c>
      <c r="O337" s="110">
        <v>102566.81285903275</v>
      </c>
      <c r="P337" s="110">
        <v>110899.23864337566</v>
      </c>
      <c r="Q337" s="110">
        <v>101584.94222827777</v>
      </c>
      <c r="R337" s="116"/>
      <c r="S337" s="112">
        <v>-634.09416666666664</v>
      </c>
      <c r="T337" s="112">
        <v>-599.80369444444443</v>
      </c>
      <c r="U337" s="112">
        <v>-758.47227777777766</v>
      </c>
      <c r="V337" s="112">
        <v>-238.62183333333326</v>
      </c>
      <c r="W337" s="112">
        <v>-292.37269838888886</v>
      </c>
      <c r="X337" s="112"/>
    </row>
    <row r="338" spans="1:24" x14ac:dyDescent="0.35">
      <c r="A338" s="108">
        <v>40143</v>
      </c>
      <c r="B338" s="109">
        <f t="shared" si="38"/>
        <v>4</v>
      </c>
      <c r="C338" s="108">
        <v>40507</v>
      </c>
      <c r="D338" s="109">
        <f t="shared" si="39"/>
        <v>4</v>
      </c>
      <c r="E338" s="115">
        <v>40871</v>
      </c>
      <c r="F338" s="109">
        <f t="shared" si="40"/>
        <v>4</v>
      </c>
      <c r="G338" s="115">
        <v>41235</v>
      </c>
      <c r="H338" s="109">
        <f t="shared" si="41"/>
        <v>4</v>
      </c>
      <c r="I338" s="115">
        <v>41599</v>
      </c>
      <c r="J338" s="109">
        <f t="shared" si="44"/>
        <v>4</v>
      </c>
      <c r="K338" s="108">
        <f t="shared" si="42"/>
        <v>41963</v>
      </c>
      <c r="L338" s="109">
        <f t="shared" si="43"/>
        <v>4</v>
      </c>
      <c r="M338" s="110">
        <v>85299.711179397156</v>
      </c>
      <c r="N338" s="110">
        <v>95788.463556254996</v>
      </c>
      <c r="O338" s="110">
        <v>101911.15966458838</v>
      </c>
      <c r="P338" s="110">
        <v>110660.61681004234</v>
      </c>
      <c r="Q338" s="110">
        <v>101102.80392272222</v>
      </c>
      <c r="R338" s="116"/>
      <c r="S338" s="112">
        <v>-663.86211111111118</v>
      </c>
      <c r="T338" s="112">
        <v>-695.54213888888899</v>
      </c>
      <c r="U338" s="112">
        <v>-672.66694444444431</v>
      </c>
      <c r="V338" s="112">
        <v>-139.19688888888896</v>
      </c>
      <c r="W338" s="112">
        <v>-482.13827169444443</v>
      </c>
      <c r="X338" s="112"/>
    </row>
    <row r="339" spans="1:24" x14ac:dyDescent="0.35">
      <c r="A339" s="108">
        <v>40144</v>
      </c>
      <c r="B339" s="109">
        <f t="shared" si="38"/>
        <v>5</v>
      </c>
      <c r="C339" s="108">
        <v>40508</v>
      </c>
      <c r="D339" s="109">
        <f t="shared" si="39"/>
        <v>5</v>
      </c>
      <c r="E339" s="115">
        <v>40872</v>
      </c>
      <c r="F339" s="109">
        <f t="shared" si="40"/>
        <v>5</v>
      </c>
      <c r="G339" s="115">
        <v>41236</v>
      </c>
      <c r="H339" s="109">
        <f t="shared" si="41"/>
        <v>5</v>
      </c>
      <c r="I339" s="115">
        <v>41600</v>
      </c>
      <c r="J339" s="109">
        <f t="shared" si="44"/>
        <v>5</v>
      </c>
      <c r="K339" s="108">
        <f t="shared" si="42"/>
        <v>41964</v>
      </c>
      <c r="L339" s="109">
        <f t="shared" si="43"/>
        <v>5</v>
      </c>
      <c r="M339" s="110">
        <v>84837.91567939712</v>
      </c>
      <c r="N339" s="110">
        <v>95018.79319514391</v>
      </c>
      <c r="O339" s="110">
        <v>101336.4762201439</v>
      </c>
      <c r="P339" s="110">
        <v>110521.41992115346</v>
      </c>
      <c r="Q339" s="110">
        <v>100704.3312005</v>
      </c>
      <c r="R339" s="116"/>
      <c r="S339" s="112">
        <v>-461.7955</v>
      </c>
      <c r="T339" s="112">
        <v>-762.53680555555559</v>
      </c>
      <c r="U339" s="112">
        <v>-655.65319444444469</v>
      </c>
      <c r="V339" s="112">
        <v>-5.1811666666666616</v>
      </c>
      <c r="W339" s="112">
        <v>-398.47270322222215</v>
      </c>
      <c r="X339" s="112"/>
    </row>
    <row r="340" spans="1:24" x14ac:dyDescent="0.35">
      <c r="A340" s="108">
        <v>40145</v>
      </c>
      <c r="B340" s="109">
        <f t="shared" si="38"/>
        <v>6</v>
      </c>
      <c r="C340" s="108">
        <v>40509</v>
      </c>
      <c r="D340" s="109">
        <f t="shared" si="39"/>
        <v>6</v>
      </c>
      <c r="E340" s="115">
        <v>40873</v>
      </c>
      <c r="F340" s="109">
        <f t="shared" si="40"/>
        <v>6</v>
      </c>
      <c r="G340" s="115">
        <v>41237</v>
      </c>
      <c r="H340" s="109">
        <f t="shared" si="41"/>
        <v>6</v>
      </c>
      <c r="I340" s="115">
        <v>41601</v>
      </c>
      <c r="J340" s="109">
        <f t="shared" si="44"/>
        <v>6</v>
      </c>
      <c r="K340" s="108">
        <f t="shared" si="42"/>
        <v>41965</v>
      </c>
      <c r="L340" s="109">
        <f t="shared" si="43"/>
        <v>6</v>
      </c>
      <c r="M340" s="110">
        <v>84825.863401619339</v>
      </c>
      <c r="N340" s="110">
        <v>94628.679667366116</v>
      </c>
      <c r="O340" s="110">
        <v>100919.45769236614</v>
      </c>
      <c r="P340" s="110">
        <v>110516.23875448681</v>
      </c>
      <c r="Q340" s="110">
        <v>100461.32522827778</v>
      </c>
      <c r="R340" s="116"/>
      <c r="S340" s="112">
        <v>-12.05227777777773</v>
      </c>
      <c r="T340" s="112">
        <v>-390.11352777777779</v>
      </c>
      <c r="U340" s="112">
        <v>-574.68344444444472</v>
      </c>
      <c r="V340" s="112">
        <v>-32.95752777777777</v>
      </c>
      <c r="W340" s="112">
        <v>-243.00598230555556</v>
      </c>
      <c r="X340" s="112"/>
    </row>
    <row r="341" spans="1:24" x14ac:dyDescent="0.35">
      <c r="A341" s="108">
        <v>40146</v>
      </c>
      <c r="B341" s="109">
        <f t="shared" si="38"/>
        <v>7</v>
      </c>
      <c r="C341" s="108">
        <v>40510</v>
      </c>
      <c r="D341" s="109">
        <f t="shared" si="39"/>
        <v>7</v>
      </c>
      <c r="E341" s="115">
        <v>40874</v>
      </c>
      <c r="F341" s="109">
        <f t="shared" si="40"/>
        <v>7</v>
      </c>
      <c r="G341" s="115">
        <v>41238</v>
      </c>
      <c r="H341" s="109">
        <f t="shared" si="41"/>
        <v>7</v>
      </c>
      <c r="I341" s="115">
        <v>41602</v>
      </c>
      <c r="J341" s="109">
        <f t="shared" si="44"/>
        <v>7</v>
      </c>
      <c r="K341" s="108">
        <f t="shared" si="42"/>
        <v>41966</v>
      </c>
      <c r="L341" s="109">
        <f t="shared" si="43"/>
        <v>7</v>
      </c>
      <c r="M341" s="110">
        <v>84884.379790508247</v>
      </c>
      <c r="N341" s="110">
        <v>94438.478472921663</v>
      </c>
      <c r="O341" s="110">
        <v>100479.28688681062</v>
      </c>
      <c r="P341" s="110">
        <v>110483.28122670902</v>
      </c>
      <c r="Q341" s="110">
        <v>100297.62270050001</v>
      </c>
      <c r="R341" s="116"/>
      <c r="S341" s="112">
        <v>58.516388888888891</v>
      </c>
      <c r="T341" s="112">
        <v>-190.20119444444447</v>
      </c>
      <c r="U341" s="112">
        <v>-417.01852777777788</v>
      </c>
      <c r="V341" s="112">
        <v>-192.47474999999997</v>
      </c>
      <c r="W341" s="112">
        <v>-163.70259994444444</v>
      </c>
      <c r="X341" s="112"/>
    </row>
    <row r="342" spans="1:24" x14ac:dyDescent="0.35">
      <c r="A342" s="108">
        <v>40147</v>
      </c>
      <c r="B342" s="109">
        <f t="shared" si="38"/>
        <v>1</v>
      </c>
      <c r="C342" s="108">
        <v>40511</v>
      </c>
      <c r="D342" s="109">
        <f t="shared" si="39"/>
        <v>1</v>
      </c>
      <c r="E342" s="115">
        <v>40875</v>
      </c>
      <c r="F342" s="109">
        <f t="shared" si="40"/>
        <v>1</v>
      </c>
      <c r="G342" s="115">
        <v>41239</v>
      </c>
      <c r="H342" s="109">
        <f t="shared" si="41"/>
        <v>1</v>
      </c>
      <c r="I342" s="115">
        <v>41603</v>
      </c>
      <c r="J342" s="109">
        <f t="shared" si="44"/>
        <v>1</v>
      </c>
      <c r="K342" s="108">
        <f t="shared" si="42"/>
        <v>41967</v>
      </c>
      <c r="L342" s="109">
        <f t="shared" si="43"/>
        <v>1</v>
      </c>
      <c r="M342" s="110">
        <v>84726.081346063831</v>
      </c>
      <c r="N342" s="110">
        <v>93630.077389588376</v>
      </c>
      <c r="O342" s="110">
        <v>99643.845803477234</v>
      </c>
      <c r="P342" s="110">
        <v>110290.8056155979</v>
      </c>
      <c r="Q342" s="110">
        <v>99573.536450500003</v>
      </c>
      <c r="R342" s="116"/>
      <c r="S342" s="112">
        <v>-158.31050000000002</v>
      </c>
      <c r="T342" s="112">
        <v>-802.21483333333333</v>
      </c>
      <c r="U342" s="112">
        <v>-440.1708055555556</v>
      </c>
      <c r="V342" s="112">
        <v>-272.53255555555552</v>
      </c>
      <c r="W342" s="112">
        <v>-724.08618108333337</v>
      </c>
      <c r="X342" s="112"/>
    </row>
    <row r="343" spans="1:24" x14ac:dyDescent="0.35">
      <c r="A343" s="108">
        <v>40148</v>
      </c>
      <c r="B343" s="109">
        <f t="shared" si="38"/>
        <v>2</v>
      </c>
      <c r="C343" s="108">
        <v>40512</v>
      </c>
      <c r="D343" s="109">
        <f t="shared" si="39"/>
        <v>2</v>
      </c>
      <c r="E343" s="115">
        <v>40876</v>
      </c>
      <c r="F343" s="109">
        <f t="shared" si="40"/>
        <v>2</v>
      </c>
      <c r="G343" s="115">
        <v>41240</v>
      </c>
      <c r="H343" s="109">
        <f t="shared" si="41"/>
        <v>2</v>
      </c>
      <c r="I343" s="115">
        <v>41604</v>
      </c>
      <c r="J343" s="109">
        <f t="shared" si="44"/>
        <v>2</v>
      </c>
      <c r="K343" s="108">
        <f t="shared" si="42"/>
        <v>41968</v>
      </c>
      <c r="L343" s="109">
        <f t="shared" si="43"/>
        <v>2</v>
      </c>
      <c r="M343" s="110">
        <v>84540.598707174926</v>
      </c>
      <c r="N343" s="110">
        <v>93516.566528477226</v>
      </c>
      <c r="O343" s="110">
        <v>98829.959053477229</v>
      </c>
      <c r="P343" s="110">
        <v>110018.27225448682</v>
      </c>
      <c r="Q343" s="110">
        <v>98652.144922722233</v>
      </c>
      <c r="R343" s="116"/>
      <c r="S343" s="112">
        <v>-185.48263888888889</v>
      </c>
      <c r="T343" s="112">
        <v>-944.58766666666668</v>
      </c>
      <c r="U343" s="112">
        <v>-835.44108333333327</v>
      </c>
      <c r="V343" s="112">
        <v>-264.02969444444443</v>
      </c>
      <c r="W343" s="112">
        <v>-928.96342430555558</v>
      </c>
      <c r="X343" s="112"/>
    </row>
    <row r="344" spans="1:24" x14ac:dyDescent="0.35">
      <c r="A344" s="108">
        <v>40149</v>
      </c>
      <c r="B344" s="109">
        <f t="shared" si="38"/>
        <v>3</v>
      </c>
      <c r="C344" s="108">
        <v>40513</v>
      </c>
      <c r="D344" s="109">
        <f t="shared" si="39"/>
        <v>3</v>
      </c>
      <c r="E344" s="115">
        <v>40877</v>
      </c>
      <c r="F344" s="109">
        <f t="shared" si="40"/>
        <v>3</v>
      </c>
      <c r="G344" s="115">
        <v>41241</v>
      </c>
      <c r="H344" s="109">
        <f t="shared" si="41"/>
        <v>3</v>
      </c>
      <c r="I344" s="115">
        <v>41605</v>
      </c>
      <c r="J344" s="109">
        <f t="shared" si="44"/>
        <v>3</v>
      </c>
      <c r="K344" s="108">
        <f t="shared" si="42"/>
        <v>41969</v>
      </c>
      <c r="L344" s="109">
        <f t="shared" si="43"/>
        <v>3</v>
      </c>
      <c r="M344" s="110">
        <v>84277.709846063852</v>
      </c>
      <c r="N344" s="110">
        <v>92741.116334032791</v>
      </c>
      <c r="O344" s="110">
        <v>98571.95958125504</v>
      </c>
      <c r="P344" s="110">
        <v>109754.24256004236</v>
      </c>
      <c r="Q344" s="110">
        <v>97458.928561611116</v>
      </c>
      <c r="R344" s="116"/>
      <c r="S344" s="112">
        <v>-262.88886111111111</v>
      </c>
      <c r="T344" s="112">
        <v>-764.86024999999995</v>
      </c>
      <c r="U344" s="112">
        <v>-813.88675000000012</v>
      </c>
      <c r="V344" s="112">
        <v>-112.25641666666668</v>
      </c>
      <c r="W344" s="112">
        <v>-1193.2164165833333</v>
      </c>
      <c r="X344" s="112"/>
    </row>
    <row r="345" spans="1:24" x14ac:dyDescent="0.35">
      <c r="A345" s="108">
        <v>40150</v>
      </c>
      <c r="B345" s="109">
        <f t="shared" si="38"/>
        <v>4</v>
      </c>
      <c r="C345" s="108">
        <v>40514</v>
      </c>
      <c r="D345" s="109">
        <f t="shared" si="39"/>
        <v>4</v>
      </c>
      <c r="E345" s="115">
        <v>40878</v>
      </c>
      <c r="F345" s="109">
        <f t="shared" si="40"/>
        <v>4</v>
      </c>
      <c r="G345" s="115">
        <v>41242</v>
      </c>
      <c r="H345" s="109">
        <f t="shared" si="41"/>
        <v>4</v>
      </c>
      <c r="I345" s="115">
        <v>41606</v>
      </c>
      <c r="J345" s="109">
        <f t="shared" si="44"/>
        <v>4</v>
      </c>
      <c r="K345" s="108">
        <f t="shared" si="42"/>
        <v>41970</v>
      </c>
      <c r="L345" s="109">
        <f t="shared" si="43"/>
        <v>4</v>
      </c>
      <c r="M345" s="110">
        <v>83425.339096063821</v>
      </c>
      <c r="N345" s="110">
        <v>91844.158750699484</v>
      </c>
      <c r="O345" s="110">
        <v>97617.736997921704</v>
      </c>
      <c r="P345" s="110">
        <v>109614.42161559791</v>
      </c>
      <c r="Q345" s="110">
        <v>96538.589728277773</v>
      </c>
      <c r="R345" s="116"/>
      <c r="S345" s="112">
        <v>-852.20205555555549</v>
      </c>
      <c r="T345" s="112">
        <v>-884.23502777777776</v>
      </c>
      <c r="U345" s="112">
        <v>-922.19061111111091</v>
      </c>
      <c r="V345" s="112">
        <v>-184.99838888888888</v>
      </c>
      <c r="W345" s="112">
        <v>-920.33894922222214</v>
      </c>
      <c r="X345" s="112"/>
    </row>
    <row r="346" spans="1:24" x14ac:dyDescent="0.35">
      <c r="A346" s="108">
        <v>40151</v>
      </c>
      <c r="B346" s="109">
        <f t="shared" si="38"/>
        <v>5</v>
      </c>
      <c r="C346" s="108">
        <v>40515</v>
      </c>
      <c r="D346" s="109">
        <f t="shared" si="39"/>
        <v>5</v>
      </c>
      <c r="E346" s="115">
        <v>40879</v>
      </c>
      <c r="F346" s="109">
        <f t="shared" si="40"/>
        <v>5</v>
      </c>
      <c r="G346" s="115">
        <v>41243</v>
      </c>
      <c r="H346" s="109">
        <f t="shared" si="41"/>
        <v>5</v>
      </c>
      <c r="I346" s="115">
        <v>41607</v>
      </c>
      <c r="J346" s="109">
        <f t="shared" si="44"/>
        <v>5</v>
      </c>
      <c r="K346" s="108">
        <f t="shared" si="42"/>
        <v>41971</v>
      </c>
      <c r="L346" s="109">
        <f t="shared" si="43"/>
        <v>5</v>
      </c>
      <c r="M346" s="110">
        <v>82114.215123841641</v>
      </c>
      <c r="N346" s="110">
        <v>91016.87222292168</v>
      </c>
      <c r="O346" s="110">
        <v>96885.895831255039</v>
      </c>
      <c r="P346" s="110">
        <v>109429.42322670901</v>
      </c>
      <c r="Q346" s="110">
        <v>95967.181033833345</v>
      </c>
      <c r="R346" s="116"/>
      <c r="S346" s="112">
        <v>-1308.8058333333333</v>
      </c>
      <c r="T346" s="112">
        <v>-814.04941666666662</v>
      </c>
      <c r="U346" s="112">
        <v>-954.22258333333343</v>
      </c>
      <c r="V346" s="112">
        <v>-246.99072222222216</v>
      </c>
      <c r="W346" s="112">
        <v>-571.40887288888894</v>
      </c>
      <c r="X346" s="112"/>
    </row>
    <row r="347" spans="1:24" x14ac:dyDescent="0.35">
      <c r="A347" s="108">
        <v>40152</v>
      </c>
      <c r="B347" s="109">
        <f t="shared" si="38"/>
        <v>6</v>
      </c>
      <c r="C347" s="108">
        <v>40516</v>
      </c>
      <c r="D347" s="109">
        <f t="shared" si="39"/>
        <v>6</v>
      </c>
      <c r="E347" s="115">
        <v>40880</v>
      </c>
      <c r="F347" s="109">
        <f t="shared" si="40"/>
        <v>6</v>
      </c>
      <c r="G347" s="115">
        <v>41244</v>
      </c>
      <c r="H347" s="109">
        <f t="shared" si="41"/>
        <v>6</v>
      </c>
      <c r="I347" s="115">
        <v>41608</v>
      </c>
      <c r="J347" s="109">
        <f t="shared" si="44"/>
        <v>6</v>
      </c>
      <c r="K347" s="108">
        <f t="shared" si="42"/>
        <v>41972</v>
      </c>
      <c r="L347" s="109">
        <f t="shared" si="43"/>
        <v>6</v>
      </c>
      <c r="M347" s="110">
        <v>81369.592540508282</v>
      </c>
      <c r="N347" s="110">
        <v>90595.702250699484</v>
      </c>
      <c r="O347" s="110">
        <v>96548.702970143961</v>
      </c>
      <c r="P347" s="110">
        <v>109182.43250448682</v>
      </c>
      <c r="Q347" s="110">
        <v>95431.981561611115</v>
      </c>
      <c r="R347" s="116"/>
      <c r="S347" s="112">
        <v>-741.58883333333324</v>
      </c>
      <c r="T347" s="112">
        <v>-408.16719444444442</v>
      </c>
      <c r="U347" s="112">
        <v>-731.8411666666666</v>
      </c>
      <c r="V347" s="112">
        <v>-185.66522222222221</v>
      </c>
      <c r="W347" s="112">
        <v>-535.19951191666667</v>
      </c>
      <c r="X347" s="112"/>
    </row>
    <row r="348" spans="1:24" x14ac:dyDescent="0.35">
      <c r="A348" s="108">
        <v>40153</v>
      </c>
      <c r="B348" s="109">
        <f t="shared" si="38"/>
        <v>7</v>
      </c>
      <c r="C348" s="108">
        <v>40517</v>
      </c>
      <c r="D348" s="109">
        <f t="shared" si="39"/>
        <v>7</v>
      </c>
      <c r="E348" s="115">
        <v>40881</v>
      </c>
      <c r="F348" s="109">
        <f t="shared" si="40"/>
        <v>7</v>
      </c>
      <c r="G348" s="115">
        <v>41245</v>
      </c>
      <c r="H348" s="109">
        <f t="shared" si="41"/>
        <v>7</v>
      </c>
      <c r="I348" s="115">
        <v>41609</v>
      </c>
      <c r="J348" s="109">
        <f t="shared" si="44"/>
        <v>7</v>
      </c>
      <c r="K348" s="108">
        <f t="shared" si="42"/>
        <v>41973</v>
      </c>
      <c r="L348" s="109">
        <f t="shared" si="43"/>
        <v>7</v>
      </c>
      <c r="M348" s="110">
        <v>80626.809818286056</v>
      </c>
      <c r="N348" s="110">
        <v>90048.882611810579</v>
      </c>
      <c r="O348" s="110">
        <v>96295.160331254985</v>
      </c>
      <c r="P348" s="110">
        <v>108996.76728226454</v>
      </c>
      <c r="Q348" s="110">
        <v>95108.994922722224</v>
      </c>
      <c r="R348" s="116"/>
      <c r="S348" s="112">
        <v>-739.71124999999995</v>
      </c>
      <c r="T348" s="112">
        <v>-533.60791666666671</v>
      </c>
      <c r="U348" s="112">
        <v>-337.1928611111112</v>
      </c>
      <c r="V348" s="112">
        <v>-609.37950000000035</v>
      </c>
      <c r="W348" s="112">
        <v>-322.98666725000004</v>
      </c>
      <c r="X348" s="112"/>
    </row>
    <row r="349" spans="1:24" x14ac:dyDescent="0.35">
      <c r="A349" s="108">
        <v>40154</v>
      </c>
      <c r="B349" s="109">
        <f t="shared" si="38"/>
        <v>1</v>
      </c>
      <c r="C349" s="108">
        <v>40518</v>
      </c>
      <c r="D349" s="109">
        <f t="shared" si="39"/>
        <v>1</v>
      </c>
      <c r="E349" s="115">
        <v>40882</v>
      </c>
      <c r="F349" s="109">
        <f t="shared" si="40"/>
        <v>1</v>
      </c>
      <c r="G349" s="115">
        <v>41246</v>
      </c>
      <c r="H349" s="109">
        <f t="shared" si="41"/>
        <v>1</v>
      </c>
      <c r="I349" s="115">
        <v>41610</v>
      </c>
      <c r="J349" s="109">
        <f t="shared" si="44"/>
        <v>1</v>
      </c>
      <c r="K349" s="108">
        <f t="shared" si="42"/>
        <v>41974</v>
      </c>
      <c r="L349" s="109">
        <f t="shared" si="43"/>
        <v>1</v>
      </c>
      <c r="M349" s="110">
        <v>79792.83520717494</v>
      </c>
      <c r="N349" s="110">
        <v>89115.462861810578</v>
      </c>
      <c r="O349" s="110">
        <v>95673.49330347724</v>
      </c>
      <c r="P349" s="110">
        <v>108387.38778226457</v>
      </c>
      <c r="Q349" s="110">
        <v>94379.246249999997</v>
      </c>
      <c r="R349" s="116"/>
      <c r="S349" s="112">
        <v>-830.50066666666669</v>
      </c>
      <c r="T349" s="112">
        <v>-921.70697222222225</v>
      </c>
      <c r="U349" s="112">
        <v>-253.54263888888889</v>
      </c>
      <c r="V349" s="112">
        <v>-723.15661111111103</v>
      </c>
      <c r="W349" s="112">
        <v>-729.74856266666666</v>
      </c>
      <c r="X349" s="112"/>
    </row>
    <row r="350" spans="1:24" x14ac:dyDescent="0.35">
      <c r="A350" s="108">
        <v>40155</v>
      </c>
      <c r="B350" s="109">
        <f t="shared" si="38"/>
        <v>2</v>
      </c>
      <c r="C350" s="108">
        <v>40519</v>
      </c>
      <c r="D350" s="109">
        <f t="shared" si="39"/>
        <v>2</v>
      </c>
      <c r="E350" s="115">
        <v>40883</v>
      </c>
      <c r="F350" s="109">
        <f t="shared" si="40"/>
        <v>2</v>
      </c>
      <c r="G350" s="115">
        <v>41247</v>
      </c>
      <c r="H350" s="109">
        <f t="shared" si="41"/>
        <v>2</v>
      </c>
      <c r="I350" s="115">
        <v>41611</v>
      </c>
      <c r="J350" s="109">
        <f t="shared" si="44"/>
        <v>2</v>
      </c>
      <c r="K350" s="108">
        <f t="shared" si="42"/>
        <v>41975</v>
      </c>
      <c r="L350" s="109">
        <f t="shared" si="43"/>
        <v>2</v>
      </c>
      <c r="M350" s="110">
        <v>79350.163762730474</v>
      </c>
      <c r="N350" s="110">
        <v>88323.791445143885</v>
      </c>
      <c r="O350" s="110">
        <v>94964.884581255013</v>
      </c>
      <c r="P350" s="110">
        <v>107664.22489337568</v>
      </c>
      <c r="Q350" s="110">
        <v>93768.604694444439</v>
      </c>
      <c r="R350" s="116"/>
      <c r="S350" s="112">
        <v>-440.21363888888891</v>
      </c>
      <c r="T350" s="112">
        <v>-780.14966666666658</v>
      </c>
      <c r="U350" s="112">
        <v>-621.66702777777789</v>
      </c>
      <c r="V350" s="112">
        <v>-791.31916666666689</v>
      </c>
      <c r="W350" s="112">
        <v>-610.64148294444442</v>
      </c>
      <c r="X350" s="112"/>
    </row>
    <row r="351" spans="1:24" x14ac:dyDescent="0.35">
      <c r="A351" s="108">
        <v>40156</v>
      </c>
      <c r="B351" s="109">
        <f t="shared" si="38"/>
        <v>3</v>
      </c>
      <c r="C351" s="108">
        <v>40520</v>
      </c>
      <c r="D351" s="109">
        <f t="shared" si="39"/>
        <v>3</v>
      </c>
      <c r="E351" s="115">
        <v>40884</v>
      </c>
      <c r="F351" s="109">
        <f t="shared" si="40"/>
        <v>3</v>
      </c>
      <c r="G351" s="115">
        <v>41248</v>
      </c>
      <c r="H351" s="109">
        <f t="shared" si="41"/>
        <v>3</v>
      </c>
      <c r="I351" s="115">
        <v>41612</v>
      </c>
      <c r="J351" s="109">
        <f t="shared" si="44"/>
        <v>3</v>
      </c>
      <c r="K351" s="108">
        <f t="shared" si="42"/>
        <v>41976</v>
      </c>
      <c r="L351" s="109">
        <f t="shared" si="43"/>
        <v>3</v>
      </c>
      <c r="M351" s="110">
        <v>78812.976957174935</v>
      </c>
      <c r="N351" s="110">
        <v>88209.80483403281</v>
      </c>
      <c r="O351" s="110">
        <v>94232.175720143903</v>
      </c>
      <c r="P351" s="110">
        <v>106872.90011559789</v>
      </c>
      <c r="Q351" s="110">
        <v>93058.501083333322</v>
      </c>
      <c r="R351" s="116"/>
      <c r="S351" s="112">
        <v>-579.12313888888889</v>
      </c>
      <c r="T351" s="112">
        <v>-108.27511111111112</v>
      </c>
      <c r="U351" s="112">
        <v>-708.60872222222235</v>
      </c>
      <c r="V351" s="112">
        <v>-810.11244444444435</v>
      </c>
      <c r="W351" s="112">
        <v>-710.10369052777776</v>
      </c>
      <c r="X351" s="112"/>
    </row>
    <row r="352" spans="1:24" x14ac:dyDescent="0.35">
      <c r="A352" s="108">
        <v>40157</v>
      </c>
      <c r="B352" s="109">
        <f t="shared" si="38"/>
        <v>4</v>
      </c>
      <c r="C352" s="108">
        <v>40521</v>
      </c>
      <c r="D352" s="109">
        <f t="shared" si="39"/>
        <v>4</v>
      </c>
      <c r="E352" s="115">
        <v>40885</v>
      </c>
      <c r="F352" s="109">
        <f t="shared" si="40"/>
        <v>4</v>
      </c>
      <c r="G352" s="115">
        <v>41249</v>
      </c>
      <c r="H352" s="109">
        <f t="shared" si="41"/>
        <v>4</v>
      </c>
      <c r="I352" s="115">
        <v>41613</v>
      </c>
      <c r="J352" s="109">
        <f t="shared" si="44"/>
        <v>4</v>
      </c>
      <c r="K352" s="108">
        <f t="shared" si="42"/>
        <v>41977</v>
      </c>
      <c r="L352" s="109">
        <f t="shared" si="43"/>
        <v>4</v>
      </c>
      <c r="M352" s="110">
        <v>78459.908540508288</v>
      </c>
      <c r="N352" s="110">
        <v>87826.428417366187</v>
      </c>
      <c r="O352" s="110">
        <v>93960.771247921672</v>
      </c>
      <c r="P352" s="110">
        <v>106062.78375448681</v>
      </c>
      <c r="Q352" s="110">
        <v>92344.401555555567</v>
      </c>
      <c r="R352" s="116"/>
      <c r="S352" s="112">
        <v>-351.78791666666666</v>
      </c>
      <c r="T352" s="112">
        <v>-380.37597222222223</v>
      </c>
      <c r="U352" s="112">
        <v>-732.70886111111145</v>
      </c>
      <c r="V352" s="112">
        <v>-950.02644444444479</v>
      </c>
      <c r="W352" s="112">
        <v>-714.09954502777782</v>
      </c>
      <c r="X352" s="112"/>
    </row>
    <row r="353" spans="1:24" x14ac:dyDescent="0.35">
      <c r="A353" s="108">
        <v>40158</v>
      </c>
      <c r="B353" s="109">
        <f t="shared" si="38"/>
        <v>5</v>
      </c>
      <c r="C353" s="108">
        <v>40522</v>
      </c>
      <c r="D353" s="109">
        <f t="shared" si="39"/>
        <v>5</v>
      </c>
      <c r="E353" s="115">
        <v>40886</v>
      </c>
      <c r="F353" s="109">
        <f t="shared" si="40"/>
        <v>5</v>
      </c>
      <c r="G353" s="115">
        <v>41250</v>
      </c>
      <c r="H353" s="109">
        <f t="shared" si="41"/>
        <v>5</v>
      </c>
      <c r="I353" s="115">
        <v>41614</v>
      </c>
      <c r="J353" s="109">
        <f t="shared" si="44"/>
        <v>5</v>
      </c>
      <c r="K353" s="108">
        <f t="shared" si="42"/>
        <v>41978</v>
      </c>
      <c r="L353" s="109">
        <f t="shared" si="43"/>
        <v>5</v>
      </c>
      <c r="M353" s="110">
        <v>78009.475707174977</v>
      </c>
      <c r="N353" s="110">
        <v>87341.792695143915</v>
      </c>
      <c r="O353" s="110">
        <v>93426.293664588331</v>
      </c>
      <c r="P353" s="110">
        <v>105112.75239337572</v>
      </c>
      <c r="Q353" s="110">
        <v>91817.917499999996</v>
      </c>
      <c r="R353" s="116"/>
      <c r="S353" s="112">
        <v>-446.67449999999997</v>
      </c>
      <c r="T353" s="112">
        <v>-477.51547222222223</v>
      </c>
      <c r="U353" s="112">
        <v>-271.40447222222207</v>
      </c>
      <c r="V353" s="112">
        <v>-566.59411111111115</v>
      </c>
      <c r="W353" s="112">
        <v>-526.48403255555547</v>
      </c>
      <c r="X353" s="112"/>
    </row>
    <row r="354" spans="1:24" x14ac:dyDescent="0.35">
      <c r="A354" s="108">
        <v>40159</v>
      </c>
      <c r="B354" s="109">
        <f t="shared" si="38"/>
        <v>6</v>
      </c>
      <c r="C354" s="108">
        <v>40523</v>
      </c>
      <c r="D354" s="109">
        <f t="shared" si="39"/>
        <v>6</v>
      </c>
      <c r="E354" s="115">
        <v>40887</v>
      </c>
      <c r="F354" s="109">
        <f t="shared" si="40"/>
        <v>6</v>
      </c>
      <c r="G354" s="115">
        <v>41251</v>
      </c>
      <c r="H354" s="109">
        <f t="shared" si="41"/>
        <v>6</v>
      </c>
      <c r="I354" s="115">
        <v>41615</v>
      </c>
      <c r="J354" s="109">
        <f t="shared" si="44"/>
        <v>6</v>
      </c>
      <c r="K354" s="108">
        <f t="shared" si="42"/>
        <v>41979</v>
      </c>
      <c r="L354" s="109">
        <f t="shared" si="43"/>
        <v>6</v>
      </c>
      <c r="M354" s="110">
        <v>77698.386679397183</v>
      </c>
      <c r="N354" s="110">
        <v>87026.375584032794</v>
      </c>
      <c r="O354" s="110">
        <v>93110.035636810542</v>
      </c>
      <c r="P354" s="110">
        <v>104546.15828226457</v>
      </c>
      <c r="Q354" s="110">
        <v>91383.19052777777</v>
      </c>
      <c r="R354" s="116"/>
      <c r="S354" s="112">
        <v>-306.88863888888892</v>
      </c>
      <c r="T354" s="112">
        <v>-304.37216666666666</v>
      </c>
      <c r="U354" s="112">
        <v>-534.47758333333343</v>
      </c>
      <c r="V354" s="112">
        <v>-677.96966666666697</v>
      </c>
      <c r="W354" s="112">
        <v>-434.72696636111107</v>
      </c>
      <c r="X354" s="112"/>
    </row>
    <row r="355" spans="1:24" x14ac:dyDescent="0.35">
      <c r="A355" s="108">
        <v>40160</v>
      </c>
      <c r="B355" s="109">
        <f t="shared" si="38"/>
        <v>7</v>
      </c>
      <c r="C355" s="108">
        <v>40524</v>
      </c>
      <c r="D355" s="109">
        <f t="shared" si="39"/>
        <v>7</v>
      </c>
      <c r="E355" s="115">
        <v>40888</v>
      </c>
      <c r="F355" s="109">
        <f t="shared" si="40"/>
        <v>7</v>
      </c>
      <c r="G355" s="115">
        <v>41252</v>
      </c>
      <c r="H355" s="109">
        <f t="shared" si="41"/>
        <v>7</v>
      </c>
      <c r="I355" s="115">
        <v>41616</v>
      </c>
      <c r="J355" s="109">
        <f t="shared" si="44"/>
        <v>7</v>
      </c>
      <c r="K355" s="108">
        <f t="shared" si="42"/>
        <v>41980</v>
      </c>
      <c r="L355" s="109">
        <f t="shared" si="43"/>
        <v>7</v>
      </c>
      <c r="M355" s="110">
        <v>77303.571846063831</v>
      </c>
      <c r="N355" s="110">
        <v>86654.216167366118</v>
      </c>
      <c r="O355" s="110">
        <v>92783.936942366126</v>
      </c>
      <c r="P355" s="110">
        <v>103868.18861559793</v>
      </c>
      <c r="Q355" s="110">
        <v>90981.450916666668</v>
      </c>
      <c r="R355" s="116"/>
      <c r="S355" s="112">
        <v>-390.52347222222221</v>
      </c>
      <c r="T355" s="112">
        <v>-359.16602777777774</v>
      </c>
      <c r="U355" s="112">
        <v>-316.25802777777773</v>
      </c>
      <c r="V355" s="112">
        <v>-1181.4303888888885</v>
      </c>
      <c r="W355" s="112">
        <v>-401.73967691666667</v>
      </c>
      <c r="X355" s="112"/>
    </row>
    <row r="356" spans="1:24" x14ac:dyDescent="0.35">
      <c r="A356" s="108">
        <v>40161</v>
      </c>
      <c r="B356" s="109">
        <f t="shared" ref="B356:B374" si="45">WEEKDAY(A356,2)</f>
        <v>1</v>
      </c>
      <c r="C356" s="108">
        <v>40525</v>
      </c>
      <c r="D356" s="109">
        <f t="shared" si="39"/>
        <v>1</v>
      </c>
      <c r="E356" s="115">
        <v>40889</v>
      </c>
      <c r="F356" s="109">
        <f t="shared" si="40"/>
        <v>1</v>
      </c>
      <c r="G356" s="115">
        <v>41253</v>
      </c>
      <c r="H356" s="109">
        <f t="shared" si="41"/>
        <v>1</v>
      </c>
      <c r="I356" s="115">
        <v>41617</v>
      </c>
      <c r="J356" s="109">
        <f t="shared" si="44"/>
        <v>1</v>
      </c>
      <c r="K356" s="108">
        <f t="shared" si="42"/>
        <v>41981</v>
      </c>
      <c r="L356" s="109">
        <f t="shared" si="43"/>
        <v>1</v>
      </c>
      <c r="M356" s="110">
        <v>76258.784290508294</v>
      </c>
      <c r="N356" s="110">
        <v>85621.055278477288</v>
      </c>
      <c r="O356" s="110">
        <v>92081.889386810552</v>
      </c>
      <c r="P356" s="110">
        <v>102686.75703226461</v>
      </c>
      <c r="Q356" s="110">
        <v>90027.307478277784</v>
      </c>
      <c r="R356" s="116"/>
      <c r="S356" s="112">
        <v>-1040.0894444444446</v>
      </c>
      <c r="T356" s="112">
        <v>-1020.0016666666667</v>
      </c>
      <c r="U356" s="112">
        <v>-326.09869444444445</v>
      </c>
      <c r="V356" s="112">
        <v>-1237.4663888888888</v>
      </c>
      <c r="W356" s="112">
        <v>-954.14344444444453</v>
      </c>
      <c r="X356" s="112"/>
    </row>
    <row r="357" spans="1:24" x14ac:dyDescent="0.35">
      <c r="A357" s="108">
        <v>40162</v>
      </c>
      <c r="B357" s="109">
        <f t="shared" si="45"/>
        <v>2</v>
      </c>
      <c r="C357" s="108">
        <v>40526</v>
      </c>
      <c r="D357" s="109">
        <f t="shared" ref="D357:D375" si="46">WEEKDAY(C357,2)</f>
        <v>2</v>
      </c>
      <c r="E357" s="115">
        <v>40890</v>
      </c>
      <c r="F357" s="109">
        <f t="shared" si="40"/>
        <v>2</v>
      </c>
      <c r="G357" s="115">
        <v>41254</v>
      </c>
      <c r="H357" s="109">
        <f t="shared" si="41"/>
        <v>2</v>
      </c>
      <c r="I357" s="115">
        <v>41618</v>
      </c>
      <c r="J357" s="109">
        <f t="shared" si="44"/>
        <v>2</v>
      </c>
      <c r="K357" s="108">
        <f t="shared" si="42"/>
        <v>41982</v>
      </c>
      <c r="L357" s="109">
        <f t="shared" si="43"/>
        <v>2</v>
      </c>
      <c r="M357" s="110">
        <v>75011.182429397173</v>
      </c>
      <c r="N357" s="110">
        <v>84311.474084032845</v>
      </c>
      <c r="O357" s="110">
        <v>91321.844414588355</v>
      </c>
      <c r="P357" s="110">
        <v>101449.28961559793</v>
      </c>
      <c r="Q357" s="110">
        <v>89275.637228277774</v>
      </c>
      <c r="R357" s="116"/>
      <c r="S357" s="112">
        <v>-1243.1873888888888</v>
      </c>
      <c r="T357" s="112">
        <v>-1296.6558611111111</v>
      </c>
      <c r="U357" s="112">
        <v>-702.0475555555555</v>
      </c>
      <c r="V357" s="112">
        <v>-1444.0677500000004</v>
      </c>
      <c r="W357" s="112">
        <v>-751.67024174999995</v>
      </c>
      <c r="X357" s="112"/>
    </row>
    <row r="358" spans="1:24" x14ac:dyDescent="0.35">
      <c r="A358" s="108">
        <v>40163</v>
      </c>
      <c r="B358" s="109">
        <f t="shared" si="45"/>
        <v>3</v>
      </c>
      <c r="C358" s="108">
        <v>40527</v>
      </c>
      <c r="D358" s="109">
        <f t="shared" si="46"/>
        <v>3</v>
      </c>
      <c r="E358" s="115">
        <v>40891</v>
      </c>
      <c r="F358" s="109">
        <f t="shared" ref="F358:F378" si="47">WEEKDAY(E358,2)</f>
        <v>3</v>
      </c>
      <c r="G358" s="115">
        <v>41255</v>
      </c>
      <c r="H358" s="109">
        <f t="shared" si="41"/>
        <v>3</v>
      </c>
      <c r="I358" s="115">
        <v>41619</v>
      </c>
      <c r="J358" s="109">
        <f t="shared" si="44"/>
        <v>3</v>
      </c>
      <c r="K358" s="108">
        <f t="shared" si="42"/>
        <v>41983</v>
      </c>
      <c r="L358" s="109">
        <f t="shared" si="43"/>
        <v>3</v>
      </c>
      <c r="M358" s="110">
        <v>73811.130401619375</v>
      </c>
      <c r="N358" s="110">
        <v>82547.44011181056</v>
      </c>
      <c r="O358" s="110">
        <v>90503.95074792167</v>
      </c>
      <c r="P358" s="110">
        <v>100005.22133782013</v>
      </c>
      <c r="Q358" s="110">
        <v>88468.482367166667</v>
      </c>
      <c r="R358" s="116"/>
      <c r="S358" s="112">
        <v>-1195.5769444444445</v>
      </c>
      <c r="T358" s="112">
        <v>-1750.8966944444437</v>
      </c>
      <c r="U358" s="112">
        <v>-760.04497222222233</v>
      </c>
      <c r="V358" s="112">
        <v>-1434.5593055555551</v>
      </c>
      <c r="W358" s="112">
        <v>-807.15486661111106</v>
      </c>
      <c r="X358" s="112"/>
    </row>
    <row r="359" spans="1:24" x14ac:dyDescent="0.35">
      <c r="A359" s="108">
        <v>40164</v>
      </c>
      <c r="B359" s="109">
        <f t="shared" si="45"/>
        <v>4</v>
      </c>
      <c r="C359" s="108">
        <v>40528</v>
      </c>
      <c r="D359" s="109">
        <f t="shared" si="46"/>
        <v>4</v>
      </c>
      <c r="E359" s="115">
        <v>40892</v>
      </c>
      <c r="F359" s="109">
        <f t="shared" si="47"/>
        <v>4</v>
      </c>
      <c r="G359" s="115">
        <v>41256</v>
      </c>
      <c r="H359" s="109">
        <f t="shared" si="41"/>
        <v>4</v>
      </c>
      <c r="I359" s="115">
        <v>41620</v>
      </c>
      <c r="J359" s="109">
        <f t="shared" si="44"/>
        <v>4</v>
      </c>
      <c r="K359" s="108">
        <f t="shared" si="42"/>
        <v>41984</v>
      </c>
      <c r="L359" s="109">
        <f t="shared" si="43"/>
        <v>4</v>
      </c>
      <c r="M359" s="110">
        <v>72403.943790508245</v>
      </c>
      <c r="N359" s="110">
        <v>80805.098222921719</v>
      </c>
      <c r="O359" s="110">
        <v>89709.00885903278</v>
      </c>
      <c r="P359" s="110">
        <v>98570.662032264532</v>
      </c>
      <c r="Q359" s="110">
        <v>87657.87892272223</v>
      </c>
      <c r="R359" s="116"/>
      <c r="S359" s="112">
        <v>-1402.7262499999999</v>
      </c>
      <c r="T359" s="112">
        <v>-1731.468194444444</v>
      </c>
      <c r="U359" s="112">
        <v>-817.89366666666638</v>
      </c>
      <c r="V359" s="112">
        <v>-1186.43425</v>
      </c>
      <c r="W359" s="112">
        <v>-810.60343566666666</v>
      </c>
      <c r="X359" s="112"/>
    </row>
    <row r="360" spans="1:24" x14ac:dyDescent="0.35">
      <c r="A360" s="108">
        <v>40165</v>
      </c>
      <c r="B360" s="109">
        <f t="shared" si="45"/>
        <v>5</v>
      </c>
      <c r="C360" s="108">
        <v>40529</v>
      </c>
      <c r="D360" s="109">
        <f t="shared" si="46"/>
        <v>5</v>
      </c>
      <c r="E360" s="115">
        <v>40893</v>
      </c>
      <c r="F360" s="109">
        <f t="shared" si="47"/>
        <v>5</v>
      </c>
      <c r="G360" s="115">
        <v>41257</v>
      </c>
      <c r="H360" s="109">
        <f t="shared" ref="H360:H378" si="48">WEEKDAY(G360,2)</f>
        <v>5</v>
      </c>
      <c r="I360" s="115">
        <v>41621</v>
      </c>
      <c r="J360" s="109">
        <f t="shared" si="44"/>
        <v>5</v>
      </c>
      <c r="K360" s="108">
        <f t="shared" si="42"/>
        <v>41985</v>
      </c>
      <c r="L360" s="109">
        <f t="shared" si="43"/>
        <v>5</v>
      </c>
      <c r="M360" s="110">
        <v>71157.16951273047</v>
      </c>
      <c r="N360" s="110">
        <v>78957.706278477257</v>
      </c>
      <c r="O360" s="110">
        <v>88864.119720143892</v>
      </c>
      <c r="P360" s="110">
        <v>97384.226448931266</v>
      </c>
      <c r="Q360" s="110">
        <v>86873.06383938888</v>
      </c>
      <c r="R360" s="116"/>
      <c r="S360" s="112">
        <v>-1242.5754166666666</v>
      </c>
      <c r="T360" s="112">
        <v>-1834.2371666666661</v>
      </c>
      <c r="U360" s="112">
        <v>-794.94188888888868</v>
      </c>
      <c r="V360" s="112">
        <v>-539.58555555555552</v>
      </c>
      <c r="W360" s="112">
        <v>-784.81509855555566</v>
      </c>
      <c r="X360" s="112"/>
    </row>
    <row r="361" spans="1:24" x14ac:dyDescent="0.35">
      <c r="A361" s="108">
        <v>40166</v>
      </c>
      <c r="B361" s="109">
        <f t="shared" si="45"/>
        <v>6</v>
      </c>
      <c r="C361" s="108">
        <v>40530</v>
      </c>
      <c r="D361" s="109">
        <f t="shared" si="46"/>
        <v>6</v>
      </c>
      <c r="E361" s="115">
        <v>40894</v>
      </c>
      <c r="F361" s="109">
        <f t="shared" si="47"/>
        <v>6</v>
      </c>
      <c r="G361" s="115">
        <v>41258</v>
      </c>
      <c r="H361" s="109">
        <f t="shared" si="48"/>
        <v>6</v>
      </c>
      <c r="I361" s="115">
        <v>41622</v>
      </c>
      <c r="J361" s="109">
        <f t="shared" si="44"/>
        <v>6</v>
      </c>
      <c r="K361" s="108">
        <f t="shared" si="42"/>
        <v>41986</v>
      </c>
      <c r="L361" s="109">
        <f t="shared" si="43"/>
        <v>6</v>
      </c>
      <c r="M361" s="110">
        <v>70362.318540508262</v>
      </c>
      <c r="N361" s="110">
        <v>77778.14422292175</v>
      </c>
      <c r="O361" s="110">
        <v>88361.216525699419</v>
      </c>
      <c r="P361" s="110">
        <v>96844.640893375647</v>
      </c>
      <c r="Q361" s="110">
        <v>86431.555117166674</v>
      </c>
      <c r="R361" s="116"/>
      <c r="S361" s="112">
        <v>-790.71033333333344</v>
      </c>
      <c r="T361" s="112">
        <v>-1166.6947499999999</v>
      </c>
      <c r="U361" s="112">
        <v>-845.02802777777777</v>
      </c>
      <c r="V361" s="112">
        <v>-206.14986111111111</v>
      </c>
      <c r="W361" s="112">
        <v>-441.50872558333333</v>
      </c>
      <c r="X361" s="112"/>
    </row>
    <row r="362" spans="1:24" x14ac:dyDescent="0.35">
      <c r="A362" s="108">
        <v>40167</v>
      </c>
      <c r="B362" s="109">
        <f t="shared" si="45"/>
        <v>7</v>
      </c>
      <c r="C362" s="108">
        <v>40531</v>
      </c>
      <c r="D362" s="109">
        <f t="shared" si="46"/>
        <v>7</v>
      </c>
      <c r="E362" s="115">
        <v>40895</v>
      </c>
      <c r="F362" s="109">
        <f t="shared" si="47"/>
        <v>7</v>
      </c>
      <c r="G362" s="115">
        <v>41259</v>
      </c>
      <c r="H362" s="109">
        <f t="shared" si="48"/>
        <v>7</v>
      </c>
      <c r="I362" s="115">
        <v>41623</v>
      </c>
      <c r="J362" s="109">
        <f t="shared" si="44"/>
        <v>7</v>
      </c>
      <c r="K362" s="108">
        <f t="shared" ref="K362:K378" si="49">K361+1</f>
        <v>41987</v>
      </c>
      <c r="L362" s="109">
        <f t="shared" si="43"/>
        <v>7</v>
      </c>
      <c r="M362" s="110">
        <v>69345.008596063824</v>
      </c>
      <c r="N362" s="110">
        <v>76751.757778477273</v>
      </c>
      <c r="O362" s="110">
        <v>87672.40669236613</v>
      </c>
      <c r="P362" s="110">
        <v>96638.491032264603</v>
      </c>
      <c r="Q362" s="110">
        <v>86137.862283833339</v>
      </c>
      <c r="R362" s="116"/>
      <c r="S362" s="112">
        <v>-1012.6249166666668</v>
      </c>
      <c r="T362" s="112">
        <v>-1013.1993611111112</v>
      </c>
      <c r="U362" s="112">
        <v>-502.90319444444435</v>
      </c>
      <c r="V362" s="112">
        <v>-780.54686111111118</v>
      </c>
      <c r="W362" s="112">
        <v>-293.69284066666665</v>
      </c>
      <c r="X362" s="112"/>
    </row>
    <row r="363" spans="1:24" x14ac:dyDescent="0.35">
      <c r="A363" s="108">
        <v>40168</v>
      </c>
      <c r="B363" s="109">
        <f t="shared" si="45"/>
        <v>1</v>
      </c>
      <c r="C363" s="108">
        <v>40532</v>
      </c>
      <c r="D363" s="109">
        <f t="shared" si="46"/>
        <v>1</v>
      </c>
      <c r="E363" s="115">
        <v>40896</v>
      </c>
      <c r="F363" s="109">
        <f t="shared" si="47"/>
        <v>1</v>
      </c>
      <c r="G363" s="115">
        <v>41260</v>
      </c>
      <c r="H363" s="109">
        <f t="shared" si="48"/>
        <v>1</v>
      </c>
      <c r="I363" s="115">
        <v>41624</v>
      </c>
      <c r="J363" s="109">
        <f t="shared" si="44"/>
        <v>1</v>
      </c>
      <c r="K363" s="108">
        <f t="shared" si="49"/>
        <v>41988</v>
      </c>
      <c r="L363" s="109">
        <f t="shared" si="43"/>
        <v>1</v>
      </c>
      <c r="M363" s="110">
        <v>67916.280040508253</v>
      </c>
      <c r="N363" s="110">
        <v>75404.649306255</v>
      </c>
      <c r="O363" s="110">
        <v>86488.979914588344</v>
      </c>
      <c r="P363" s="110">
        <v>95857.925476709075</v>
      </c>
      <c r="Q363" s="110">
        <v>85435.327950499995</v>
      </c>
      <c r="R363" s="116"/>
      <c r="S363" s="112">
        <v>-1424.3182222222222</v>
      </c>
      <c r="T363" s="112">
        <v>-1333.9810555555555</v>
      </c>
      <c r="U363" s="112">
        <v>-688.80983333333313</v>
      </c>
      <c r="V363" s="112">
        <v>-787.58008333333339</v>
      </c>
      <c r="W363" s="112">
        <v>-702.53434091666679</v>
      </c>
      <c r="X363" s="112"/>
    </row>
    <row r="364" spans="1:24" x14ac:dyDescent="0.35">
      <c r="A364" s="108">
        <v>40169</v>
      </c>
      <c r="B364" s="109">
        <f t="shared" si="45"/>
        <v>2</v>
      </c>
      <c r="C364" s="108">
        <v>40533</v>
      </c>
      <c r="D364" s="109">
        <f t="shared" si="46"/>
        <v>2</v>
      </c>
      <c r="E364" s="115">
        <v>40897</v>
      </c>
      <c r="F364" s="109">
        <f t="shared" si="47"/>
        <v>2</v>
      </c>
      <c r="G364" s="115">
        <v>41261</v>
      </c>
      <c r="H364" s="109">
        <f t="shared" si="48"/>
        <v>2</v>
      </c>
      <c r="I364" s="115">
        <v>41625</v>
      </c>
      <c r="J364" s="109">
        <f t="shared" si="44"/>
        <v>2</v>
      </c>
      <c r="K364" s="108">
        <f t="shared" si="49"/>
        <v>41989</v>
      </c>
      <c r="L364" s="109">
        <f t="shared" si="43"/>
        <v>2</v>
      </c>
      <c r="M364" s="110">
        <v>66778.301623841588</v>
      </c>
      <c r="N364" s="110">
        <v>74172.482695143917</v>
      </c>
      <c r="O364" s="110">
        <v>85104.457247921644</v>
      </c>
      <c r="P364" s="110">
        <v>95070.332087820119</v>
      </c>
      <c r="Q364" s="110">
        <v>84605.999200777776</v>
      </c>
      <c r="R364" s="116"/>
      <c r="S364" s="112">
        <v>-1133.5961111111112</v>
      </c>
      <c r="T364" s="112">
        <v>-1219.1092777777778</v>
      </c>
      <c r="U364" s="112">
        <v>-1183.4267777777773</v>
      </c>
      <c r="V364" s="112">
        <v>-743.25552777777796</v>
      </c>
      <c r="W364" s="112">
        <v>-829.32874749999996</v>
      </c>
      <c r="X364" s="112"/>
    </row>
    <row r="365" spans="1:24" x14ac:dyDescent="0.35">
      <c r="A365" s="108">
        <v>40170</v>
      </c>
      <c r="B365" s="109">
        <f t="shared" si="45"/>
        <v>3</v>
      </c>
      <c r="C365" s="108">
        <v>40534</v>
      </c>
      <c r="D365" s="109">
        <f t="shared" si="46"/>
        <v>3</v>
      </c>
      <c r="E365" s="115">
        <v>40898</v>
      </c>
      <c r="F365" s="109">
        <f t="shared" si="47"/>
        <v>3</v>
      </c>
      <c r="G365" s="115">
        <v>41262</v>
      </c>
      <c r="H365" s="109">
        <f t="shared" si="48"/>
        <v>3</v>
      </c>
      <c r="I365" s="115">
        <v>41626</v>
      </c>
      <c r="J365" s="109">
        <f t="shared" si="44"/>
        <v>3</v>
      </c>
      <c r="K365" s="108">
        <f t="shared" si="49"/>
        <v>41990</v>
      </c>
      <c r="L365" s="109">
        <f t="shared" si="43"/>
        <v>3</v>
      </c>
      <c r="M365" s="110">
        <v>66439.317429397168</v>
      </c>
      <c r="N365" s="110">
        <v>73338.365556254983</v>
      </c>
      <c r="O365" s="110">
        <v>83793.118581255025</v>
      </c>
      <c r="P365" s="110">
        <v>94210.60019893125</v>
      </c>
      <c r="Q365" s="110">
        <v>83756.083173000006</v>
      </c>
      <c r="R365" s="116"/>
      <c r="S365" s="112">
        <v>-334.57344444444442</v>
      </c>
      <c r="T365" s="112">
        <v>-821.07558333333338</v>
      </c>
      <c r="U365" s="112">
        <v>-1384.5226666666665</v>
      </c>
      <c r="V365" s="112">
        <v>-862.44138888888915</v>
      </c>
      <c r="W365" s="112">
        <v>-849.91601791666665</v>
      </c>
      <c r="X365" s="112"/>
    </row>
    <row r="366" spans="1:24" x14ac:dyDescent="0.35">
      <c r="A366" s="108">
        <v>40171</v>
      </c>
      <c r="B366" s="109">
        <f t="shared" si="45"/>
        <v>4</v>
      </c>
      <c r="C366" s="108">
        <v>40535</v>
      </c>
      <c r="D366" s="109">
        <f t="shared" si="46"/>
        <v>4</v>
      </c>
      <c r="E366" s="115">
        <v>40899</v>
      </c>
      <c r="F366" s="109">
        <f t="shared" si="47"/>
        <v>4</v>
      </c>
      <c r="G366" s="115">
        <v>41263</v>
      </c>
      <c r="H366" s="109">
        <f t="shared" si="48"/>
        <v>4</v>
      </c>
      <c r="I366" s="115">
        <v>41627</v>
      </c>
      <c r="J366" s="109">
        <f t="shared" si="44"/>
        <v>4</v>
      </c>
      <c r="K366" s="108">
        <f t="shared" si="49"/>
        <v>41991</v>
      </c>
      <c r="L366" s="109">
        <f t="shared" si="43"/>
        <v>4</v>
      </c>
      <c r="M366" s="110">
        <v>66657.805151619381</v>
      </c>
      <c r="N366" s="110">
        <v>73023.043278477227</v>
      </c>
      <c r="O366" s="110">
        <v>82741.739692366129</v>
      </c>
      <c r="P366" s="110">
        <v>93348.139198931254</v>
      </c>
      <c r="Q366" s="110">
        <v>83108.01492300001</v>
      </c>
      <c r="R366" s="116"/>
      <c r="S366" s="112">
        <v>222.32719444444444</v>
      </c>
      <c r="T366" s="112">
        <v>-302.95833333333331</v>
      </c>
      <c r="U366" s="112">
        <v>-1311.338666666667</v>
      </c>
      <c r="V366" s="112">
        <v>-641.21288888888898</v>
      </c>
      <c r="W366" s="112">
        <v>-648.06824897222225</v>
      </c>
      <c r="X366" s="112"/>
    </row>
    <row r="367" spans="1:24" x14ac:dyDescent="0.35">
      <c r="A367" s="108">
        <v>40172</v>
      </c>
      <c r="B367" s="109">
        <f t="shared" si="45"/>
        <v>5</v>
      </c>
      <c r="C367" s="108">
        <v>40536</v>
      </c>
      <c r="D367" s="109">
        <f t="shared" si="46"/>
        <v>5</v>
      </c>
      <c r="E367" s="115">
        <v>40900</v>
      </c>
      <c r="F367" s="109">
        <f t="shared" si="47"/>
        <v>5</v>
      </c>
      <c r="G367" s="115">
        <v>41264</v>
      </c>
      <c r="H367" s="109">
        <f t="shared" si="48"/>
        <v>5</v>
      </c>
      <c r="I367" s="115">
        <v>41628</v>
      </c>
      <c r="J367" s="109">
        <f t="shared" si="44"/>
        <v>5</v>
      </c>
      <c r="K367" s="108">
        <f t="shared" si="49"/>
        <v>41992</v>
      </c>
      <c r="L367" s="109">
        <f t="shared" si="43"/>
        <v>5</v>
      </c>
      <c r="M367" s="110">
        <v>67077.166318286021</v>
      </c>
      <c r="N367" s="110">
        <v>73322.027195143892</v>
      </c>
      <c r="O367" s="110">
        <v>82046.602497921689</v>
      </c>
      <c r="P367" s="110">
        <v>92706.912893375717</v>
      </c>
      <c r="Q367" s="110">
        <v>82592.386506333336</v>
      </c>
      <c r="R367" s="116"/>
      <c r="S367" s="112">
        <v>423.32258333333334</v>
      </c>
      <c r="T367" s="112">
        <v>311.3125277777778</v>
      </c>
      <c r="U367" s="112">
        <v>-1051.3788888888892</v>
      </c>
      <c r="V367" s="112">
        <v>-472.14463888888889</v>
      </c>
      <c r="W367" s="112">
        <v>-515.62841061111112</v>
      </c>
      <c r="X367" s="112"/>
    </row>
    <row r="368" spans="1:24" x14ac:dyDescent="0.35">
      <c r="A368" s="108">
        <v>40173</v>
      </c>
      <c r="B368" s="109">
        <f t="shared" si="45"/>
        <v>6</v>
      </c>
      <c r="C368" s="108">
        <v>40537</v>
      </c>
      <c r="D368" s="109">
        <f t="shared" si="46"/>
        <v>6</v>
      </c>
      <c r="E368" s="115">
        <v>40901</v>
      </c>
      <c r="F368" s="109">
        <f t="shared" si="47"/>
        <v>6</v>
      </c>
      <c r="G368" s="115">
        <v>41265</v>
      </c>
      <c r="H368" s="109">
        <f t="shared" si="48"/>
        <v>6</v>
      </c>
      <c r="I368" s="115">
        <v>41629</v>
      </c>
      <c r="J368" s="109">
        <f t="shared" si="44"/>
        <v>6</v>
      </c>
      <c r="K368" s="108">
        <f t="shared" si="49"/>
        <v>41993</v>
      </c>
      <c r="L368" s="109">
        <f t="shared" si="43"/>
        <v>6</v>
      </c>
      <c r="M368" s="110">
        <v>67326.928151619359</v>
      </c>
      <c r="N368" s="110">
        <v>73838.182722921672</v>
      </c>
      <c r="O368" s="110">
        <v>81299.354886810557</v>
      </c>
      <c r="P368" s="110">
        <v>92234.73739337569</v>
      </c>
      <c r="Q368" s="110">
        <v>82512.882867444438</v>
      </c>
      <c r="R368" s="116"/>
      <c r="S368" s="112">
        <v>253.82341666666667</v>
      </c>
      <c r="T368" s="112">
        <v>517.28636111111109</v>
      </c>
      <c r="U368" s="112">
        <v>-695.1371944444445</v>
      </c>
      <c r="V368" s="112">
        <v>-639.82111111111124</v>
      </c>
      <c r="W368" s="112">
        <v>-79.503641277777774</v>
      </c>
      <c r="X368" s="112"/>
    </row>
    <row r="369" spans="1:24" x14ac:dyDescent="0.35">
      <c r="A369" s="108">
        <v>40174</v>
      </c>
      <c r="B369" s="109">
        <f t="shared" si="45"/>
        <v>7</v>
      </c>
      <c r="C369" s="108">
        <v>40538</v>
      </c>
      <c r="D369" s="109">
        <f t="shared" si="46"/>
        <v>7</v>
      </c>
      <c r="E369" s="115">
        <v>40902</v>
      </c>
      <c r="F369" s="109">
        <f t="shared" si="47"/>
        <v>7</v>
      </c>
      <c r="G369" s="115">
        <v>41266</v>
      </c>
      <c r="H369" s="109">
        <f t="shared" si="48"/>
        <v>7</v>
      </c>
      <c r="I369" s="115">
        <v>41630</v>
      </c>
      <c r="J369" s="109">
        <f t="shared" si="44"/>
        <v>7</v>
      </c>
      <c r="K369" s="108">
        <f t="shared" si="49"/>
        <v>41994</v>
      </c>
      <c r="L369" s="109">
        <f t="shared" si="43"/>
        <v>7</v>
      </c>
      <c r="M369" s="110">
        <v>67069.512568286038</v>
      </c>
      <c r="N369" s="110">
        <v>73739.420361810597</v>
      </c>
      <c r="O369" s="110">
        <v>80836.488053477253</v>
      </c>
      <c r="P369" s="110">
        <v>91594.905337820179</v>
      </c>
      <c r="Q369" s="110">
        <v>82475.850922999991</v>
      </c>
      <c r="R369" s="116"/>
      <c r="S369" s="112">
        <v>-256.63083333333333</v>
      </c>
      <c r="T369" s="112">
        <v>-98.762361111111105</v>
      </c>
      <c r="U369" s="112">
        <v>-747.24761111111138</v>
      </c>
      <c r="V369" s="112">
        <v>-284.45558333333344</v>
      </c>
      <c r="W369" s="112">
        <v>-37.031937638888891</v>
      </c>
      <c r="X369" s="112"/>
    </row>
    <row r="370" spans="1:24" x14ac:dyDescent="0.35">
      <c r="A370" s="108">
        <v>40175</v>
      </c>
      <c r="B370" s="109">
        <f t="shared" si="45"/>
        <v>1</v>
      </c>
      <c r="C370" s="108">
        <v>40539</v>
      </c>
      <c r="D370" s="109">
        <f t="shared" si="46"/>
        <v>1</v>
      </c>
      <c r="E370" s="115">
        <v>40903</v>
      </c>
      <c r="F370" s="109">
        <f t="shared" si="47"/>
        <v>1</v>
      </c>
      <c r="G370" s="115">
        <v>41267</v>
      </c>
      <c r="H370" s="109">
        <f t="shared" si="48"/>
        <v>1</v>
      </c>
      <c r="I370" s="115">
        <v>41631</v>
      </c>
      <c r="J370" s="109">
        <f t="shared" si="44"/>
        <v>1</v>
      </c>
      <c r="K370" s="108">
        <f t="shared" si="49"/>
        <v>41995</v>
      </c>
      <c r="L370" s="109">
        <f t="shared" si="43"/>
        <v>1</v>
      </c>
      <c r="M370" s="110">
        <v>66596.716151619374</v>
      </c>
      <c r="N370" s="110">
        <v>73110.212417366085</v>
      </c>
      <c r="O370" s="110">
        <v>80392.169386810579</v>
      </c>
      <c r="P370" s="110">
        <v>91310.44975448685</v>
      </c>
      <c r="Q370" s="110">
        <v>82415.953228555547</v>
      </c>
      <c r="R370" s="116"/>
      <c r="S370" s="112">
        <v>-472.79508333333337</v>
      </c>
      <c r="T370" s="112">
        <v>-629.20794444444448</v>
      </c>
      <c r="U370" s="112">
        <v>-462.86683333333332</v>
      </c>
      <c r="V370" s="112">
        <v>-221.83647222222226</v>
      </c>
      <c r="W370" s="112">
        <v>-59.897717333333333</v>
      </c>
      <c r="X370" s="112"/>
    </row>
    <row r="371" spans="1:24" x14ac:dyDescent="0.35">
      <c r="A371" s="108">
        <v>40176</v>
      </c>
      <c r="B371" s="109">
        <f t="shared" si="45"/>
        <v>2</v>
      </c>
      <c r="C371" s="108">
        <v>40540</v>
      </c>
      <c r="D371" s="109">
        <f t="shared" si="46"/>
        <v>2</v>
      </c>
      <c r="E371" s="115">
        <v>40904</v>
      </c>
      <c r="F371" s="109">
        <f t="shared" si="47"/>
        <v>2</v>
      </c>
      <c r="G371" s="115">
        <v>41268</v>
      </c>
      <c r="H371" s="109">
        <f t="shared" si="48"/>
        <v>2</v>
      </c>
      <c r="I371" s="115">
        <v>41632</v>
      </c>
      <c r="J371" s="109">
        <f t="shared" si="44"/>
        <v>2</v>
      </c>
      <c r="K371" s="108">
        <f t="shared" si="49"/>
        <v>41996</v>
      </c>
      <c r="L371" s="109">
        <f t="shared" si="43"/>
        <v>2</v>
      </c>
      <c r="M371" s="110">
        <v>66372.230679397151</v>
      </c>
      <c r="N371" s="110">
        <v>72257.078139588368</v>
      </c>
      <c r="O371" s="110">
        <v>79813.091747921644</v>
      </c>
      <c r="P371" s="110">
        <v>91088.611810042363</v>
      </c>
      <c r="Q371" s="110">
        <v>82605.374089666671</v>
      </c>
      <c r="R371" s="116"/>
      <c r="S371" s="112">
        <v>-221.16141666666667</v>
      </c>
      <c r="T371" s="112">
        <v>-853.1342777777777</v>
      </c>
      <c r="U371" s="112">
        <v>-444.31866666666667</v>
      </c>
      <c r="V371" s="112">
        <v>-119.86686111111112</v>
      </c>
      <c r="W371" s="112">
        <v>189.42084752777779</v>
      </c>
      <c r="X371" s="112"/>
    </row>
    <row r="372" spans="1:24" x14ac:dyDescent="0.35">
      <c r="A372" s="108">
        <v>40177</v>
      </c>
      <c r="B372" s="109">
        <f t="shared" si="45"/>
        <v>3</v>
      </c>
      <c r="C372" s="108">
        <v>40541</v>
      </c>
      <c r="D372" s="109">
        <f t="shared" si="46"/>
        <v>3</v>
      </c>
      <c r="E372" s="115">
        <v>40905</v>
      </c>
      <c r="F372" s="109">
        <f t="shared" si="47"/>
        <v>3</v>
      </c>
      <c r="G372" s="115">
        <v>41269</v>
      </c>
      <c r="H372" s="109">
        <f t="shared" si="48"/>
        <v>3</v>
      </c>
      <c r="I372" s="115">
        <v>41633</v>
      </c>
      <c r="J372" s="109">
        <f t="shared" si="44"/>
        <v>3</v>
      </c>
      <c r="K372" s="108">
        <f t="shared" si="49"/>
        <v>41997</v>
      </c>
      <c r="L372" s="109">
        <f t="shared" si="43"/>
        <v>3</v>
      </c>
      <c r="M372" s="110">
        <v>66431.429901619384</v>
      </c>
      <c r="N372" s="110">
        <v>71516.438611810576</v>
      </c>
      <c r="O372" s="110">
        <v>79203.522525699474</v>
      </c>
      <c r="P372" s="110">
        <v>90968.741837820126</v>
      </c>
      <c r="Q372" s="110">
        <v>82991.687394916662</v>
      </c>
      <c r="R372" s="116"/>
      <c r="S372" s="112">
        <v>63.665305555555555</v>
      </c>
      <c r="T372" s="112">
        <v>-740.63952777777774</v>
      </c>
      <c r="U372" s="112">
        <v>-579.07763888888871</v>
      </c>
      <c r="V372" s="112">
        <v>-190.22877777777779</v>
      </c>
      <c r="W372" s="112">
        <v>386.31330691666665</v>
      </c>
      <c r="X372" s="112"/>
    </row>
    <row r="373" spans="1:24" x14ac:dyDescent="0.35">
      <c r="A373" s="108">
        <v>40178</v>
      </c>
      <c r="B373" s="109">
        <f t="shared" si="45"/>
        <v>4</v>
      </c>
      <c r="C373" s="108">
        <v>40542</v>
      </c>
      <c r="D373" s="109">
        <f t="shared" si="46"/>
        <v>4</v>
      </c>
      <c r="E373" s="115">
        <v>40906</v>
      </c>
      <c r="F373" s="109">
        <f t="shared" si="47"/>
        <v>4</v>
      </c>
      <c r="G373" s="115">
        <v>41270</v>
      </c>
      <c r="H373" s="109">
        <f t="shared" si="48"/>
        <v>4</v>
      </c>
      <c r="I373" s="115">
        <v>41634</v>
      </c>
      <c r="J373" s="109">
        <f t="shared" si="44"/>
        <v>4</v>
      </c>
      <c r="K373" s="108">
        <f t="shared" si="49"/>
        <v>41998</v>
      </c>
      <c r="L373" s="109">
        <f t="shared" si="43"/>
        <v>4</v>
      </c>
      <c r="M373" s="110">
        <v>66551.697262730435</v>
      </c>
      <c r="N373" s="110">
        <v>70970.309222921685</v>
      </c>
      <c r="O373" s="110">
        <v>78641.572886810565</v>
      </c>
      <c r="P373" s="110">
        <v>90778.506532264597</v>
      </c>
      <c r="Q373" s="110">
        <v>83563.739950472213</v>
      </c>
      <c r="R373" s="116"/>
      <c r="S373" s="112">
        <v>114.26136111111111</v>
      </c>
      <c r="T373" s="112">
        <v>-546.12938888888891</v>
      </c>
      <c r="U373" s="112">
        <v>-609.56922222222238</v>
      </c>
      <c r="V373" s="112">
        <v>6.2616388888888892</v>
      </c>
      <c r="W373" s="112">
        <v>572.05256719444446</v>
      </c>
      <c r="X373" s="112"/>
    </row>
    <row r="374" spans="1:24" x14ac:dyDescent="0.35">
      <c r="A374" s="119">
        <v>40179</v>
      </c>
      <c r="B374" s="98">
        <f t="shared" si="45"/>
        <v>5</v>
      </c>
      <c r="C374" s="108">
        <v>40543</v>
      </c>
      <c r="D374" s="109">
        <f t="shared" si="46"/>
        <v>5</v>
      </c>
      <c r="E374" s="115">
        <v>40907</v>
      </c>
      <c r="F374" s="109">
        <f t="shared" si="47"/>
        <v>5</v>
      </c>
      <c r="G374" s="115">
        <v>41271</v>
      </c>
      <c r="H374" s="109">
        <f t="shared" si="48"/>
        <v>5</v>
      </c>
      <c r="I374" s="115">
        <v>41635</v>
      </c>
      <c r="J374" s="109">
        <f t="shared" si="44"/>
        <v>5</v>
      </c>
      <c r="K374" s="108">
        <f t="shared" si="49"/>
        <v>41999</v>
      </c>
      <c r="L374" s="109">
        <f t="shared" si="43"/>
        <v>5</v>
      </c>
      <c r="M374" s="111">
        <v>66675.464623841573</v>
      </c>
      <c r="N374" s="110">
        <v>71834.063722921681</v>
      </c>
      <c r="O374" s="110">
        <v>78158.160914588341</v>
      </c>
      <c r="P374" s="110">
        <v>90784.735865597919</v>
      </c>
      <c r="Q374" s="110">
        <v>83819.538950500006</v>
      </c>
      <c r="R374" s="116"/>
      <c r="S374" s="113">
        <v>123.76736111111111</v>
      </c>
      <c r="T374" s="112">
        <v>-177.67233333333334</v>
      </c>
      <c r="U374" s="112">
        <v>-561.94963888888879</v>
      </c>
      <c r="V374" s="112">
        <v>-130.64675000000003</v>
      </c>
      <c r="W374" s="112">
        <v>255.79900716666666</v>
      </c>
      <c r="X374" s="112"/>
    </row>
    <row r="375" spans="1:24" x14ac:dyDescent="0.35">
      <c r="A375" s="119">
        <v>40180</v>
      </c>
      <c r="C375" s="119">
        <v>40544</v>
      </c>
      <c r="D375" s="98">
        <f t="shared" si="46"/>
        <v>6</v>
      </c>
      <c r="E375" s="115">
        <v>40908</v>
      </c>
      <c r="F375" s="109">
        <f t="shared" si="47"/>
        <v>6</v>
      </c>
      <c r="G375" s="115">
        <v>41272</v>
      </c>
      <c r="H375" s="109">
        <f t="shared" si="48"/>
        <v>6</v>
      </c>
      <c r="I375" s="115">
        <v>41636</v>
      </c>
      <c r="J375" s="109">
        <f t="shared" si="44"/>
        <v>6</v>
      </c>
      <c r="K375" s="108">
        <f t="shared" si="49"/>
        <v>42000</v>
      </c>
      <c r="L375" s="109">
        <f t="shared" si="43"/>
        <v>6</v>
      </c>
      <c r="M375" s="111">
        <v>66655.05687384159</v>
      </c>
      <c r="N375" s="111">
        <v>71775.40527847725</v>
      </c>
      <c r="O375" s="110">
        <v>77815.097136810582</v>
      </c>
      <c r="P375" s="110">
        <v>90654.088504486834</v>
      </c>
      <c r="Q375" s="110">
        <v>83819.623394861104</v>
      </c>
      <c r="R375" s="116"/>
      <c r="S375" s="113">
        <v>-20.40775</v>
      </c>
      <c r="T375" s="113">
        <v>-58.658444444444442</v>
      </c>
      <c r="U375" s="112">
        <v>-483.41197222222206</v>
      </c>
      <c r="V375" s="112">
        <v>-276.81558333333334</v>
      </c>
      <c r="W375" s="112">
        <v>8.4428250000000024E-2</v>
      </c>
      <c r="X375" s="112"/>
    </row>
    <row r="376" spans="1:24" x14ac:dyDescent="0.35">
      <c r="A376" s="119">
        <v>40181</v>
      </c>
      <c r="C376" s="119">
        <v>40545</v>
      </c>
      <c r="E376" s="119">
        <v>40909</v>
      </c>
      <c r="F376" s="98">
        <f t="shared" si="47"/>
        <v>7</v>
      </c>
      <c r="G376" s="115">
        <v>41273</v>
      </c>
      <c r="H376" s="109">
        <f t="shared" si="48"/>
        <v>7</v>
      </c>
      <c r="I376" s="115">
        <v>41637</v>
      </c>
      <c r="J376" s="109">
        <f t="shared" si="44"/>
        <v>7</v>
      </c>
      <c r="K376" s="108">
        <f t="shared" si="49"/>
        <v>42001</v>
      </c>
      <c r="L376" s="109">
        <f t="shared" si="43"/>
        <v>7</v>
      </c>
      <c r="M376" s="111">
        <v>66015.855734952696</v>
      </c>
      <c r="N376" s="111">
        <v>71471.966472921689</v>
      </c>
      <c r="O376" s="111">
        <v>77505.098220143904</v>
      </c>
      <c r="P376" s="110">
        <v>90377.272921153504</v>
      </c>
      <c r="Q376" s="110">
        <v>83819.720367083341</v>
      </c>
      <c r="R376" s="116"/>
      <c r="S376" s="113">
        <v>-639.20113888888886</v>
      </c>
      <c r="T376" s="113">
        <v>-303.43880555555552</v>
      </c>
      <c r="U376" s="113">
        <v>-343.06377777777783</v>
      </c>
      <c r="V376" s="112">
        <v>-340.60361111111109</v>
      </c>
      <c r="W376" s="112">
        <v>9.6956527777777801E-2</v>
      </c>
      <c r="X376" s="112"/>
    </row>
    <row r="377" spans="1:24" x14ac:dyDescent="0.35">
      <c r="A377" s="119">
        <v>40182</v>
      </c>
      <c r="C377" s="119">
        <v>40546</v>
      </c>
      <c r="E377" s="119">
        <v>40910</v>
      </c>
      <c r="F377" s="98">
        <f t="shared" si="47"/>
        <v>1</v>
      </c>
      <c r="G377" s="115">
        <v>41274</v>
      </c>
      <c r="H377" s="109">
        <f t="shared" si="48"/>
        <v>1</v>
      </c>
      <c r="I377" s="115">
        <v>41638</v>
      </c>
      <c r="J377" s="109">
        <f t="shared" si="44"/>
        <v>1</v>
      </c>
      <c r="K377" s="108">
        <f t="shared" si="49"/>
        <v>42002</v>
      </c>
      <c r="L377" s="109">
        <f t="shared" si="43"/>
        <v>1</v>
      </c>
      <c r="M377" s="111">
        <v>65232.912290508233</v>
      </c>
      <c r="N377" s="111">
        <v>70758.730584032804</v>
      </c>
      <c r="O377" s="111">
        <v>76856.678497921705</v>
      </c>
      <c r="P377" s="111">
        <v>90036.66153226461</v>
      </c>
      <c r="Q377" s="110">
        <v>83770.518755972225</v>
      </c>
      <c r="R377" s="116"/>
      <c r="S377" s="113">
        <v>-782.94344444444437</v>
      </c>
      <c r="T377" s="113">
        <v>-713.23588888888889</v>
      </c>
      <c r="U377" s="113">
        <v>-309.99891666666662</v>
      </c>
      <c r="V377" s="113">
        <v>-390.95844444444441</v>
      </c>
      <c r="W377" s="112">
        <v>-49.201628666666664</v>
      </c>
      <c r="X377" s="112"/>
    </row>
    <row r="378" spans="1:24" x14ac:dyDescent="0.35">
      <c r="A378" s="119">
        <v>40183</v>
      </c>
      <c r="C378" s="119">
        <v>40547</v>
      </c>
      <c r="E378" s="119">
        <v>40911</v>
      </c>
      <c r="F378" s="98">
        <f t="shared" si="47"/>
        <v>2</v>
      </c>
      <c r="G378" s="119">
        <v>41275</v>
      </c>
      <c r="H378" s="98">
        <f t="shared" si="48"/>
        <v>2</v>
      </c>
      <c r="I378" s="115">
        <v>41639</v>
      </c>
      <c r="J378" s="109">
        <f t="shared" si="44"/>
        <v>2</v>
      </c>
      <c r="K378" s="108">
        <f t="shared" si="49"/>
        <v>42003</v>
      </c>
      <c r="L378" s="109">
        <f t="shared" si="43"/>
        <v>2</v>
      </c>
      <c r="M378" s="111">
        <v>64394.495762730483</v>
      </c>
      <c r="N378" s="111">
        <v>69813.669806255013</v>
      </c>
      <c r="O378" s="111">
        <v>76135.019803477233</v>
      </c>
      <c r="P378" s="111">
        <v>89645.703087820177</v>
      </c>
      <c r="Q378" s="111">
        <v>83651.853144861117</v>
      </c>
      <c r="R378" s="116"/>
      <c r="S378" s="113">
        <v>-838.41652777777779</v>
      </c>
      <c r="T378" s="113">
        <v>-945.06077777777773</v>
      </c>
      <c r="U378" s="113">
        <v>-648.41972222222228</v>
      </c>
      <c r="V378" s="113">
        <v>-720.76416666666694</v>
      </c>
      <c r="W378" s="113">
        <v>-118.66559886111112</v>
      </c>
      <c r="X378" s="112"/>
    </row>
    <row r="379" spans="1:24" x14ac:dyDescent="0.35">
      <c r="K379" s="109"/>
      <c r="L379" s="109"/>
      <c r="Q379" s="116"/>
      <c r="R379" s="116"/>
      <c r="T379" s="120"/>
      <c r="U379" s="120"/>
      <c r="V379" s="120"/>
      <c r="X379" s="114"/>
    </row>
    <row r="380" spans="1:24" x14ac:dyDescent="0.35">
      <c r="Q380" s="116"/>
      <c r="R380" s="116"/>
      <c r="T380" s="120"/>
      <c r="U380" s="120"/>
      <c r="V380" s="120"/>
    </row>
    <row r="381" spans="1:24" x14ac:dyDescent="0.35">
      <c r="Q381" s="116"/>
      <c r="R381" s="116"/>
      <c r="T381" s="120"/>
      <c r="U381" s="120"/>
      <c r="V381" s="121"/>
    </row>
    <row r="382" spans="1:24" x14ac:dyDescent="0.35">
      <c r="Q382" s="116"/>
      <c r="R382" s="116"/>
      <c r="V382" s="101"/>
    </row>
    <row r="383" spans="1:24" x14ac:dyDescent="0.35">
      <c r="Q383" s="116"/>
      <c r="R383" s="116"/>
      <c r="V383" s="101"/>
    </row>
    <row r="384" spans="1:24" x14ac:dyDescent="0.35">
      <c r="Q384" s="116"/>
      <c r="R384" s="116"/>
      <c r="V384" s="101"/>
    </row>
    <row r="385" spans="1:22" x14ac:dyDescent="0.35">
      <c r="Q385" s="116"/>
      <c r="R385" s="116"/>
      <c r="V385" s="101"/>
    </row>
    <row r="386" spans="1:22" x14ac:dyDescent="0.35">
      <c r="Q386" s="116"/>
      <c r="R386" s="116"/>
      <c r="V386" s="101"/>
    </row>
    <row r="387" spans="1:22" x14ac:dyDescent="0.35">
      <c r="Q387" s="116"/>
      <c r="R387" s="116"/>
      <c r="V387" s="101"/>
    </row>
    <row r="388" spans="1:22" x14ac:dyDescent="0.35">
      <c r="Q388" s="116"/>
      <c r="R388" s="116"/>
      <c r="V388" s="101"/>
    </row>
    <row r="389" spans="1:22" x14ac:dyDescent="0.35">
      <c r="A389" s="101"/>
      <c r="B389" s="101"/>
      <c r="C389" s="101"/>
      <c r="D389" s="101"/>
      <c r="E389" s="101"/>
      <c r="F389" s="101"/>
      <c r="G389" s="101"/>
      <c r="H389" s="101"/>
      <c r="I389" s="101"/>
      <c r="J389" s="101"/>
      <c r="K389" s="101"/>
      <c r="L389" s="101"/>
      <c r="M389" s="101"/>
      <c r="N389" s="101"/>
      <c r="O389" s="101"/>
      <c r="P389" s="101"/>
      <c r="Q389" s="122"/>
      <c r="R389" s="122"/>
      <c r="S389" s="101"/>
      <c r="T389" s="101"/>
      <c r="U389" s="101"/>
      <c r="V389" s="101"/>
    </row>
    <row r="390" spans="1:22" x14ac:dyDescent="0.35">
      <c r="A390" s="101"/>
      <c r="B390" s="101"/>
      <c r="C390" s="101"/>
      <c r="D390" s="101"/>
      <c r="E390" s="101"/>
      <c r="F390" s="101"/>
      <c r="G390" s="101"/>
      <c r="H390" s="101"/>
      <c r="I390" s="101"/>
      <c r="J390" s="101"/>
      <c r="K390" s="101"/>
      <c r="L390" s="101"/>
      <c r="M390" s="101"/>
      <c r="N390" s="101"/>
      <c r="O390" s="101"/>
      <c r="P390" s="101"/>
      <c r="Q390" s="122"/>
      <c r="R390" s="122"/>
      <c r="S390" s="101"/>
      <c r="T390" s="101"/>
      <c r="U390" s="101"/>
      <c r="V390" s="101"/>
    </row>
    <row r="391" spans="1:22" x14ac:dyDescent="0.35">
      <c r="A391" s="101"/>
      <c r="B391" s="101"/>
      <c r="C391" s="101"/>
      <c r="D391" s="101"/>
      <c r="E391" s="101"/>
      <c r="F391" s="101"/>
      <c r="G391" s="101"/>
      <c r="H391" s="101"/>
      <c r="I391" s="101"/>
      <c r="J391" s="101"/>
      <c r="K391" s="101"/>
      <c r="L391" s="101"/>
      <c r="M391" s="101"/>
      <c r="N391" s="101"/>
      <c r="O391" s="101"/>
      <c r="P391" s="101"/>
      <c r="Q391" s="122"/>
      <c r="R391" s="122"/>
      <c r="S391" s="101"/>
      <c r="T391" s="101"/>
      <c r="U391" s="101"/>
      <c r="V391" s="101"/>
    </row>
    <row r="392" spans="1:22" x14ac:dyDescent="0.35">
      <c r="A392" s="101"/>
      <c r="B392" s="101"/>
      <c r="C392" s="101"/>
      <c r="D392" s="101"/>
      <c r="E392" s="101"/>
      <c r="F392" s="101"/>
      <c r="G392" s="101"/>
      <c r="H392" s="101"/>
      <c r="I392" s="101"/>
      <c r="J392" s="101"/>
      <c r="K392" s="101"/>
      <c r="L392" s="101"/>
      <c r="M392" s="101"/>
      <c r="N392" s="101"/>
      <c r="O392" s="101"/>
      <c r="P392" s="101"/>
      <c r="Q392" s="122"/>
      <c r="R392" s="122"/>
      <c r="S392" s="101"/>
      <c r="T392" s="101"/>
      <c r="U392" s="101"/>
      <c r="V392" s="101"/>
    </row>
    <row r="393" spans="1:22" x14ac:dyDescent="0.35">
      <c r="A393" s="101"/>
      <c r="B393" s="101"/>
      <c r="C393" s="101"/>
      <c r="D393" s="101"/>
      <c r="E393" s="101"/>
      <c r="F393" s="101"/>
      <c r="G393" s="101"/>
      <c r="H393" s="101"/>
      <c r="I393" s="101"/>
      <c r="J393" s="101"/>
      <c r="K393" s="101"/>
      <c r="L393" s="101"/>
      <c r="M393" s="101"/>
      <c r="N393" s="101"/>
      <c r="O393" s="101"/>
      <c r="P393" s="101"/>
      <c r="Q393" s="122"/>
      <c r="R393" s="122"/>
      <c r="S393" s="101"/>
      <c r="T393" s="101"/>
      <c r="U393" s="101"/>
      <c r="V393" s="101"/>
    </row>
    <row r="394" spans="1:22" x14ac:dyDescent="0.35">
      <c r="A394" s="101"/>
      <c r="B394" s="101"/>
      <c r="C394" s="101"/>
      <c r="D394" s="101"/>
      <c r="E394" s="101"/>
      <c r="F394" s="101"/>
      <c r="G394" s="101"/>
      <c r="H394" s="101"/>
      <c r="I394" s="101"/>
      <c r="J394" s="101"/>
      <c r="K394" s="101"/>
      <c r="L394" s="101"/>
      <c r="M394" s="101"/>
      <c r="N394" s="101"/>
      <c r="O394" s="101"/>
      <c r="P394" s="101"/>
      <c r="Q394" s="122"/>
      <c r="R394" s="122"/>
      <c r="S394" s="101"/>
      <c r="T394" s="101"/>
      <c r="U394" s="101"/>
      <c r="V394" s="10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V601"/>
  <sheetViews>
    <sheetView topLeftCell="A274" workbookViewId="0">
      <selection activeCell="Q264" sqref="Q264"/>
    </sheetView>
  </sheetViews>
  <sheetFormatPr defaultColWidth="8.81640625" defaultRowHeight="14.5" x14ac:dyDescent="0.35"/>
  <cols>
    <col min="1" max="1" width="16.1796875" customWidth="1"/>
    <col min="3" max="3" width="17.453125" customWidth="1"/>
    <col min="4" max="4" width="19.453125" customWidth="1"/>
    <col min="5" max="5" width="16.453125" customWidth="1"/>
    <col min="6" max="6" width="20.36328125" customWidth="1"/>
    <col min="9" max="9" width="13.81640625" customWidth="1"/>
    <col min="10" max="10" width="5.81640625" customWidth="1"/>
    <col min="11" max="11" width="11.453125" bestFit="1" customWidth="1"/>
    <col min="12" max="12" width="14" bestFit="1" customWidth="1"/>
    <col min="13" max="13" width="12.453125" bestFit="1" customWidth="1"/>
    <col min="14" max="14" width="15.6328125" bestFit="1" customWidth="1"/>
    <col min="16" max="16" width="11.453125" customWidth="1"/>
    <col min="17" max="17" width="13.453125" customWidth="1"/>
  </cols>
  <sheetData>
    <row r="1" spans="1:17" ht="54" x14ac:dyDescent="0.35">
      <c r="A1" s="86" t="s">
        <v>93</v>
      </c>
      <c r="B1" s="86"/>
      <c r="C1" s="87" t="s">
        <v>89</v>
      </c>
      <c r="D1" s="88" t="s">
        <v>94</v>
      </c>
      <c r="E1" s="89" t="s">
        <v>95</v>
      </c>
      <c r="F1" s="90" t="s">
        <v>96</v>
      </c>
      <c r="I1" s="61" t="s">
        <v>88</v>
      </c>
      <c r="J1" s="61"/>
      <c r="K1" s="62" t="s">
        <v>89</v>
      </c>
      <c r="L1" s="63" t="s">
        <v>90</v>
      </c>
      <c r="M1" s="64" t="s">
        <v>91</v>
      </c>
      <c r="N1" s="65" t="s">
        <v>92</v>
      </c>
      <c r="P1" t="s">
        <v>98</v>
      </c>
      <c r="Q1" t="s">
        <v>97</v>
      </c>
    </row>
    <row r="2" spans="1:17" x14ac:dyDescent="0.35">
      <c r="A2" s="171">
        <v>41882</v>
      </c>
      <c r="B2" s="58" t="s">
        <v>23</v>
      </c>
      <c r="C2" s="69">
        <v>1259990.5</v>
      </c>
      <c r="D2" s="69">
        <v>397376631.38370007</v>
      </c>
      <c r="E2" s="69">
        <v>349997.3611113911</v>
      </c>
      <c r="F2" s="70">
        <v>110382397.60667166</v>
      </c>
      <c r="I2" s="175">
        <v>41882</v>
      </c>
      <c r="J2" s="66"/>
      <c r="K2" s="75"/>
      <c r="L2" s="76">
        <v>18518525.900000013</v>
      </c>
      <c r="M2" s="77"/>
      <c r="N2" s="77">
        <v>5144034.9722222257</v>
      </c>
      <c r="P2" s="43">
        <f t="shared" ref="P2:P65" si="0">M2+E2</f>
        <v>349997.3611113911</v>
      </c>
      <c r="Q2" s="43">
        <f t="shared" ref="Q2:Q65" si="1">N2+F2</f>
        <v>115526432.57889389</v>
      </c>
    </row>
    <row r="3" spans="1:17" x14ac:dyDescent="0.35">
      <c r="A3" s="172">
        <v>41883</v>
      </c>
      <c r="B3" s="59" t="s">
        <v>23</v>
      </c>
      <c r="C3" s="71">
        <v>769835.31</v>
      </c>
      <c r="D3" s="71">
        <v>398146466.69370008</v>
      </c>
      <c r="E3" s="71">
        <v>213843.14166683776</v>
      </c>
      <c r="F3" s="72">
        <v>110596240.74833851</v>
      </c>
      <c r="I3" s="176">
        <v>41883</v>
      </c>
      <c r="J3" s="67" t="s">
        <v>23</v>
      </c>
      <c r="K3" s="78">
        <v>71886</v>
      </c>
      <c r="L3" s="79">
        <v>18590411.900000013</v>
      </c>
      <c r="M3" s="80">
        <v>19968.333333333332</v>
      </c>
      <c r="N3" s="81">
        <v>5164003.3055555588</v>
      </c>
      <c r="P3" s="43">
        <f t="shared" si="0"/>
        <v>233811.47500017111</v>
      </c>
      <c r="Q3" s="43">
        <f t="shared" si="1"/>
        <v>115760244.05389406</v>
      </c>
    </row>
    <row r="4" spans="1:17" x14ac:dyDescent="0.35">
      <c r="A4" s="172">
        <v>41884</v>
      </c>
      <c r="B4" s="59" t="s">
        <v>23</v>
      </c>
      <c r="C4" s="71">
        <v>638269.85600000003</v>
      </c>
      <c r="D4" s="71">
        <v>398784736.54970008</v>
      </c>
      <c r="E4" s="71">
        <v>177297.18222236406</v>
      </c>
      <c r="F4" s="72">
        <v>110773537.93056086</v>
      </c>
      <c r="I4" s="176">
        <v>41884</v>
      </c>
      <c r="J4" s="67" t="s">
        <v>23</v>
      </c>
      <c r="K4" s="78">
        <v>71966</v>
      </c>
      <c r="L4" s="79">
        <v>18662377.900000013</v>
      </c>
      <c r="M4" s="80">
        <v>19990.555555555555</v>
      </c>
      <c r="N4" s="81">
        <v>5183993.8611111147</v>
      </c>
      <c r="P4" s="43">
        <f t="shared" si="0"/>
        <v>197287.73777791962</v>
      </c>
      <c r="Q4" s="43">
        <f t="shared" si="1"/>
        <v>115957531.79167198</v>
      </c>
    </row>
    <row r="5" spans="1:17" x14ac:dyDescent="0.35">
      <c r="A5" s="172">
        <v>41885</v>
      </c>
      <c r="B5" s="59" t="s">
        <v>23</v>
      </c>
      <c r="C5" s="71">
        <v>631800.00890000002</v>
      </c>
      <c r="D5" s="71">
        <v>399416536.55860007</v>
      </c>
      <c r="E5" s="71">
        <v>175500.00247236263</v>
      </c>
      <c r="F5" s="72">
        <v>110949037.93303323</v>
      </c>
      <c r="I5" s="176">
        <v>41885</v>
      </c>
      <c r="J5" s="67" t="s">
        <v>23</v>
      </c>
      <c r="K5" s="78">
        <v>71646</v>
      </c>
      <c r="L5" s="79">
        <v>18734023.900000013</v>
      </c>
      <c r="M5" s="80">
        <v>19901.666666666668</v>
      </c>
      <c r="N5" s="81">
        <v>5203895.5277777817</v>
      </c>
      <c r="P5" s="43">
        <f t="shared" si="0"/>
        <v>195401.66913902928</v>
      </c>
      <c r="Q5" s="43">
        <f t="shared" si="1"/>
        <v>116152933.460811</v>
      </c>
    </row>
    <row r="6" spans="1:17" x14ac:dyDescent="0.35">
      <c r="A6" s="172">
        <v>41886</v>
      </c>
      <c r="B6" s="59" t="s">
        <v>23</v>
      </c>
      <c r="C6" s="71">
        <v>710946.7</v>
      </c>
      <c r="D6" s="71">
        <v>400127483.25860006</v>
      </c>
      <c r="E6" s="71">
        <v>197485.19444460241</v>
      </c>
      <c r="F6" s="72">
        <v>111146523.12747782</v>
      </c>
      <c r="I6" s="176">
        <v>41886</v>
      </c>
      <c r="J6" s="67" t="s">
        <v>23</v>
      </c>
      <c r="K6" s="78">
        <v>71801</v>
      </c>
      <c r="L6" s="79">
        <v>18805824.900000013</v>
      </c>
      <c r="M6" s="80">
        <v>19944.722222222223</v>
      </c>
      <c r="N6" s="81">
        <v>5223840.2500000037</v>
      </c>
      <c r="P6" s="43">
        <f t="shared" si="0"/>
        <v>217429.91666682463</v>
      </c>
      <c r="Q6" s="43">
        <f t="shared" si="1"/>
        <v>116370363.37747782</v>
      </c>
    </row>
    <row r="7" spans="1:17" x14ac:dyDescent="0.35">
      <c r="A7" s="172">
        <v>41887</v>
      </c>
      <c r="B7" s="59" t="s">
        <v>23</v>
      </c>
      <c r="C7" s="71">
        <v>780639.6</v>
      </c>
      <c r="D7" s="71">
        <v>400908122.85860008</v>
      </c>
      <c r="E7" s="71">
        <v>216844.3333335068</v>
      </c>
      <c r="F7" s="72">
        <v>111363367.46081133</v>
      </c>
      <c r="I7" s="176">
        <v>41887</v>
      </c>
      <c r="J7" s="67" t="s">
        <v>23</v>
      </c>
      <c r="K7" s="78">
        <v>71798</v>
      </c>
      <c r="L7" s="79">
        <v>18877622.900000013</v>
      </c>
      <c r="M7" s="80">
        <v>19943.888888888887</v>
      </c>
      <c r="N7" s="81">
        <v>5243784.1388888927</v>
      </c>
      <c r="P7" s="43">
        <f t="shared" si="0"/>
        <v>236788.22222239568</v>
      </c>
      <c r="Q7" s="43">
        <f t="shared" si="1"/>
        <v>116607151.59970023</v>
      </c>
    </row>
    <row r="8" spans="1:17" x14ac:dyDescent="0.35">
      <c r="A8" s="172">
        <v>41888</v>
      </c>
      <c r="B8" s="59" t="s">
        <v>23</v>
      </c>
      <c r="C8" s="71">
        <v>1032856.9</v>
      </c>
      <c r="D8" s="71">
        <v>401940979.75860006</v>
      </c>
      <c r="E8" s="71">
        <v>286904.69444467395</v>
      </c>
      <c r="F8" s="72">
        <v>111650272.155256</v>
      </c>
      <c r="I8" s="176">
        <v>41888</v>
      </c>
      <c r="J8" s="67" t="s">
        <v>23</v>
      </c>
      <c r="K8" s="78">
        <v>52457</v>
      </c>
      <c r="L8" s="79">
        <v>18930079.900000013</v>
      </c>
      <c r="M8" s="80">
        <v>14571.388888888889</v>
      </c>
      <c r="N8" s="81">
        <v>5258355.5277777817</v>
      </c>
      <c r="P8" s="43">
        <f t="shared" si="0"/>
        <v>301476.08333356283</v>
      </c>
      <c r="Q8" s="43">
        <f t="shared" si="1"/>
        <v>116908627.68303378</v>
      </c>
    </row>
    <row r="9" spans="1:17" x14ac:dyDescent="0.35">
      <c r="A9" s="172">
        <v>41889</v>
      </c>
      <c r="B9" s="59" t="s">
        <v>23</v>
      </c>
      <c r="C9" s="71">
        <v>1255439.3788999999</v>
      </c>
      <c r="D9" s="71">
        <v>403196419.13750005</v>
      </c>
      <c r="E9" s="71">
        <v>348733.16080583452</v>
      </c>
      <c r="F9" s="72">
        <v>111999005.31606184</v>
      </c>
      <c r="I9" s="176">
        <v>41889</v>
      </c>
      <c r="J9" s="67" t="s">
        <v>23</v>
      </c>
      <c r="K9" s="78">
        <v>52413</v>
      </c>
      <c r="L9" s="79">
        <v>18982492.900000013</v>
      </c>
      <c r="M9" s="80">
        <v>14559.166666666666</v>
      </c>
      <c r="N9" s="81">
        <v>5272914.6944444487</v>
      </c>
      <c r="P9" s="43">
        <f t="shared" si="0"/>
        <v>363292.3274725012</v>
      </c>
      <c r="Q9" s="43">
        <f t="shared" si="1"/>
        <v>117271920.01050629</v>
      </c>
    </row>
    <row r="10" spans="1:17" x14ac:dyDescent="0.35">
      <c r="A10" s="172">
        <v>41890</v>
      </c>
      <c r="B10" s="59" t="s">
        <v>23</v>
      </c>
      <c r="C10" s="71">
        <v>382533.19420000003</v>
      </c>
      <c r="D10" s="71">
        <v>403578952.33170003</v>
      </c>
      <c r="E10" s="71">
        <v>106259.22061119613</v>
      </c>
      <c r="F10" s="72">
        <v>112105264.53667302</v>
      </c>
      <c r="I10" s="176">
        <v>41890</v>
      </c>
      <c r="J10" s="67" t="s">
        <v>23</v>
      </c>
      <c r="K10" s="78">
        <v>41354.400000000001</v>
      </c>
      <c r="L10" s="79">
        <v>19023847.300000012</v>
      </c>
      <c r="M10" s="80">
        <v>11487.333333333334</v>
      </c>
      <c r="N10" s="81">
        <v>5284402.0277777817</v>
      </c>
      <c r="P10" s="43">
        <f t="shared" si="0"/>
        <v>117746.55394452946</v>
      </c>
      <c r="Q10" s="43">
        <f t="shared" si="1"/>
        <v>117389666.5644508</v>
      </c>
    </row>
    <row r="11" spans="1:17" x14ac:dyDescent="0.35">
      <c r="A11" s="172">
        <v>41891</v>
      </c>
      <c r="B11" s="59" t="s">
        <v>23</v>
      </c>
      <c r="C11" s="71">
        <v>307739.23790000001</v>
      </c>
      <c r="D11" s="71">
        <v>403886965.39999998</v>
      </c>
      <c r="E11" s="71">
        <v>85483.12163895728</v>
      </c>
      <c r="F11" s="72">
        <v>112190823.72231197</v>
      </c>
      <c r="I11" s="176">
        <v>41891</v>
      </c>
      <c r="J11" s="67" t="s">
        <v>23</v>
      </c>
      <c r="K11" s="78">
        <v>40741</v>
      </c>
      <c r="L11" s="79">
        <v>19064588.300000012</v>
      </c>
      <c r="M11" s="80">
        <v>11316.944444444443</v>
      </c>
      <c r="N11" s="81">
        <v>5295718.9722222257</v>
      </c>
      <c r="P11" s="43">
        <f t="shared" si="0"/>
        <v>96800.066083401718</v>
      </c>
      <c r="Q11" s="43">
        <f t="shared" si="1"/>
        <v>117486542.6945342</v>
      </c>
    </row>
    <row r="12" spans="1:17" x14ac:dyDescent="0.35">
      <c r="A12" s="172">
        <v>41892</v>
      </c>
      <c r="B12" s="59" t="s">
        <v>23</v>
      </c>
      <c r="C12" s="71">
        <v>385833.19500000001</v>
      </c>
      <c r="D12" s="71">
        <v>404272798.59499997</v>
      </c>
      <c r="E12" s="71">
        <v>107175.88750008574</v>
      </c>
      <c r="F12" s="72">
        <v>112297999.60981205</v>
      </c>
      <c r="I12" s="176">
        <v>41892</v>
      </c>
      <c r="J12" s="67" t="s">
        <v>23</v>
      </c>
      <c r="K12" s="78">
        <v>41095</v>
      </c>
      <c r="L12" s="79">
        <v>19105683.300000012</v>
      </c>
      <c r="M12" s="80">
        <v>11415.277777777777</v>
      </c>
      <c r="N12" s="81">
        <v>5307134.2500000037</v>
      </c>
      <c r="P12" s="43">
        <f t="shared" si="0"/>
        <v>118591.16527786352</v>
      </c>
      <c r="Q12" s="43">
        <f t="shared" si="1"/>
        <v>117605133.85981205</v>
      </c>
    </row>
    <row r="13" spans="1:17" x14ac:dyDescent="0.35">
      <c r="A13" s="172">
        <v>41893</v>
      </c>
      <c r="B13" s="59" t="s">
        <v>23</v>
      </c>
      <c r="C13" s="71">
        <v>813858.7</v>
      </c>
      <c r="D13" s="71">
        <v>405086657.29499996</v>
      </c>
      <c r="E13" s="71">
        <v>226071.86111129195</v>
      </c>
      <c r="F13" s="72">
        <v>112524071.47092333</v>
      </c>
      <c r="I13" s="176">
        <v>41893</v>
      </c>
      <c r="J13" s="67" t="s">
        <v>23</v>
      </c>
      <c r="K13" s="78">
        <v>40953</v>
      </c>
      <c r="L13" s="79">
        <v>19146636.300000012</v>
      </c>
      <c r="M13" s="80">
        <v>11375.833333333334</v>
      </c>
      <c r="N13" s="81">
        <v>5318510.0833333367</v>
      </c>
      <c r="P13" s="43">
        <f t="shared" si="0"/>
        <v>237447.69444462529</v>
      </c>
      <c r="Q13" s="43">
        <f t="shared" si="1"/>
        <v>117842581.55425668</v>
      </c>
    </row>
    <row r="14" spans="1:17" x14ac:dyDescent="0.35">
      <c r="A14" s="172">
        <v>41894</v>
      </c>
      <c r="B14" s="59" t="s">
        <v>23</v>
      </c>
      <c r="C14" s="71">
        <v>890489.3</v>
      </c>
      <c r="D14" s="71">
        <v>405977146.59499997</v>
      </c>
      <c r="E14" s="71">
        <v>247358.13888908678</v>
      </c>
      <c r="F14" s="72">
        <v>112771429.60981244</v>
      </c>
      <c r="I14" s="176">
        <v>41894</v>
      </c>
      <c r="J14" s="67" t="s">
        <v>23</v>
      </c>
      <c r="K14" s="78">
        <v>41157</v>
      </c>
      <c r="L14" s="79">
        <v>19187793.300000012</v>
      </c>
      <c r="M14" s="80">
        <v>11432.5</v>
      </c>
      <c r="N14" s="81">
        <v>5329942.5833333367</v>
      </c>
      <c r="P14" s="43">
        <f t="shared" si="0"/>
        <v>258790.63888908678</v>
      </c>
      <c r="Q14" s="43">
        <f t="shared" si="1"/>
        <v>118101372.19314578</v>
      </c>
    </row>
    <row r="15" spans="1:17" x14ac:dyDescent="0.35">
      <c r="A15" s="172">
        <v>41895</v>
      </c>
      <c r="B15" s="59" t="s">
        <v>23</v>
      </c>
      <c r="C15" s="71">
        <v>1167041.8999999999</v>
      </c>
      <c r="D15" s="71">
        <v>407144188.49499995</v>
      </c>
      <c r="E15" s="71">
        <v>324178.30555581488</v>
      </c>
      <c r="F15" s="72">
        <v>113095607.91536824</v>
      </c>
      <c r="I15" s="176">
        <v>41895</v>
      </c>
      <c r="J15" s="67" t="s">
        <v>23</v>
      </c>
      <c r="K15" s="78">
        <v>50862.5</v>
      </c>
      <c r="L15" s="79">
        <v>19238655.800000012</v>
      </c>
      <c r="M15" s="80">
        <v>14128.472222222223</v>
      </c>
      <c r="N15" s="81">
        <v>5344071.0555555588</v>
      </c>
      <c r="P15" s="43">
        <f t="shared" si="0"/>
        <v>338306.77777803713</v>
      </c>
      <c r="Q15" s="43">
        <f t="shared" si="1"/>
        <v>118439678.9709238</v>
      </c>
    </row>
    <row r="16" spans="1:17" x14ac:dyDescent="0.35">
      <c r="A16" s="172">
        <v>41896</v>
      </c>
      <c r="B16" s="59" t="s">
        <v>23</v>
      </c>
      <c r="C16" s="71">
        <v>1341877.2346999999</v>
      </c>
      <c r="D16" s="71">
        <v>408486065.72969997</v>
      </c>
      <c r="E16" s="71">
        <v>372743.6763058537</v>
      </c>
      <c r="F16" s="72">
        <v>113468351.5916741</v>
      </c>
      <c r="I16" s="176">
        <v>41896</v>
      </c>
      <c r="J16" s="67" t="s">
        <v>23</v>
      </c>
      <c r="K16" s="78">
        <v>51330.9</v>
      </c>
      <c r="L16" s="79">
        <v>19289986.70000001</v>
      </c>
      <c r="M16" s="80">
        <v>14258.583333333334</v>
      </c>
      <c r="N16" s="81">
        <v>5358329.6388888918</v>
      </c>
      <c r="P16" s="43">
        <f t="shared" si="0"/>
        <v>387002.25963918702</v>
      </c>
      <c r="Q16" s="43">
        <f t="shared" si="1"/>
        <v>118826681.230563</v>
      </c>
    </row>
    <row r="17" spans="1:17" x14ac:dyDescent="0.35">
      <c r="A17" s="172">
        <v>41897</v>
      </c>
      <c r="B17" s="59" t="s">
        <v>23</v>
      </c>
      <c r="C17" s="71">
        <v>804697.7355999999</v>
      </c>
      <c r="D17" s="71">
        <v>409290763.46529996</v>
      </c>
      <c r="E17" s="71">
        <v>223527.14877795658</v>
      </c>
      <c r="F17" s="72">
        <v>113691878.74045205</v>
      </c>
      <c r="I17" s="176">
        <v>41897</v>
      </c>
      <c r="J17" s="67" t="s">
        <v>23</v>
      </c>
      <c r="K17" s="78">
        <v>41895.300000000003</v>
      </c>
      <c r="L17" s="79">
        <v>19331882.000000011</v>
      </c>
      <c r="M17" s="80">
        <v>11637.583333333334</v>
      </c>
      <c r="N17" s="81">
        <v>5369967.2222222248</v>
      </c>
      <c r="P17" s="43">
        <f t="shared" si="0"/>
        <v>235164.73211128992</v>
      </c>
      <c r="Q17" s="43">
        <f t="shared" si="1"/>
        <v>119061845.96267428</v>
      </c>
    </row>
    <row r="18" spans="1:17" x14ac:dyDescent="0.35">
      <c r="A18" s="172">
        <v>41898</v>
      </c>
      <c r="B18" s="59" t="s">
        <v>23</v>
      </c>
      <c r="C18" s="71">
        <v>492818.3542</v>
      </c>
      <c r="D18" s="71">
        <v>409783581.81949997</v>
      </c>
      <c r="E18" s="71">
        <v>136893.9872778873</v>
      </c>
      <c r="F18" s="72">
        <v>113828772.72772995</v>
      </c>
      <c r="I18" s="176">
        <v>41898</v>
      </c>
      <c r="J18" s="67" t="s">
        <v>23</v>
      </c>
      <c r="K18" s="78">
        <v>41953</v>
      </c>
      <c r="L18" s="79">
        <v>19373835.000000011</v>
      </c>
      <c r="M18" s="80">
        <v>11653.611111111111</v>
      </c>
      <c r="N18" s="81">
        <v>5381620.8333333358</v>
      </c>
      <c r="P18" s="43">
        <f t="shared" si="0"/>
        <v>148547.59838899842</v>
      </c>
      <c r="Q18" s="43">
        <f t="shared" si="1"/>
        <v>119210393.56106329</v>
      </c>
    </row>
    <row r="19" spans="1:17" x14ac:dyDescent="0.35">
      <c r="A19" s="172">
        <v>41899</v>
      </c>
      <c r="B19" s="59" t="s">
        <v>23</v>
      </c>
      <c r="C19" s="71">
        <v>442545.4656</v>
      </c>
      <c r="D19" s="71">
        <v>410226127.28509998</v>
      </c>
      <c r="E19" s="71">
        <v>122929.29600009834</v>
      </c>
      <c r="F19" s="72">
        <v>113951702.02373004</v>
      </c>
      <c r="I19" s="176">
        <v>41899</v>
      </c>
      <c r="J19" s="67" t="s">
        <v>23</v>
      </c>
      <c r="K19" s="78">
        <v>41557</v>
      </c>
      <c r="L19" s="79">
        <v>19415392.000000011</v>
      </c>
      <c r="M19" s="80">
        <v>11543.611111111111</v>
      </c>
      <c r="N19" s="81">
        <v>5393164.4444444468</v>
      </c>
      <c r="P19" s="43">
        <f t="shared" si="0"/>
        <v>134472.90711120947</v>
      </c>
      <c r="Q19" s="43">
        <f t="shared" si="1"/>
        <v>119344866.46817449</v>
      </c>
    </row>
    <row r="20" spans="1:17" x14ac:dyDescent="0.35">
      <c r="A20" s="172">
        <v>41900</v>
      </c>
      <c r="B20" s="59" t="s">
        <v>23</v>
      </c>
      <c r="C20" s="71">
        <v>653996.19999999995</v>
      </c>
      <c r="D20" s="71">
        <v>410880123.48509997</v>
      </c>
      <c r="E20" s="71">
        <v>181665.61111125644</v>
      </c>
      <c r="F20" s="72">
        <v>114133367.63484129</v>
      </c>
      <c r="I20" s="176">
        <v>41900</v>
      </c>
      <c r="J20" s="67" t="s">
        <v>23</v>
      </c>
      <c r="K20" s="78">
        <v>41602</v>
      </c>
      <c r="L20" s="79">
        <v>19456994.000000011</v>
      </c>
      <c r="M20" s="80">
        <v>11556.111111111111</v>
      </c>
      <c r="N20" s="81">
        <v>5404720.5555555578</v>
      </c>
      <c r="P20" s="43">
        <f t="shared" si="0"/>
        <v>193221.72222236756</v>
      </c>
      <c r="Q20" s="43">
        <f t="shared" si="1"/>
        <v>119538088.19039685</v>
      </c>
    </row>
    <row r="21" spans="1:17" x14ac:dyDescent="0.35">
      <c r="A21" s="172">
        <v>41901</v>
      </c>
      <c r="B21" s="59" t="s">
        <v>23</v>
      </c>
      <c r="C21" s="71">
        <v>706066.6</v>
      </c>
      <c r="D21" s="71">
        <v>411586190.0851</v>
      </c>
      <c r="E21" s="71">
        <v>196129.61111126802</v>
      </c>
      <c r="F21" s="72">
        <v>114329497.24595258</v>
      </c>
      <c r="I21" s="176">
        <v>41901</v>
      </c>
      <c r="J21" s="67" t="s">
        <v>23</v>
      </c>
      <c r="K21" s="78">
        <v>69549</v>
      </c>
      <c r="L21" s="79">
        <v>19526543.000000011</v>
      </c>
      <c r="M21" s="80">
        <v>19319.166666666668</v>
      </c>
      <c r="N21" s="81">
        <v>5424039.7222222248</v>
      </c>
      <c r="P21" s="43">
        <f t="shared" si="0"/>
        <v>215448.77777793468</v>
      </c>
      <c r="Q21" s="43">
        <f t="shared" si="1"/>
        <v>119753536.9681748</v>
      </c>
    </row>
    <row r="22" spans="1:17" x14ac:dyDescent="0.35">
      <c r="A22" s="172">
        <v>41902</v>
      </c>
      <c r="B22" s="59" t="s">
        <v>23</v>
      </c>
      <c r="C22" s="71">
        <v>1088190.2</v>
      </c>
      <c r="D22" s="71">
        <v>412674380.28509998</v>
      </c>
      <c r="E22" s="71">
        <v>302275.05555579736</v>
      </c>
      <c r="F22" s="72">
        <v>114631772.30150837</v>
      </c>
      <c r="I22" s="176">
        <v>41902</v>
      </c>
      <c r="J22" s="67" t="s">
        <v>23</v>
      </c>
      <c r="K22" s="78">
        <v>76302.200000000012</v>
      </c>
      <c r="L22" s="79">
        <v>19602845.20000001</v>
      </c>
      <c r="M22" s="80">
        <v>21195.055555555558</v>
      </c>
      <c r="N22" s="81">
        <v>5445234.7777777808</v>
      </c>
      <c r="P22" s="43">
        <f t="shared" si="0"/>
        <v>323470.11111135292</v>
      </c>
      <c r="Q22" s="43">
        <f t="shared" si="1"/>
        <v>120077007.07928614</v>
      </c>
    </row>
    <row r="23" spans="1:17" x14ac:dyDescent="0.35">
      <c r="A23" s="172">
        <v>41903</v>
      </c>
      <c r="B23" s="59" t="s">
        <v>23</v>
      </c>
      <c r="C23" s="71">
        <v>1326968.18</v>
      </c>
      <c r="D23" s="71">
        <v>414001348.46509999</v>
      </c>
      <c r="E23" s="71">
        <v>368602.27222251712</v>
      </c>
      <c r="F23" s="72">
        <v>115000374.57373089</v>
      </c>
      <c r="I23" s="176">
        <v>41903</v>
      </c>
      <c r="J23" s="67" t="s">
        <v>23</v>
      </c>
      <c r="K23" s="78">
        <v>72500.399999999994</v>
      </c>
      <c r="L23" s="79">
        <v>19675345.600000009</v>
      </c>
      <c r="M23" s="80">
        <v>20138.999999999996</v>
      </c>
      <c r="N23" s="81">
        <v>5465373.7777777808</v>
      </c>
      <c r="P23" s="43">
        <f t="shared" si="0"/>
        <v>388741.27222251712</v>
      </c>
      <c r="Q23" s="43">
        <f t="shared" si="1"/>
        <v>120465748.35150866</v>
      </c>
    </row>
    <row r="24" spans="1:17" x14ac:dyDescent="0.35">
      <c r="A24" s="172">
        <v>41904</v>
      </c>
      <c r="B24" s="59" t="s">
        <v>23</v>
      </c>
      <c r="C24" s="71">
        <v>909811.2929</v>
      </c>
      <c r="D24" s="71">
        <v>414911159.75800002</v>
      </c>
      <c r="E24" s="71">
        <v>252725.35913909107</v>
      </c>
      <c r="F24" s="72">
        <v>115253099.93286999</v>
      </c>
      <c r="I24" s="176">
        <v>41904</v>
      </c>
      <c r="J24" s="67" t="s">
        <v>23</v>
      </c>
      <c r="K24" s="78">
        <v>56254.400000000001</v>
      </c>
      <c r="L24" s="79">
        <v>19731600.000000007</v>
      </c>
      <c r="M24" s="80">
        <v>15626.222222222223</v>
      </c>
      <c r="N24" s="81">
        <v>5481000.0000000028</v>
      </c>
      <c r="P24" s="43">
        <f t="shared" si="0"/>
        <v>268351.58136131329</v>
      </c>
      <c r="Q24" s="43">
        <f t="shared" si="1"/>
        <v>120734099.93286999</v>
      </c>
    </row>
    <row r="25" spans="1:17" x14ac:dyDescent="0.35">
      <c r="A25" s="172">
        <v>41905</v>
      </c>
      <c r="B25" s="59" t="s">
        <v>23</v>
      </c>
      <c r="C25" s="71">
        <v>897300.51209999993</v>
      </c>
      <c r="D25" s="71">
        <v>415808460.2701</v>
      </c>
      <c r="E25" s="71">
        <v>249250.14225019939</v>
      </c>
      <c r="F25" s="72">
        <v>115502350.07512018</v>
      </c>
      <c r="I25" s="176">
        <v>41905</v>
      </c>
      <c r="J25" s="67" t="s">
        <v>23</v>
      </c>
      <c r="K25" s="78">
        <v>53192.4</v>
      </c>
      <c r="L25" s="79">
        <v>19784792.400000006</v>
      </c>
      <c r="M25" s="80">
        <v>14775.666666666666</v>
      </c>
      <c r="N25" s="81">
        <v>5495775.6666666698</v>
      </c>
      <c r="P25" s="43">
        <f t="shared" si="0"/>
        <v>264025.80891686608</v>
      </c>
      <c r="Q25" s="43">
        <f t="shared" si="1"/>
        <v>120998125.74178685</v>
      </c>
    </row>
    <row r="26" spans="1:17" x14ac:dyDescent="0.35">
      <c r="A26" s="172">
        <v>41906</v>
      </c>
      <c r="B26" s="59" t="s">
        <v>23</v>
      </c>
      <c r="C26" s="71">
        <v>904330.8493</v>
      </c>
      <c r="D26" s="71">
        <v>416712791.11940002</v>
      </c>
      <c r="E26" s="71">
        <v>251203.0136946454</v>
      </c>
      <c r="F26" s="72">
        <v>115753553.08881484</v>
      </c>
      <c r="I26" s="176">
        <v>41906</v>
      </c>
      <c r="J26" s="67" t="s">
        <v>23</v>
      </c>
      <c r="K26" s="78">
        <v>53270</v>
      </c>
      <c r="L26" s="79">
        <v>19838062.400000006</v>
      </c>
      <c r="M26" s="80">
        <v>14797.222222222223</v>
      </c>
      <c r="N26" s="81">
        <v>5510572.8888888918</v>
      </c>
      <c r="P26" s="43">
        <f t="shared" si="0"/>
        <v>266000.23591686762</v>
      </c>
      <c r="Q26" s="43">
        <f t="shared" si="1"/>
        <v>121264125.97770374</v>
      </c>
    </row>
    <row r="27" spans="1:17" x14ac:dyDescent="0.35">
      <c r="A27" s="172">
        <v>41907</v>
      </c>
      <c r="B27" s="59" t="s">
        <v>23</v>
      </c>
      <c r="C27" s="71">
        <v>579609.1</v>
      </c>
      <c r="D27" s="71">
        <v>417292400.21940005</v>
      </c>
      <c r="E27" s="71">
        <v>161002.52777790657</v>
      </c>
      <c r="F27" s="72">
        <v>115914555.61659275</v>
      </c>
      <c r="I27" s="176">
        <v>41907</v>
      </c>
      <c r="J27" s="67" t="s">
        <v>23</v>
      </c>
      <c r="K27" s="78">
        <v>52793</v>
      </c>
      <c r="L27" s="79">
        <v>19890855.400000006</v>
      </c>
      <c r="M27" s="80">
        <v>14664.722222222223</v>
      </c>
      <c r="N27" s="81">
        <v>5525237.6111111138</v>
      </c>
      <c r="P27" s="43">
        <f t="shared" si="0"/>
        <v>175667.25000012878</v>
      </c>
      <c r="Q27" s="43">
        <f t="shared" si="1"/>
        <v>121439793.22770387</v>
      </c>
    </row>
    <row r="28" spans="1:17" x14ac:dyDescent="0.35">
      <c r="A28" s="172">
        <v>41908</v>
      </c>
      <c r="B28" s="59" t="s">
        <v>23</v>
      </c>
      <c r="C28" s="71">
        <v>877265.5</v>
      </c>
      <c r="D28" s="71">
        <v>418169665.71940005</v>
      </c>
      <c r="E28" s="71">
        <v>243684.86111130606</v>
      </c>
      <c r="F28" s="72">
        <v>116158240.47770405</v>
      </c>
      <c r="I28" s="176">
        <v>41908</v>
      </c>
      <c r="J28" s="67" t="s">
        <v>23</v>
      </c>
      <c r="K28" s="78">
        <v>69586</v>
      </c>
      <c r="L28" s="79">
        <v>19960441.400000006</v>
      </c>
      <c r="M28" s="80">
        <v>19329.444444444445</v>
      </c>
      <c r="N28" s="81">
        <v>5544567.0555555578</v>
      </c>
      <c r="P28" s="43">
        <f t="shared" si="0"/>
        <v>263014.3055557505</v>
      </c>
      <c r="Q28" s="43">
        <f t="shared" si="1"/>
        <v>121702807.5332596</v>
      </c>
    </row>
    <row r="29" spans="1:17" x14ac:dyDescent="0.35">
      <c r="A29" s="172">
        <v>41909</v>
      </c>
      <c r="B29" s="59" t="s">
        <v>23</v>
      </c>
      <c r="C29" s="71">
        <v>1386718.8</v>
      </c>
      <c r="D29" s="71">
        <v>419556384.51940006</v>
      </c>
      <c r="E29" s="71">
        <v>385199.66666697484</v>
      </c>
      <c r="F29" s="72">
        <v>116543440.14437103</v>
      </c>
      <c r="I29" s="176">
        <v>41909</v>
      </c>
      <c r="J29" s="67" t="s">
        <v>23</v>
      </c>
      <c r="K29" s="78">
        <v>72132</v>
      </c>
      <c r="L29" s="79">
        <v>20032573.400000006</v>
      </c>
      <c r="M29" s="80">
        <v>20036.666666666668</v>
      </c>
      <c r="N29" s="81">
        <v>5564603.7222222248</v>
      </c>
      <c r="P29" s="43">
        <f t="shared" si="0"/>
        <v>405236.33333364152</v>
      </c>
      <c r="Q29" s="43">
        <f t="shared" si="1"/>
        <v>122108043.86659326</v>
      </c>
    </row>
    <row r="30" spans="1:17" x14ac:dyDescent="0.35">
      <c r="A30" s="172">
        <v>41910</v>
      </c>
      <c r="B30" s="59" t="s">
        <v>23</v>
      </c>
      <c r="C30" s="71">
        <v>938718.86129999999</v>
      </c>
      <c r="D30" s="71">
        <v>420495103.38070005</v>
      </c>
      <c r="E30" s="71">
        <v>260755.2392502086</v>
      </c>
      <c r="F30" s="72">
        <v>116804195.38362123</v>
      </c>
      <c r="I30" s="176">
        <v>41910</v>
      </c>
      <c r="J30" s="67" t="s">
        <v>23</v>
      </c>
      <c r="K30" s="78">
        <v>68883</v>
      </c>
      <c r="L30" s="79">
        <v>20101456.400000006</v>
      </c>
      <c r="M30" s="80">
        <v>19134.166666666668</v>
      </c>
      <c r="N30" s="81">
        <v>5583737.8888888918</v>
      </c>
      <c r="P30" s="43">
        <f t="shared" si="0"/>
        <v>279889.40591687529</v>
      </c>
      <c r="Q30" s="43">
        <f t="shared" si="1"/>
        <v>122387933.27251013</v>
      </c>
    </row>
    <row r="31" spans="1:17" x14ac:dyDescent="0.35">
      <c r="A31" s="172">
        <v>41911</v>
      </c>
      <c r="B31" s="59" t="s">
        <v>23</v>
      </c>
      <c r="C31" s="71">
        <v>667143.17980000004</v>
      </c>
      <c r="D31" s="71">
        <v>421162246.56050003</v>
      </c>
      <c r="E31" s="71">
        <v>185317.5499445927</v>
      </c>
      <c r="F31" s="72">
        <v>116989512.93356583</v>
      </c>
      <c r="I31" s="176">
        <v>41911</v>
      </c>
      <c r="J31" s="67" t="s">
        <v>23</v>
      </c>
      <c r="K31" s="78">
        <v>58153</v>
      </c>
      <c r="L31" s="79">
        <v>20159609.400000006</v>
      </c>
      <c r="M31" s="80">
        <v>16153.611111111111</v>
      </c>
      <c r="N31" s="81">
        <v>5599891.5000000028</v>
      </c>
      <c r="P31" s="43">
        <f t="shared" si="0"/>
        <v>201471.16105570382</v>
      </c>
      <c r="Q31" s="43">
        <f t="shared" si="1"/>
        <v>122589404.43356583</v>
      </c>
    </row>
    <row r="32" spans="1:17" x14ac:dyDescent="0.35">
      <c r="A32" s="173">
        <v>41912</v>
      </c>
      <c r="B32" s="60" t="s">
        <v>23</v>
      </c>
      <c r="C32" s="73">
        <v>427764.05079999997</v>
      </c>
      <c r="D32" s="73">
        <v>421590010.61130005</v>
      </c>
      <c r="E32" s="73">
        <v>118823.3474445395</v>
      </c>
      <c r="F32" s="74">
        <v>117108336.28101037</v>
      </c>
      <c r="I32" s="176">
        <v>41912</v>
      </c>
      <c r="J32" s="67" t="s">
        <v>23</v>
      </c>
      <c r="K32" s="78">
        <v>49448</v>
      </c>
      <c r="L32" s="79">
        <v>20209057.400000006</v>
      </c>
      <c r="M32" s="80">
        <v>13735.555555555555</v>
      </c>
      <c r="N32" s="81">
        <v>5613627.0555555588</v>
      </c>
      <c r="P32" s="43">
        <f t="shared" si="0"/>
        <v>132558.90300009504</v>
      </c>
      <c r="Q32" s="43">
        <f t="shared" si="1"/>
        <v>122721963.33656593</v>
      </c>
    </row>
    <row r="33" spans="1:17" x14ac:dyDescent="0.35">
      <c r="A33" s="172">
        <v>41913</v>
      </c>
      <c r="B33" s="59" t="s">
        <v>23</v>
      </c>
      <c r="C33" s="71">
        <v>9000.6625999999997</v>
      </c>
      <c r="D33" s="71">
        <v>421599011.27390003</v>
      </c>
      <c r="E33" s="71">
        <v>2500.1840555575554</v>
      </c>
      <c r="F33" s="72">
        <v>117110836.46506593</v>
      </c>
      <c r="I33" s="176">
        <v>41913</v>
      </c>
      <c r="J33" s="67" t="s">
        <v>23</v>
      </c>
      <c r="K33" s="78">
        <v>18140</v>
      </c>
      <c r="L33" s="79">
        <v>20227197.400000006</v>
      </c>
      <c r="M33" s="80">
        <v>5038.8888888888887</v>
      </c>
      <c r="N33" s="81">
        <v>5618665.9444444459</v>
      </c>
      <c r="P33" s="43">
        <f t="shared" si="0"/>
        <v>7539.0729444464441</v>
      </c>
      <c r="Q33" s="43">
        <f t="shared" si="1"/>
        <v>122729502.40951037</v>
      </c>
    </row>
    <row r="34" spans="1:17" x14ac:dyDescent="0.35">
      <c r="A34" s="172">
        <v>41914</v>
      </c>
      <c r="B34" s="59" t="s">
        <v>23</v>
      </c>
      <c r="C34" s="71">
        <v>92801.593800000002</v>
      </c>
      <c r="D34" s="71">
        <v>421691812.86770004</v>
      </c>
      <c r="E34" s="71">
        <v>25778.220500020623</v>
      </c>
      <c r="F34" s="72">
        <v>117136614.68556595</v>
      </c>
      <c r="I34" s="176">
        <v>41914</v>
      </c>
      <c r="J34" s="67" t="s">
        <v>23</v>
      </c>
      <c r="K34" s="78">
        <v>77130</v>
      </c>
      <c r="L34" s="79">
        <v>20304327.400000006</v>
      </c>
      <c r="M34" s="80">
        <v>21425</v>
      </c>
      <c r="N34" s="81">
        <v>5640090.9444444459</v>
      </c>
      <c r="P34" s="43">
        <f t="shared" si="0"/>
        <v>47203.220500020623</v>
      </c>
      <c r="Q34" s="43">
        <f t="shared" si="1"/>
        <v>122776705.6300104</v>
      </c>
    </row>
    <row r="35" spans="1:17" x14ac:dyDescent="0.35">
      <c r="A35" s="172">
        <v>41915</v>
      </c>
      <c r="B35" s="59" t="s">
        <v>23</v>
      </c>
      <c r="C35" s="71">
        <v>1967.9</v>
      </c>
      <c r="D35" s="71">
        <v>421693780.76770002</v>
      </c>
      <c r="E35" s="71">
        <v>546.63888888932627</v>
      </c>
      <c r="F35" s="72">
        <v>117137161.32445483</v>
      </c>
      <c r="I35" s="176">
        <v>41915</v>
      </c>
      <c r="J35" s="67" t="s">
        <v>23</v>
      </c>
      <c r="K35" s="78">
        <v>93608</v>
      </c>
      <c r="L35" s="79">
        <v>20397935.400000006</v>
      </c>
      <c r="M35" s="80">
        <v>26002.222222222223</v>
      </c>
      <c r="N35" s="81">
        <v>5666093.1666666679</v>
      </c>
      <c r="P35" s="43">
        <f t="shared" si="0"/>
        <v>26548.86111111155</v>
      </c>
      <c r="Q35" s="43">
        <f t="shared" si="1"/>
        <v>122803254.4911215</v>
      </c>
    </row>
    <row r="36" spans="1:17" x14ac:dyDescent="0.35">
      <c r="A36" s="172">
        <v>41916</v>
      </c>
      <c r="B36" s="59" t="s">
        <v>23</v>
      </c>
      <c r="C36" s="71">
        <v>-600.6</v>
      </c>
      <c r="D36" s="71">
        <v>421693180.16769999</v>
      </c>
      <c r="E36" s="71">
        <v>-166.83333333346681</v>
      </c>
      <c r="F36" s="72">
        <v>117136994.49112149</v>
      </c>
      <c r="I36" s="176">
        <v>41916</v>
      </c>
      <c r="J36" s="67" t="s">
        <v>23</v>
      </c>
      <c r="K36" s="78">
        <v>0</v>
      </c>
      <c r="L36" s="79">
        <v>20397935.400000006</v>
      </c>
      <c r="M36" s="80">
        <v>0</v>
      </c>
      <c r="N36" s="81">
        <v>5666093.1666666679</v>
      </c>
      <c r="P36" s="43">
        <f t="shared" si="0"/>
        <v>-166.83333333346681</v>
      </c>
      <c r="Q36" s="43">
        <f t="shared" si="1"/>
        <v>122803087.65778816</v>
      </c>
    </row>
    <row r="37" spans="1:17" x14ac:dyDescent="0.35">
      <c r="A37" s="172">
        <v>41917</v>
      </c>
      <c r="B37" s="59" t="s">
        <v>23</v>
      </c>
      <c r="C37" s="71">
        <v>14176.188</v>
      </c>
      <c r="D37" s="71">
        <v>421708073.60000002</v>
      </c>
      <c r="E37" s="71">
        <v>3937.8300000031504</v>
      </c>
      <c r="F37" s="72">
        <v>117141131.55564928</v>
      </c>
      <c r="I37" s="176">
        <v>41917</v>
      </c>
      <c r="J37" s="67" t="s">
        <v>23</v>
      </c>
      <c r="K37" s="78">
        <v>0</v>
      </c>
      <c r="L37" s="79">
        <v>20397935.400000006</v>
      </c>
      <c r="M37" s="80">
        <v>0</v>
      </c>
      <c r="N37" s="81">
        <v>5666093.1666666679</v>
      </c>
      <c r="P37" s="43">
        <f t="shared" si="0"/>
        <v>3937.8300000031504</v>
      </c>
      <c r="Q37" s="43">
        <f t="shared" si="1"/>
        <v>122807224.72231595</v>
      </c>
    </row>
    <row r="38" spans="1:17" x14ac:dyDescent="0.35">
      <c r="A38" s="172">
        <v>41918</v>
      </c>
      <c r="B38" s="59" t="s">
        <v>23</v>
      </c>
      <c r="C38" s="71">
        <v>293832.48950000003</v>
      </c>
      <c r="D38" s="71">
        <v>422001906.08950001</v>
      </c>
      <c r="E38" s="71">
        <v>81620.13597228752</v>
      </c>
      <c r="F38" s="72">
        <v>117222751.69162156</v>
      </c>
      <c r="I38" s="176">
        <v>41918</v>
      </c>
      <c r="J38" s="67" t="s">
        <v>23</v>
      </c>
      <c r="K38" s="78">
        <v>28907</v>
      </c>
      <c r="L38" s="79">
        <v>20426842.400000006</v>
      </c>
      <c r="M38" s="80">
        <v>8029.7222222222217</v>
      </c>
      <c r="N38" s="81">
        <v>5674122.8888888899</v>
      </c>
      <c r="P38" s="43">
        <f t="shared" si="0"/>
        <v>89649.858194509739</v>
      </c>
      <c r="Q38" s="43">
        <f t="shared" si="1"/>
        <v>122896874.58051045</v>
      </c>
    </row>
    <row r="39" spans="1:17" x14ac:dyDescent="0.35">
      <c r="A39" s="172">
        <v>41919</v>
      </c>
      <c r="B39" s="59" t="s">
        <v>23</v>
      </c>
      <c r="C39" s="71">
        <v>103632.9718</v>
      </c>
      <c r="D39" s="71">
        <v>422105539.06130004</v>
      </c>
      <c r="E39" s="71">
        <v>28786.936611134141</v>
      </c>
      <c r="F39" s="72">
        <v>117251538.6282327</v>
      </c>
      <c r="I39" s="176">
        <v>41919</v>
      </c>
      <c r="J39" s="67" t="s">
        <v>23</v>
      </c>
      <c r="K39" s="78">
        <v>0</v>
      </c>
      <c r="L39" s="79">
        <v>20426842.400000006</v>
      </c>
      <c r="M39" s="80">
        <v>0</v>
      </c>
      <c r="N39" s="81">
        <v>5674122.8888888899</v>
      </c>
      <c r="P39" s="43">
        <f t="shared" si="0"/>
        <v>28786.936611134141</v>
      </c>
      <c r="Q39" s="43">
        <f t="shared" si="1"/>
        <v>122925661.5171216</v>
      </c>
    </row>
    <row r="40" spans="1:17" x14ac:dyDescent="0.35">
      <c r="A40" s="172">
        <v>41920</v>
      </c>
      <c r="B40" s="59" t="s">
        <v>23</v>
      </c>
      <c r="C40" s="71">
        <v>110001.7</v>
      </c>
      <c r="D40" s="71">
        <v>422215540.76130003</v>
      </c>
      <c r="E40" s="71">
        <v>30556.027777802221</v>
      </c>
      <c r="F40" s="72">
        <v>117282094.65601049</v>
      </c>
      <c r="I40" s="176">
        <v>41920</v>
      </c>
      <c r="J40" s="67" t="s">
        <v>23</v>
      </c>
      <c r="K40" s="78">
        <v>0</v>
      </c>
      <c r="L40" s="79">
        <v>20426842.400000006</v>
      </c>
      <c r="M40" s="80">
        <v>0</v>
      </c>
      <c r="N40" s="81">
        <v>5674122.8888888899</v>
      </c>
      <c r="P40" s="43">
        <f t="shared" si="0"/>
        <v>30556.027777802221</v>
      </c>
      <c r="Q40" s="43">
        <f t="shared" si="1"/>
        <v>122956217.54489939</v>
      </c>
    </row>
    <row r="41" spans="1:17" x14ac:dyDescent="0.35">
      <c r="A41" s="172">
        <v>41921</v>
      </c>
      <c r="B41" s="59" t="s">
        <v>23</v>
      </c>
      <c r="C41" s="71">
        <v>582552.4</v>
      </c>
      <c r="D41" s="71">
        <v>422798093.1613</v>
      </c>
      <c r="E41" s="71">
        <v>161820.11111124058</v>
      </c>
      <c r="F41" s="72">
        <v>117443914.76712173</v>
      </c>
      <c r="I41" s="176">
        <v>41921</v>
      </c>
      <c r="J41" s="67" t="s">
        <v>23</v>
      </c>
      <c r="K41" s="78">
        <v>0</v>
      </c>
      <c r="L41" s="79">
        <v>20426842.400000006</v>
      </c>
      <c r="M41" s="80">
        <v>0</v>
      </c>
      <c r="N41" s="81">
        <v>5674122.8888888899</v>
      </c>
      <c r="P41" s="43">
        <f t="shared" si="0"/>
        <v>161820.11111124058</v>
      </c>
      <c r="Q41" s="43">
        <f t="shared" si="1"/>
        <v>123118037.65601063</v>
      </c>
    </row>
    <row r="42" spans="1:17" x14ac:dyDescent="0.35">
      <c r="A42" s="172">
        <v>41922</v>
      </c>
      <c r="B42" s="59" t="s">
        <v>23</v>
      </c>
      <c r="C42" s="71">
        <v>487993.7</v>
      </c>
      <c r="D42" s="71">
        <v>423286086.86129999</v>
      </c>
      <c r="E42" s="71">
        <v>135553.805555664</v>
      </c>
      <c r="F42" s="72">
        <v>117579468.57267739</v>
      </c>
      <c r="I42" s="176">
        <v>41922</v>
      </c>
      <c r="J42" s="67" t="s">
        <v>23</v>
      </c>
      <c r="K42" s="78">
        <v>0</v>
      </c>
      <c r="L42" s="79">
        <v>20426842.400000006</v>
      </c>
      <c r="M42" s="80">
        <v>0</v>
      </c>
      <c r="N42" s="81">
        <v>5674122.8888888899</v>
      </c>
      <c r="P42" s="43">
        <f t="shared" si="0"/>
        <v>135553.805555664</v>
      </c>
      <c r="Q42" s="43">
        <f t="shared" si="1"/>
        <v>123253591.46156628</v>
      </c>
    </row>
    <row r="43" spans="1:17" x14ac:dyDescent="0.35">
      <c r="A43" s="172">
        <v>41923</v>
      </c>
      <c r="B43" s="59" t="s">
        <v>23</v>
      </c>
      <c r="C43" s="71">
        <v>1001943.3</v>
      </c>
      <c r="D43" s="71">
        <v>424288030.1613</v>
      </c>
      <c r="E43" s="71">
        <v>278317.58333355602</v>
      </c>
      <c r="F43" s="72">
        <v>117857786.15601096</v>
      </c>
      <c r="I43" s="176">
        <v>41923</v>
      </c>
      <c r="J43" s="67" t="s">
        <v>23</v>
      </c>
      <c r="K43" s="78">
        <v>0</v>
      </c>
      <c r="L43" s="79">
        <v>20426842.400000006</v>
      </c>
      <c r="M43" s="80">
        <v>0</v>
      </c>
      <c r="N43" s="81">
        <v>5674122.8888888899</v>
      </c>
      <c r="P43" s="43">
        <f t="shared" si="0"/>
        <v>278317.58333355602</v>
      </c>
      <c r="Q43" s="43">
        <f t="shared" si="1"/>
        <v>123531909.04489985</v>
      </c>
    </row>
    <row r="44" spans="1:17" x14ac:dyDescent="0.35">
      <c r="A44" s="172">
        <v>41924</v>
      </c>
      <c r="B44" s="59" t="s">
        <v>23</v>
      </c>
      <c r="C44" s="71">
        <v>1188564.3887</v>
      </c>
      <c r="D44" s="71">
        <v>425476594.55000001</v>
      </c>
      <c r="E44" s="71">
        <v>330156.77463915304</v>
      </c>
      <c r="F44" s="72">
        <v>118187942.93065012</v>
      </c>
      <c r="I44" s="176">
        <v>41924</v>
      </c>
      <c r="J44" s="67" t="s">
        <v>23</v>
      </c>
      <c r="K44" s="78">
        <v>0</v>
      </c>
      <c r="L44" s="79">
        <v>20426842.400000006</v>
      </c>
      <c r="M44" s="80">
        <v>0</v>
      </c>
      <c r="N44" s="81">
        <v>5674122.8888888899</v>
      </c>
      <c r="P44" s="43">
        <f t="shared" si="0"/>
        <v>330156.77463915304</v>
      </c>
      <c r="Q44" s="43">
        <f t="shared" si="1"/>
        <v>123862065.81953901</v>
      </c>
    </row>
    <row r="45" spans="1:17" x14ac:dyDescent="0.35">
      <c r="A45" s="172">
        <v>41925</v>
      </c>
      <c r="B45" s="59" t="s">
        <v>23</v>
      </c>
      <c r="C45" s="71">
        <v>273928.84350000002</v>
      </c>
      <c r="D45" s="71">
        <v>425750523.39350003</v>
      </c>
      <c r="E45" s="71">
        <v>76091.345416727549</v>
      </c>
      <c r="F45" s="72">
        <v>118264034.27606684</v>
      </c>
      <c r="I45" s="176">
        <v>41925</v>
      </c>
      <c r="J45" s="67" t="s">
        <v>23</v>
      </c>
      <c r="K45" s="78">
        <v>0</v>
      </c>
      <c r="L45" s="79">
        <v>20426842.400000006</v>
      </c>
      <c r="M45" s="80">
        <v>0</v>
      </c>
      <c r="N45" s="81">
        <v>5674122.8888888899</v>
      </c>
      <c r="P45" s="43">
        <f t="shared" si="0"/>
        <v>76091.345416727549</v>
      </c>
      <c r="Q45" s="43">
        <f t="shared" si="1"/>
        <v>123938157.16495574</v>
      </c>
    </row>
    <row r="46" spans="1:17" x14ac:dyDescent="0.35">
      <c r="A46" s="172">
        <v>41926</v>
      </c>
      <c r="B46" s="59" t="s">
        <v>23</v>
      </c>
      <c r="C46" s="71">
        <v>457968.97220000002</v>
      </c>
      <c r="D46" s="71">
        <v>426208492.36570001</v>
      </c>
      <c r="E46" s="71">
        <v>127213.60338899067</v>
      </c>
      <c r="F46" s="72">
        <v>118391247.87945582</v>
      </c>
      <c r="I46" s="176">
        <v>41926</v>
      </c>
      <c r="J46" s="67" t="s">
        <v>23</v>
      </c>
      <c r="K46" s="78">
        <v>0</v>
      </c>
      <c r="L46" s="79">
        <v>20426842.400000006</v>
      </c>
      <c r="M46" s="80">
        <v>0</v>
      </c>
      <c r="N46" s="81">
        <v>5674122.8888888899</v>
      </c>
      <c r="P46" s="43">
        <f t="shared" si="0"/>
        <v>127213.60338899067</v>
      </c>
      <c r="Q46" s="43">
        <f t="shared" si="1"/>
        <v>124065370.76834472</v>
      </c>
    </row>
    <row r="47" spans="1:17" x14ac:dyDescent="0.35">
      <c r="A47" s="172">
        <v>41927</v>
      </c>
      <c r="B47" s="59" t="s">
        <v>23</v>
      </c>
      <c r="C47" s="71">
        <v>379617.4448</v>
      </c>
      <c r="D47" s="71">
        <v>426588109.81050003</v>
      </c>
      <c r="E47" s="71">
        <v>105449.29022230658</v>
      </c>
      <c r="F47" s="72">
        <v>118496697.16967814</v>
      </c>
      <c r="I47" s="176">
        <v>41927</v>
      </c>
      <c r="J47" s="67" t="s">
        <v>23</v>
      </c>
      <c r="K47" s="78">
        <v>0</v>
      </c>
      <c r="L47" s="79">
        <v>20426842.400000006</v>
      </c>
      <c r="M47" s="80">
        <v>0</v>
      </c>
      <c r="N47" s="81">
        <v>5674122.8888888899</v>
      </c>
      <c r="P47" s="43">
        <f t="shared" si="0"/>
        <v>105449.29022230658</v>
      </c>
      <c r="Q47" s="43">
        <f t="shared" si="1"/>
        <v>124170820.05856703</v>
      </c>
    </row>
    <row r="48" spans="1:17" x14ac:dyDescent="0.35">
      <c r="A48" s="172">
        <v>41928</v>
      </c>
      <c r="B48" s="59" t="s">
        <v>23</v>
      </c>
      <c r="C48" s="71">
        <v>557149.6</v>
      </c>
      <c r="D48" s="71">
        <v>427145259.41050005</v>
      </c>
      <c r="E48" s="71">
        <v>154763.77777790159</v>
      </c>
      <c r="F48" s="72">
        <v>118651460.94745605</v>
      </c>
      <c r="I48" s="176">
        <v>41928</v>
      </c>
      <c r="J48" s="67" t="s">
        <v>23</v>
      </c>
      <c r="K48" s="78">
        <v>0</v>
      </c>
      <c r="L48" s="79">
        <v>20426842.400000006</v>
      </c>
      <c r="M48" s="80">
        <v>0</v>
      </c>
      <c r="N48" s="81">
        <v>5674122.8888888899</v>
      </c>
      <c r="P48" s="43">
        <f t="shared" si="0"/>
        <v>154763.77777790159</v>
      </c>
      <c r="Q48" s="43">
        <f t="shared" si="1"/>
        <v>124325583.83634494</v>
      </c>
    </row>
    <row r="49" spans="1:22" x14ac:dyDescent="0.35">
      <c r="A49" s="172">
        <v>41929</v>
      </c>
      <c r="B49" s="59" t="s">
        <v>23</v>
      </c>
      <c r="C49" s="71">
        <v>779834.3</v>
      </c>
      <c r="D49" s="71">
        <v>427925093.71050006</v>
      </c>
      <c r="E49" s="71">
        <v>216620.63888906219</v>
      </c>
      <c r="F49" s="72">
        <v>118868081.58634511</v>
      </c>
      <c r="I49" s="176">
        <v>41929</v>
      </c>
      <c r="J49" s="67" t="s">
        <v>23</v>
      </c>
      <c r="K49" s="78">
        <v>0</v>
      </c>
      <c r="L49" s="79">
        <v>20426842.400000006</v>
      </c>
      <c r="M49" s="80">
        <v>0</v>
      </c>
      <c r="N49" s="81">
        <v>5674122.8888888899</v>
      </c>
      <c r="P49" s="43">
        <f t="shared" si="0"/>
        <v>216620.63888906219</v>
      </c>
      <c r="Q49" s="43">
        <f t="shared" si="1"/>
        <v>124542204.475234</v>
      </c>
    </row>
    <row r="50" spans="1:22" x14ac:dyDescent="0.35">
      <c r="A50" s="172">
        <v>41930</v>
      </c>
      <c r="B50" s="59" t="s">
        <v>23</v>
      </c>
      <c r="C50" s="71">
        <v>560849.4</v>
      </c>
      <c r="D50" s="71">
        <v>428485943.11050004</v>
      </c>
      <c r="E50" s="71">
        <v>155791.50000012465</v>
      </c>
      <c r="F50" s="72">
        <v>119023873.08634523</v>
      </c>
      <c r="I50" s="176">
        <v>41930</v>
      </c>
      <c r="J50" s="67" t="s">
        <v>23</v>
      </c>
      <c r="K50" s="78">
        <v>0</v>
      </c>
      <c r="L50" s="79">
        <v>20426842.400000006</v>
      </c>
      <c r="M50" s="80">
        <v>0</v>
      </c>
      <c r="N50" s="81">
        <v>5674122.8888888899</v>
      </c>
      <c r="P50" s="43">
        <f t="shared" si="0"/>
        <v>155791.50000012465</v>
      </c>
      <c r="Q50" s="43">
        <f t="shared" si="1"/>
        <v>124697995.97523412</v>
      </c>
    </row>
    <row r="51" spans="1:22" x14ac:dyDescent="0.35">
      <c r="A51" s="172">
        <v>41931</v>
      </c>
      <c r="B51" s="59" t="s">
        <v>23</v>
      </c>
      <c r="C51" s="71">
        <v>902589.1</v>
      </c>
      <c r="D51" s="71">
        <v>429388532.21050006</v>
      </c>
      <c r="E51" s="71">
        <v>250719.19444464502</v>
      </c>
      <c r="F51" s="72">
        <v>119274592.28078988</v>
      </c>
      <c r="I51" s="176">
        <v>41931</v>
      </c>
      <c r="J51" s="67" t="s">
        <v>23</v>
      </c>
      <c r="K51" s="78">
        <v>0</v>
      </c>
      <c r="L51" s="79">
        <v>20426842.400000006</v>
      </c>
      <c r="M51" s="80">
        <v>0</v>
      </c>
      <c r="N51" s="81">
        <v>5674122.8888888899</v>
      </c>
      <c r="P51" s="43">
        <f t="shared" si="0"/>
        <v>250719.19444464502</v>
      </c>
      <c r="Q51" s="43">
        <f t="shared" si="1"/>
        <v>124948715.16967878</v>
      </c>
    </row>
    <row r="52" spans="1:22" x14ac:dyDescent="0.35">
      <c r="A52" s="172">
        <v>41932</v>
      </c>
      <c r="B52" s="59" t="s">
        <v>23</v>
      </c>
      <c r="C52" s="71">
        <v>234687.16870000001</v>
      </c>
      <c r="D52" s="71">
        <v>429623219.37920004</v>
      </c>
      <c r="E52" s="71">
        <v>65190.880194496604</v>
      </c>
      <c r="F52" s="72">
        <v>119339783.16098437</v>
      </c>
      <c r="I52" s="176">
        <v>41932</v>
      </c>
      <c r="J52" s="67" t="s">
        <v>23</v>
      </c>
      <c r="K52" s="78">
        <v>0</v>
      </c>
      <c r="L52" s="79">
        <v>20426842.400000006</v>
      </c>
      <c r="M52" s="80">
        <v>0</v>
      </c>
      <c r="N52" s="81">
        <v>5674122.8888888899</v>
      </c>
      <c r="P52" s="43">
        <f t="shared" si="0"/>
        <v>65190.880194496604</v>
      </c>
      <c r="Q52" s="43">
        <f t="shared" si="1"/>
        <v>125013906.04987326</v>
      </c>
    </row>
    <row r="53" spans="1:22" x14ac:dyDescent="0.35">
      <c r="A53" s="172">
        <v>41933</v>
      </c>
      <c r="B53" s="59" t="s">
        <v>23</v>
      </c>
      <c r="C53" s="71">
        <v>347817.12580000004</v>
      </c>
      <c r="D53" s="71">
        <v>429971036.50500005</v>
      </c>
      <c r="E53" s="71">
        <v>96615.868277855086</v>
      </c>
      <c r="F53" s="72">
        <v>119436399.02926223</v>
      </c>
      <c r="I53" s="176">
        <v>41933</v>
      </c>
      <c r="J53" s="67" t="s">
        <v>23</v>
      </c>
      <c r="K53" s="78">
        <v>0</v>
      </c>
      <c r="L53" s="79">
        <v>20426842.400000006</v>
      </c>
      <c r="M53" s="80">
        <v>0</v>
      </c>
      <c r="N53" s="81">
        <v>5674122.8888888899</v>
      </c>
      <c r="P53" s="43">
        <f t="shared" si="0"/>
        <v>96615.868277855086</v>
      </c>
      <c r="Q53" s="43">
        <f t="shared" si="1"/>
        <v>125110521.91815113</v>
      </c>
    </row>
    <row r="54" spans="1:22" x14ac:dyDescent="0.35">
      <c r="A54" s="172">
        <v>41934</v>
      </c>
      <c r="B54" s="59" t="s">
        <v>23</v>
      </c>
      <c r="C54" s="71">
        <v>452036.73560000001</v>
      </c>
      <c r="D54" s="71">
        <v>430423073.24060005</v>
      </c>
      <c r="E54" s="71">
        <v>125565.75988898934</v>
      </c>
      <c r="F54" s="72">
        <v>119561964.78915122</v>
      </c>
      <c r="I54" s="176">
        <v>41934</v>
      </c>
      <c r="J54" s="67" t="s">
        <v>23</v>
      </c>
      <c r="K54" s="78">
        <v>-21557</v>
      </c>
      <c r="L54" s="79">
        <v>20405285.400000006</v>
      </c>
      <c r="M54" s="80">
        <v>-5988.0555555555557</v>
      </c>
      <c r="N54" s="81">
        <v>5668134.833333334</v>
      </c>
      <c r="P54" s="43">
        <f t="shared" si="0"/>
        <v>119577.70433343378</v>
      </c>
      <c r="Q54" s="43">
        <f t="shared" si="1"/>
        <v>125230099.62248455</v>
      </c>
      <c r="U54" s="43"/>
      <c r="V54" s="43"/>
    </row>
    <row r="55" spans="1:22" x14ac:dyDescent="0.35">
      <c r="A55" s="172">
        <v>41935</v>
      </c>
      <c r="B55" s="59" t="s">
        <v>23</v>
      </c>
      <c r="C55" s="71">
        <v>42659.4</v>
      </c>
      <c r="D55" s="71">
        <v>430465732.64060003</v>
      </c>
      <c r="E55" s="71">
        <v>11849.833333342815</v>
      </c>
      <c r="F55" s="72">
        <v>119573814.62248455</v>
      </c>
      <c r="I55" s="176">
        <v>41935</v>
      </c>
      <c r="J55" s="67" t="s">
        <v>23</v>
      </c>
      <c r="K55" s="78">
        <v>-22084</v>
      </c>
      <c r="L55" s="79">
        <v>20383201.400000006</v>
      </c>
      <c r="M55" s="80">
        <v>-6134.4444444444443</v>
      </c>
      <c r="N55" s="81">
        <v>5662000.3888888899</v>
      </c>
      <c r="P55" s="43">
        <f t="shared" si="0"/>
        <v>5715.3888888983702</v>
      </c>
      <c r="Q55" s="43">
        <f t="shared" si="1"/>
        <v>125235815.01137345</v>
      </c>
      <c r="U55" s="43"/>
      <c r="V55" s="43"/>
    </row>
    <row r="56" spans="1:22" x14ac:dyDescent="0.35">
      <c r="A56" s="172">
        <v>41936</v>
      </c>
      <c r="B56" s="59" t="s">
        <v>23</v>
      </c>
      <c r="C56" s="71">
        <v>285181.5</v>
      </c>
      <c r="D56" s="71">
        <v>430750914.14060003</v>
      </c>
      <c r="E56" s="71">
        <v>79217.083333396702</v>
      </c>
      <c r="F56" s="72">
        <v>119653031.70581795</v>
      </c>
      <c r="I56" s="176">
        <v>41936</v>
      </c>
      <c r="J56" s="67" t="s">
        <v>23</v>
      </c>
      <c r="K56" s="78">
        <v>-22082</v>
      </c>
      <c r="L56" s="79">
        <v>20361119.400000006</v>
      </c>
      <c r="M56" s="80">
        <v>-6133.8888888888887</v>
      </c>
      <c r="N56" s="81">
        <v>5655866.5000000009</v>
      </c>
      <c r="P56" s="43">
        <f t="shared" si="0"/>
        <v>73083.194444507812</v>
      </c>
      <c r="Q56" s="43">
        <f t="shared" si="1"/>
        <v>125308898.20581795</v>
      </c>
      <c r="U56" s="43"/>
      <c r="V56" s="43"/>
    </row>
    <row r="57" spans="1:22" x14ac:dyDescent="0.35">
      <c r="A57" s="172">
        <v>41937</v>
      </c>
      <c r="B57" s="59" t="s">
        <v>23</v>
      </c>
      <c r="C57" s="71">
        <v>769182</v>
      </c>
      <c r="D57" s="71">
        <v>431520096.14060003</v>
      </c>
      <c r="E57" s="71">
        <v>213661.66666683758</v>
      </c>
      <c r="F57" s="72">
        <v>119866693.37248479</v>
      </c>
      <c r="I57" s="176">
        <v>41937</v>
      </c>
      <c r="J57" s="67" t="s">
        <v>23</v>
      </c>
      <c r="K57" s="78">
        <v>-19632</v>
      </c>
      <c r="L57" s="79">
        <v>20341487.400000006</v>
      </c>
      <c r="M57" s="80">
        <v>-5453.333333333333</v>
      </c>
      <c r="N57" s="81">
        <v>5650413.1666666679</v>
      </c>
      <c r="P57" s="43">
        <f t="shared" si="0"/>
        <v>208208.33333350424</v>
      </c>
      <c r="Q57" s="43">
        <f t="shared" si="1"/>
        <v>125517106.53915146</v>
      </c>
      <c r="U57" s="43"/>
      <c r="V57" s="43"/>
    </row>
    <row r="58" spans="1:22" x14ac:dyDescent="0.35">
      <c r="A58" s="172">
        <v>41938</v>
      </c>
      <c r="B58" s="59" t="s">
        <v>23</v>
      </c>
      <c r="C58" s="71">
        <v>674803.6</v>
      </c>
      <c r="D58" s="71">
        <v>432194899.74060005</v>
      </c>
      <c r="E58" s="71">
        <v>187445.44444459438</v>
      </c>
      <c r="F58" s="72">
        <v>120054138.81692939</v>
      </c>
      <c r="I58" s="176">
        <v>41938</v>
      </c>
      <c r="J58" s="67" t="s">
        <v>23</v>
      </c>
      <c r="K58" s="78">
        <v>-19631</v>
      </c>
      <c r="L58" s="79">
        <v>20321856.400000006</v>
      </c>
      <c r="M58" s="80">
        <v>-5453.0555555555557</v>
      </c>
      <c r="N58" s="81">
        <v>5644960.1111111119</v>
      </c>
      <c r="P58" s="43">
        <f t="shared" si="0"/>
        <v>181992.38888903882</v>
      </c>
      <c r="Q58" s="43">
        <f t="shared" si="1"/>
        <v>125699098.9280405</v>
      </c>
      <c r="U58" s="43"/>
      <c r="V58" s="43"/>
    </row>
    <row r="59" spans="1:22" x14ac:dyDescent="0.35">
      <c r="A59" s="172">
        <v>41939</v>
      </c>
      <c r="B59" s="59" t="s">
        <v>23</v>
      </c>
      <c r="C59" s="71">
        <v>-521997.25149999995</v>
      </c>
      <c r="D59" s="71">
        <v>431672902.48910004</v>
      </c>
      <c r="E59" s="71">
        <v>-144999.23652789378</v>
      </c>
      <c r="F59" s="72">
        <v>119909139.5804015</v>
      </c>
      <c r="I59" s="176">
        <v>41939</v>
      </c>
      <c r="J59" s="67" t="s">
        <v>23</v>
      </c>
      <c r="K59" s="78">
        <v>-22087</v>
      </c>
      <c r="L59" s="79">
        <v>20299769.400000006</v>
      </c>
      <c r="M59" s="80">
        <v>-6135.2777777777774</v>
      </c>
      <c r="N59" s="81">
        <v>5638824.833333334</v>
      </c>
      <c r="P59" s="43">
        <f t="shared" si="0"/>
        <v>-151134.51430567156</v>
      </c>
      <c r="Q59" s="43">
        <f t="shared" si="1"/>
        <v>125547964.41373482</v>
      </c>
      <c r="U59" s="43"/>
      <c r="V59" s="43"/>
    </row>
    <row r="60" spans="1:22" x14ac:dyDescent="0.35">
      <c r="A60" s="172">
        <v>41940</v>
      </c>
      <c r="B60" s="59" t="s">
        <v>23</v>
      </c>
      <c r="C60" s="71">
        <v>-869332.08250000002</v>
      </c>
      <c r="D60" s="71">
        <v>430803570.40660006</v>
      </c>
      <c r="E60" s="71">
        <v>-241481.13402797095</v>
      </c>
      <c r="F60" s="72">
        <v>119667658.44637352</v>
      </c>
      <c r="I60" s="176">
        <v>41940</v>
      </c>
      <c r="J60" s="67" t="s">
        <v>23</v>
      </c>
      <c r="K60" s="78">
        <v>-22085</v>
      </c>
      <c r="L60" s="79">
        <v>20277684.400000006</v>
      </c>
      <c r="M60" s="80">
        <v>-6134.7222222222217</v>
      </c>
      <c r="N60" s="81">
        <v>5632690.1111111119</v>
      </c>
      <c r="P60" s="43">
        <f t="shared" si="0"/>
        <v>-247615.85625019317</v>
      </c>
      <c r="Q60" s="43">
        <f t="shared" si="1"/>
        <v>125300348.55748463</v>
      </c>
      <c r="U60" s="43"/>
      <c r="V60" s="43"/>
    </row>
    <row r="61" spans="1:22" x14ac:dyDescent="0.35">
      <c r="A61" s="172">
        <v>41941</v>
      </c>
      <c r="B61" s="59" t="s">
        <v>23</v>
      </c>
      <c r="C61" s="71">
        <v>-1096045.5950999998</v>
      </c>
      <c r="D61" s="71">
        <v>429707524.81150007</v>
      </c>
      <c r="E61" s="71">
        <v>-304457.10975024349</v>
      </c>
      <c r="F61" s="72">
        <v>119363201.3366233</v>
      </c>
      <c r="I61" s="176">
        <v>41941</v>
      </c>
      <c r="J61" s="67" t="s">
        <v>23</v>
      </c>
      <c r="K61" s="78">
        <v>-34088</v>
      </c>
      <c r="L61" s="79">
        <v>20243596.400000006</v>
      </c>
      <c r="M61" s="80">
        <v>-9468.8888888888887</v>
      </c>
      <c r="N61" s="81">
        <v>5623221.2222222229</v>
      </c>
      <c r="P61" s="43">
        <f t="shared" si="0"/>
        <v>-313925.99863913236</v>
      </c>
      <c r="Q61" s="43">
        <f t="shared" si="1"/>
        <v>124986422.55884552</v>
      </c>
      <c r="U61" s="43"/>
      <c r="V61" s="43"/>
    </row>
    <row r="62" spans="1:22" x14ac:dyDescent="0.35">
      <c r="A62" s="172">
        <v>41942</v>
      </c>
      <c r="B62" s="59" t="s">
        <v>23</v>
      </c>
      <c r="C62" s="71">
        <v>-1078223.1000000001</v>
      </c>
      <c r="D62" s="71">
        <v>428629301.71150005</v>
      </c>
      <c r="E62" s="71">
        <v>-299506.41666690633</v>
      </c>
      <c r="F62" s="72">
        <v>119063694.91995637</v>
      </c>
      <c r="I62" s="176">
        <v>41942</v>
      </c>
      <c r="J62" s="67" t="s">
        <v>23</v>
      </c>
      <c r="K62" s="78">
        <v>-34091</v>
      </c>
      <c r="L62" s="79">
        <v>20209505.400000006</v>
      </c>
      <c r="M62" s="80">
        <v>-9469.7222222222226</v>
      </c>
      <c r="N62" s="81">
        <v>5613751.5000000009</v>
      </c>
      <c r="P62" s="43">
        <f t="shared" si="0"/>
        <v>-308976.13888912858</v>
      </c>
      <c r="Q62" s="43">
        <f t="shared" si="1"/>
        <v>124677446.41995637</v>
      </c>
      <c r="U62" s="43"/>
      <c r="V62" s="43"/>
    </row>
    <row r="63" spans="1:22" x14ac:dyDescent="0.35">
      <c r="A63" s="174">
        <v>41943</v>
      </c>
      <c r="B63" s="60" t="s">
        <v>23</v>
      </c>
      <c r="C63" s="73">
        <v>-501882.7</v>
      </c>
      <c r="D63" s="73">
        <v>428128843.70490003</v>
      </c>
      <c r="E63" s="73">
        <v>-139411.86111122265</v>
      </c>
      <c r="F63" s="74">
        <v>118924283.05884516</v>
      </c>
      <c r="I63" s="174">
        <v>41943</v>
      </c>
      <c r="J63" s="68" t="s">
        <v>23</v>
      </c>
      <c r="K63" s="82">
        <v>-34093</v>
      </c>
      <c r="L63" s="83">
        <v>20175412.400000006</v>
      </c>
      <c r="M63" s="84">
        <v>-9470.2777777777774</v>
      </c>
      <c r="N63" s="85">
        <v>5604281.2222222239</v>
      </c>
      <c r="P63" s="43">
        <f t="shared" si="0"/>
        <v>-148882.13888900043</v>
      </c>
      <c r="Q63" s="43">
        <f t="shared" si="1"/>
        <v>124528564.28106739</v>
      </c>
      <c r="U63" s="43"/>
      <c r="V63" s="43"/>
    </row>
    <row r="64" spans="1:22" x14ac:dyDescent="0.35">
      <c r="A64" s="172">
        <v>41944</v>
      </c>
      <c r="B64" t="s">
        <v>23</v>
      </c>
      <c r="C64">
        <v>161561.1</v>
      </c>
      <c r="D64">
        <v>428290404.80490005</v>
      </c>
      <c r="E64">
        <v>44878.083333369235</v>
      </c>
      <c r="F64">
        <v>118969556.89034519</v>
      </c>
      <c r="I64" s="174">
        <v>41944</v>
      </c>
      <c r="J64" t="s">
        <v>23</v>
      </c>
      <c r="K64">
        <v>-25114</v>
      </c>
      <c r="L64">
        <v>20150298.400000006</v>
      </c>
      <c r="M64">
        <v>-6976.1111111111113</v>
      </c>
      <c r="N64">
        <v>5597305.1111111129</v>
      </c>
      <c r="P64" s="43">
        <f t="shared" si="0"/>
        <v>37901.972222258126</v>
      </c>
      <c r="Q64" s="43">
        <f t="shared" si="1"/>
        <v>124566862.00145631</v>
      </c>
      <c r="U64" s="43"/>
      <c r="V64" s="43"/>
    </row>
    <row r="65" spans="1:22" x14ac:dyDescent="0.35">
      <c r="A65" s="172">
        <v>41945</v>
      </c>
      <c r="B65" t="s">
        <v>23</v>
      </c>
      <c r="C65">
        <v>197461.21309999999</v>
      </c>
      <c r="D65">
        <v>428487866.01800007</v>
      </c>
      <c r="E65">
        <v>54850.336972266101</v>
      </c>
      <c r="F65">
        <v>119024407.22731747</v>
      </c>
      <c r="I65" s="174">
        <v>41945</v>
      </c>
      <c r="J65" t="s">
        <v>23</v>
      </c>
      <c r="K65">
        <v>-21963</v>
      </c>
      <c r="L65">
        <v>20128335.400000006</v>
      </c>
      <c r="M65">
        <v>-6100.833333333333</v>
      </c>
      <c r="N65">
        <v>5591204.2777777798</v>
      </c>
      <c r="P65" s="43">
        <f t="shared" si="0"/>
        <v>48749.503638932765</v>
      </c>
      <c r="Q65" s="43">
        <f t="shared" si="1"/>
        <v>124615611.50509524</v>
      </c>
      <c r="U65" s="43"/>
      <c r="V65" s="43"/>
    </row>
    <row r="66" spans="1:22" x14ac:dyDescent="0.35">
      <c r="A66" s="172">
        <v>41946</v>
      </c>
      <c r="B66" t="s">
        <v>23</v>
      </c>
      <c r="C66">
        <v>-911379.43309999991</v>
      </c>
      <c r="D66">
        <v>427576486.58490008</v>
      </c>
      <c r="E66">
        <v>-253160.9536390914</v>
      </c>
      <c r="F66">
        <v>118771246.27367838</v>
      </c>
      <c r="I66" s="174">
        <v>41946</v>
      </c>
      <c r="J66" t="s">
        <v>23</v>
      </c>
      <c r="K66">
        <v>-76597</v>
      </c>
      <c r="L66">
        <v>20051738.400000006</v>
      </c>
      <c r="M66">
        <v>-21276.944444444445</v>
      </c>
      <c r="N66">
        <v>5569927.3333333358</v>
      </c>
      <c r="P66" s="43">
        <f t="shared" ref="P66:P129" si="2">M66+E66</f>
        <v>-274437.89808353584</v>
      </c>
      <c r="Q66" s="43">
        <f t="shared" ref="Q66:Q129" si="3">N66+F66</f>
        <v>124341173.60701171</v>
      </c>
      <c r="U66" s="43"/>
      <c r="V66" s="43"/>
    </row>
    <row r="67" spans="1:22" x14ac:dyDescent="0.35">
      <c r="A67" s="172">
        <v>41947</v>
      </c>
      <c r="B67" t="s">
        <v>23</v>
      </c>
      <c r="C67">
        <v>-1159642.7593</v>
      </c>
      <c r="D67">
        <v>426416605.19999999</v>
      </c>
      <c r="E67">
        <v>-322122.98869470216</v>
      </c>
      <c r="F67">
        <v>118449057.00009476</v>
      </c>
      <c r="I67" s="174">
        <v>41947</v>
      </c>
      <c r="J67" t="s">
        <v>23</v>
      </c>
      <c r="K67">
        <v>-71592</v>
      </c>
      <c r="L67">
        <v>19980146.400000006</v>
      </c>
      <c r="M67">
        <v>-19886.666666666668</v>
      </c>
      <c r="N67">
        <v>5550040.6666666688</v>
      </c>
      <c r="P67" s="43">
        <f t="shared" si="2"/>
        <v>-342009.65536136884</v>
      </c>
      <c r="Q67" s="43">
        <f t="shared" si="3"/>
        <v>123999097.66676143</v>
      </c>
      <c r="U67" s="43"/>
      <c r="V67" s="43"/>
    </row>
    <row r="68" spans="1:22" x14ac:dyDescent="0.35">
      <c r="A68" s="172">
        <v>41948</v>
      </c>
      <c r="B68" t="s">
        <v>23</v>
      </c>
      <c r="C68">
        <v>-1154910.4691000001</v>
      </c>
      <c r="D68">
        <v>425261694.73089999</v>
      </c>
      <c r="E68">
        <v>-320808.46363914554</v>
      </c>
      <c r="F68">
        <v>118128248.53645562</v>
      </c>
      <c r="I68" s="174">
        <v>41948</v>
      </c>
      <c r="J68" t="s">
        <v>23</v>
      </c>
      <c r="K68">
        <v>-60238</v>
      </c>
      <c r="L68">
        <v>19919908.400000006</v>
      </c>
      <c r="M68">
        <v>-16732.777777777777</v>
      </c>
      <c r="N68">
        <v>5533307.8888888909</v>
      </c>
      <c r="P68" s="43">
        <f t="shared" si="2"/>
        <v>-337541.24141692329</v>
      </c>
      <c r="Q68" s="43">
        <f t="shared" si="3"/>
        <v>123661556.42534451</v>
      </c>
      <c r="U68" s="43"/>
      <c r="V68" s="43"/>
    </row>
    <row r="69" spans="1:22" x14ac:dyDescent="0.35">
      <c r="A69" s="172">
        <v>41949</v>
      </c>
      <c r="B69" t="s">
        <v>23</v>
      </c>
      <c r="C69">
        <v>-1268465.2</v>
      </c>
      <c r="D69">
        <v>423993229.5309</v>
      </c>
      <c r="E69">
        <v>-352351.44444472634</v>
      </c>
      <c r="F69">
        <v>117775897.09201089</v>
      </c>
      <c r="I69" s="174">
        <v>41949</v>
      </c>
      <c r="J69" t="s">
        <v>23</v>
      </c>
      <c r="K69">
        <v>-67220</v>
      </c>
      <c r="L69">
        <v>19852688.400000006</v>
      </c>
      <c r="M69">
        <v>-18672.222222222223</v>
      </c>
      <c r="N69">
        <v>5514635.6666666688</v>
      </c>
      <c r="P69" s="43">
        <f t="shared" si="2"/>
        <v>-371023.66666694859</v>
      </c>
      <c r="Q69" s="43">
        <f t="shared" si="3"/>
        <v>123290532.75867756</v>
      </c>
      <c r="U69" s="43"/>
      <c r="V69" s="43"/>
    </row>
    <row r="70" spans="1:22" x14ac:dyDescent="0.35">
      <c r="A70" s="172">
        <v>41950</v>
      </c>
      <c r="B70" t="s">
        <v>23</v>
      </c>
      <c r="C70">
        <v>-801359.1</v>
      </c>
      <c r="D70">
        <v>423191870.43089998</v>
      </c>
      <c r="E70">
        <v>-222599.75000017809</v>
      </c>
      <c r="F70">
        <v>117553297.34201071</v>
      </c>
      <c r="I70" s="174">
        <v>41950</v>
      </c>
      <c r="J70" t="s">
        <v>23</v>
      </c>
      <c r="K70">
        <v>-67268</v>
      </c>
      <c r="L70">
        <v>19785420.400000006</v>
      </c>
      <c r="M70">
        <v>-18685.555555555555</v>
      </c>
      <c r="N70">
        <v>5495950.1111111129</v>
      </c>
      <c r="P70" s="43">
        <f t="shared" si="2"/>
        <v>-241285.30555573365</v>
      </c>
      <c r="Q70" s="43">
        <f t="shared" si="3"/>
        <v>123049247.45312183</v>
      </c>
      <c r="U70" s="43"/>
      <c r="V70" s="43"/>
    </row>
    <row r="71" spans="1:22" x14ac:dyDescent="0.35">
      <c r="A71" s="172">
        <v>41951</v>
      </c>
      <c r="B71" t="s">
        <v>23</v>
      </c>
      <c r="C71">
        <v>86973.6</v>
      </c>
      <c r="D71">
        <v>423278844.0309</v>
      </c>
      <c r="E71">
        <v>24159.333333352664</v>
      </c>
      <c r="F71">
        <v>117577456.67534406</v>
      </c>
      <c r="I71" s="174">
        <v>41951</v>
      </c>
      <c r="J71" t="s">
        <v>23</v>
      </c>
      <c r="K71">
        <v>-37070</v>
      </c>
      <c r="L71">
        <v>19748350.400000006</v>
      </c>
      <c r="M71">
        <v>-10297.222222222223</v>
      </c>
      <c r="N71">
        <v>5485652.8888888909</v>
      </c>
      <c r="P71" s="43">
        <f t="shared" si="2"/>
        <v>13862.111111130442</v>
      </c>
      <c r="Q71" s="43">
        <f t="shared" si="3"/>
        <v>123063109.56423296</v>
      </c>
      <c r="U71" s="43"/>
      <c r="V71" s="43"/>
    </row>
    <row r="72" spans="1:22" x14ac:dyDescent="0.35">
      <c r="A72" s="172">
        <v>41952</v>
      </c>
      <c r="B72" t="s">
        <v>23</v>
      </c>
      <c r="C72">
        <v>414467.1765</v>
      </c>
      <c r="D72">
        <v>423693311.20740002</v>
      </c>
      <c r="E72">
        <v>115129.7712500921</v>
      </c>
      <c r="F72">
        <v>117692586.44659416</v>
      </c>
      <c r="I72" s="174">
        <v>41952</v>
      </c>
      <c r="J72" t="s">
        <v>23</v>
      </c>
      <c r="K72">
        <v>-17826</v>
      </c>
      <c r="L72">
        <v>19730524.400000006</v>
      </c>
      <c r="M72">
        <v>-4951.666666666667</v>
      </c>
      <c r="N72">
        <v>5480701.2222222239</v>
      </c>
      <c r="P72" s="43">
        <f t="shared" si="2"/>
        <v>110178.10458342543</v>
      </c>
      <c r="Q72" s="43">
        <f t="shared" si="3"/>
        <v>123173287.66881639</v>
      </c>
      <c r="U72" s="43"/>
      <c r="V72" s="43"/>
    </row>
    <row r="73" spans="1:22" x14ac:dyDescent="0.35">
      <c r="A73" s="172">
        <v>41953</v>
      </c>
      <c r="B73" t="s">
        <v>23</v>
      </c>
      <c r="C73">
        <v>-751799.14889999991</v>
      </c>
      <c r="D73">
        <v>422941512.05850005</v>
      </c>
      <c r="E73">
        <v>-208833.09691683372</v>
      </c>
      <c r="F73">
        <v>117483753.34967734</v>
      </c>
      <c r="I73" s="174">
        <v>41953</v>
      </c>
      <c r="J73" t="s">
        <v>23</v>
      </c>
      <c r="K73">
        <v>-29147</v>
      </c>
      <c r="L73">
        <v>19701377.400000006</v>
      </c>
      <c r="M73">
        <v>-8096.3888888888887</v>
      </c>
      <c r="N73">
        <v>5472604.8333333349</v>
      </c>
      <c r="P73" s="43">
        <f t="shared" si="2"/>
        <v>-216929.48580572259</v>
      </c>
      <c r="Q73" s="43">
        <f t="shared" si="3"/>
        <v>122956358.18301067</v>
      </c>
      <c r="U73" s="43"/>
      <c r="V73" s="43"/>
    </row>
    <row r="74" spans="1:22" x14ac:dyDescent="0.35">
      <c r="A74" s="172">
        <v>41954</v>
      </c>
      <c r="B74" t="s">
        <v>23</v>
      </c>
      <c r="C74">
        <v>-795045.95510000002</v>
      </c>
      <c r="D74">
        <v>422146466.10340005</v>
      </c>
      <c r="E74">
        <v>-220846.09863906557</v>
      </c>
      <c r="F74">
        <v>117262907.25103827</v>
      </c>
      <c r="I74" s="174">
        <v>41954</v>
      </c>
      <c r="J74" t="s">
        <v>23</v>
      </c>
      <c r="K74">
        <v>-29404</v>
      </c>
      <c r="L74">
        <v>19671973.400000006</v>
      </c>
      <c r="M74">
        <v>-8167.7777777777774</v>
      </c>
      <c r="N74">
        <v>5464437.0555555569</v>
      </c>
      <c r="P74" s="43">
        <f t="shared" si="2"/>
        <v>-229013.87641684336</v>
      </c>
      <c r="Q74" s="43">
        <f t="shared" si="3"/>
        <v>122727344.30659382</v>
      </c>
    </row>
    <row r="75" spans="1:22" x14ac:dyDescent="0.35">
      <c r="A75" s="172">
        <v>41955</v>
      </c>
      <c r="B75" t="s">
        <v>23</v>
      </c>
      <c r="C75">
        <v>-785942.1</v>
      </c>
      <c r="D75">
        <v>421360524.00340003</v>
      </c>
      <c r="E75">
        <v>-218317.25000017465</v>
      </c>
      <c r="F75">
        <v>117044590.00103809</v>
      </c>
      <c r="I75" s="174">
        <v>41955</v>
      </c>
      <c r="J75" t="s">
        <v>23</v>
      </c>
      <c r="K75">
        <v>-24115</v>
      </c>
      <c r="L75">
        <v>19647858.400000006</v>
      </c>
      <c r="M75">
        <v>-6698.6111111111113</v>
      </c>
      <c r="N75">
        <v>5457738.4444444459</v>
      </c>
      <c r="P75" s="43">
        <f t="shared" si="2"/>
        <v>-225015.86111128578</v>
      </c>
      <c r="Q75" s="43">
        <f t="shared" si="3"/>
        <v>122502328.44548254</v>
      </c>
    </row>
    <row r="76" spans="1:22" x14ac:dyDescent="0.35">
      <c r="A76" s="172">
        <v>41956</v>
      </c>
      <c r="B76" t="s">
        <v>23</v>
      </c>
      <c r="C76">
        <v>-541125.5</v>
      </c>
      <c r="D76">
        <v>420819398.50340003</v>
      </c>
      <c r="E76">
        <v>-150312.63888900913</v>
      </c>
      <c r="F76">
        <v>116894277.36214907</v>
      </c>
      <c r="I76" s="174">
        <v>41956</v>
      </c>
      <c r="J76" t="s">
        <v>23</v>
      </c>
      <c r="K76">
        <v>-28533</v>
      </c>
      <c r="L76">
        <v>19619325.400000006</v>
      </c>
      <c r="M76">
        <v>-7925.833333333333</v>
      </c>
      <c r="N76">
        <v>5449812.6111111129</v>
      </c>
      <c r="P76" s="43">
        <f t="shared" si="2"/>
        <v>-158238.47222234248</v>
      </c>
      <c r="Q76" s="43">
        <f t="shared" si="3"/>
        <v>122344089.97326019</v>
      </c>
    </row>
    <row r="77" spans="1:22" x14ac:dyDescent="0.35">
      <c r="A77" s="172">
        <v>41957</v>
      </c>
      <c r="B77" t="s">
        <v>23</v>
      </c>
      <c r="C77">
        <v>75244.2</v>
      </c>
      <c r="D77">
        <v>420894642.70340002</v>
      </c>
      <c r="E77">
        <v>20901.166666683388</v>
      </c>
      <c r="F77">
        <v>116915178.52881576</v>
      </c>
      <c r="I77" s="174">
        <v>41957</v>
      </c>
      <c r="J77" t="s">
        <v>23</v>
      </c>
      <c r="K77">
        <v>-33849</v>
      </c>
      <c r="L77">
        <v>19585476.400000006</v>
      </c>
      <c r="M77">
        <v>-9402.5</v>
      </c>
      <c r="N77">
        <v>5440410.1111111129</v>
      </c>
      <c r="P77" s="43">
        <f t="shared" si="2"/>
        <v>11498.666666683388</v>
      </c>
      <c r="Q77" s="43">
        <f t="shared" si="3"/>
        <v>122355588.63992688</v>
      </c>
    </row>
    <row r="78" spans="1:22" x14ac:dyDescent="0.35">
      <c r="A78" s="172">
        <v>41958</v>
      </c>
      <c r="B78" t="s">
        <v>23</v>
      </c>
      <c r="C78">
        <v>124420.4</v>
      </c>
      <c r="D78">
        <v>421019063.10339999</v>
      </c>
      <c r="E78">
        <v>34561.222222249868</v>
      </c>
      <c r="F78">
        <v>116949739.751038</v>
      </c>
      <c r="I78" s="174">
        <v>41958</v>
      </c>
      <c r="J78" t="s">
        <v>23</v>
      </c>
      <c r="K78">
        <v>-17552</v>
      </c>
      <c r="L78">
        <v>19567924.400000006</v>
      </c>
      <c r="M78">
        <v>-4875.5555555555557</v>
      </c>
      <c r="N78">
        <v>5435534.5555555569</v>
      </c>
      <c r="P78" s="43">
        <f t="shared" si="2"/>
        <v>29685.666666694313</v>
      </c>
      <c r="Q78" s="43">
        <f t="shared" si="3"/>
        <v>122385274.30659355</v>
      </c>
    </row>
    <row r="79" spans="1:22" x14ac:dyDescent="0.35">
      <c r="A79" s="172">
        <v>41959</v>
      </c>
      <c r="B79" t="s">
        <v>23</v>
      </c>
      <c r="C79">
        <v>230580.1856</v>
      </c>
      <c r="D79">
        <v>421249643.28899997</v>
      </c>
      <c r="E79">
        <v>64050.051555606799</v>
      </c>
      <c r="F79">
        <v>117013789.8025936</v>
      </c>
      <c r="I79" s="174">
        <v>41959</v>
      </c>
      <c r="J79" t="s">
        <v>23</v>
      </c>
      <c r="K79">
        <v>-19698</v>
      </c>
      <c r="L79">
        <v>19548226.400000006</v>
      </c>
      <c r="M79">
        <v>-5471.666666666667</v>
      </c>
      <c r="N79">
        <v>5430062.8888888899</v>
      </c>
      <c r="P79" s="43">
        <f t="shared" si="2"/>
        <v>58578.384888940134</v>
      </c>
      <c r="Q79" s="43">
        <f t="shared" si="3"/>
        <v>122443852.6914825</v>
      </c>
    </row>
    <row r="80" spans="1:22" x14ac:dyDescent="0.35">
      <c r="A80" s="172">
        <v>41960</v>
      </c>
      <c r="B80" t="s">
        <v>23</v>
      </c>
      <c r="C80">
        <v>-1232727.1229000001</v>
      </c>
      <c r="D80">
        <v>420016916.16609997</v>
      </c>
      <c r="E80">
        <v>-342424.20080582949</v>
      </c>
      <c r="F80">
        <v>116671365.60178778</v>
      </c>
      <c r="I80" s="174">
        <v>41960</v>
      </c>
      <c r="J80" t="s">
        <v>23</v>
      </c>
      <c r="K80">
        <v>-32092</v>
      </c>
      <c r="L80">
        <v>19516134.400000006</v>
      </c>
      <c r="M80">
        <v>-8914.4444444444434</v>
      </c>
      <c r="N80">
        <v>5421148.4444444459</v>
      </c>
      <c r="P80" s="43">
        <f t="shared" si="2"/>
        <v>-351338.64525027393</v>
      </c>
      <c r="Q80" s="43">
        <f t="shared" si="3"/>
        <v>122092514.04623222</v>
      </c>
    </row>
    <row r="81" spans="1:17" x14ac:dyDescent="0.35">
      <c r="A81" s="172">
        <v>41961</v>
      </c>
      <c r="B81" t="s">
        <v>23</v>
      </c>
      <c r="C81">
        <v>-1407769.6469000001</v>
      </c>
      <c r="D81">
        <v>418609146.51919997</v>
      </c>
      <c r="E81">
        <v>-391047.12413920177</v>
      </c>
      <c r="F81">
        <v>116280318.47764857</v>
      </c>
      <c r="I81" s="174">
        <v>41961</v>
      </c>
      <c r="J81" t="s">
        <v>23</v>
      </c>
      <c r="K81">
        <v>-41276</v>
      </c>
      <c r="L81">
        <v>19474858.400000006</v>
      </c>
      <c r="M81">
        <v>-11465.555555555555</v>
      </c>
      <c r="N81">
        <v>5409682.8888888899</v>
      </c>
      <c r="P81" s="43">
        <f t="shared" si="2"/>
        <v>-402512.67969475733</v>
      </c>
      <c r="Q81" s="43">
        <f t="shared" si="3"/>
        <v>121690001.36653747</v>
      </c>
    </row>
    <row r="82" spans="1:17" x14ac:dyDescent="0.35">
      <c r="A82" s="172">
        <v>41962</v>
      </c>
      <c r="B82" t="s">
        <v>23</v>
      </c>
      <c r="C82">
        <v>-1656304.7660000001</v>
      </c>
      <c r="D82">
        <v>416952841.75319999</v>
      </c>
      <c r="E82">
        <v>-460084.65722259029</v>
      </c>
      <c r="F82">
        <v>115820233.82042599</v>
      </c>
      <c r="I82" s="174">
        <v>41962</v>
      </c>
      <c r="J82" t="s">
        <v>23</v>
      </c>
      <c r="K82">
        <v>-48200</v>
      </c>
      <c r="L82">
        <v>19426658.400000006</v>
      </c>
      <c r="M82">
        <v>-13388.888888888889</v>
      </c>
      <c r="N82">
        <v>5396294.0000000009</v>
      </c>
      <c r="P82" s="43">
        <f t="shared" si="2"/>
        <v>-473473.54611147917</v>
      </c>
      <c r="Q82" s="43">
        <f t="shared" si="3"/>
        <v>121216527.82042599</v>
      </c>
    </row>
    <row r="83" spans="1:17" x14ac:dyDescent="0.35">
      <c r="A83" s="172">
        <v>41963</v>
      </c>
      <c r="B83" t="s">
        <v>23</v>
      </c>
      <c r="C83">
        <v>-2134941</v>
      </c>
      <c r="D83">
        <v>414817900.75319999</v>
      </c>
      <c r="E83">
        <v>-593039.16666714114</v>
      </c>
      <c r="F83">
        <v>115227194.65375885</v>
      </c>
      <c r="I83" s="174">
        <v>41963</v>
      </c>
      <c r="J83" t="s">
        <v>23</v>
      </c>
      <c r="K83">
        <v>-87611</v>
      </c>
      <c r="L83">
        <v>19339047.400000006</v>
      </c>
      <c r="M83">
        <v>-24336.388888888887</v>
      </c>
      <c r="N83">
        <v>5371957.6111111119</v>
      </c>
      <c r="P83" s="43">
        <f t="shared" si="2"/>
        <v>-617375.55555603001</v>
      </c>
      <c r="Q83" s="43">
        <f t="shared" si="3"/>
        <v>120599152.26486996</v>
      </c>
    </row>
    <row r="84" spans="1:17" x14ac:dyDescent="0.35">
      <c r="A84" s="172">
        <v>41964</v>
      </c>
      <c r="B84" t="s">
        <v>23</v>
      </c>
      <c r="C84">
        <v>-1691799.7</v>
      </c>
      <c r="D84">
        <v>413126101.05320001</v>
      </c>
      <c r="E84">
        <v>-469944.36111148703</v>
      </c>
      <c r="F84">
        <v>114757250.29264736</v>
      </c>
      <c r="I84" s="174">
        <v>41964</v>
      </c>
      <c r="J84" t="s">
        <v>23</v>
      </c>
      <c r="K84">
        <v>-76973</v>
      </c>
      <c r="L84">
        <v>19262074.400000006</v>
      </c>
      <c r="M84">
        <v>-21381.388888888887</v>
      </c>
      <c r="N84">
        <v>5350576.2222222229</v>
      </c>
      <c r="P84" s="43">
        <f t="shared" si="2"/>
        <v>-491325.75000037591</v>
      </c>
      <c r="Q84" s="43">
        <f t="shared" si="3"/>
        <v>120107826.51486959</v>
      </c>
    </row>
    <row r="85" spans="1:17" x14ac:dyDescent="0.35">
      <c r="A85" s="172">
        <v>41965</v>
      </c>
      <c r="B85" t="s">
        <v>23</v>
      </c>
      <c r="C85">
        <v>-901760.1</v>
      </c>
      <c r="D85">
        <v>412224340.95319998</v>
      </c>
      <c r="E85">
        <v>-250488.91666686707</v>
      </c>
      <c r="F85">
        <v>114506761.3759805</v>
      </c>
      <c r="I85" s="174">
        <v>41965</v>
      </c>
      <c r="J85" t="s">
        <v>23</v>
      </c>
      <c r="K85">
        <v>-45896</v>
      </c>
      <c r="L85">
        <v>19216178.400000006</v>
      </c>
      <c r="M85">
        <v>-12748.888888888889</v>
      </c>
      <c r="N85">
        <v>5337827.333333334</v>
      </c>
      <c r="P85" s="43">
        <f t="shared" si="2"/>
        <v>-263237.80555575597</v>
      </c>
      <c r="Q85" s="43">
        <f t="shared" si="3"/>
        <v>119844588.70931382</v>
      </c>
    </row>
    <row r="86" spans="1:17" x14ac:dyDescent="0.35">
      <c r="A86" s="172">
        <v>41966</v>
      </c>
      <c r="B86" t="s">
        <v>23</v>
      </c>
      <c r="C86">
        <v>-915316.62650000001</v>
      </c>
      <c r="D86">
        <v>411309024.32669997</v>
      </c>
      <c r="E86">
        <v>-254254.61847242562</v>
      </c>
      <c r="F86">
        <v>114252506.75750805</v>
      </c>
      <c r="I86" s="174">
        <v>41966</v>
      </c>
      <c r="J86" t="s">
        <v>23</v>
      </c>
      <c r="K86">
        <v>-83545</v>
      </c>
      <c r="L86">
        <v>19132633.400000006</v>
      </c>
      <c r="M86">
        <v>-23206.944444444445</v>
      </c>
      <c r="N86">
        <v>5314620.3888888899</v>
      </c>
      <c r="P86" s="43">
        <f t="shared" si="2"/>
        <v>-277461.56291687005</v>
      </c>
      <c r="Q86" s="43">
        <f t="shared" si="3"/>
        <v>119567127.14639695</v>
      </c>
    </row>
    <row r="87" spans="1:17" x14ac:dyDescent="0.35">
      <c r="A87" s="172">
        <v>41967</v>
      </c>
      <c r="B87" t="s">
        <v>23</v>
      </c>
      <c r="C87">
        <v>-2166726.4619</v>
      </c>
      <c r="D87">
        <v>409142297.86479998</v>
      </c>
      <c r="E87">
        <v>-601868.46163937042</v>
      </c>
      <c r="F87">
        <v>113650638.29586869</v>
      </c>
      <c r="I87" s="174">
        <v>41967</v>
      </c>
      <c r="J87" t="s">
        <v>23</v>
      </c>
      <c r="K87">
        <v>-146216</v>
      </c>
      <c r="L87">
        <v>18986417.400000006</v>
      </c>
      <c r="M87">
        <v>-40615.555555555555</v>
      </c>
      <c r="N87">
        <v>5274004.833333334</v>
      </c>
      <c r="P87" s="43">
        <f t="shared" si="2"/>
        <v>-642484.01719492592</v>
      </c>
      <c r="Q87" s="43">
        <f t="shared" si="3"/>
        <v>118924643.12920202</v>
      </c>
    </row>
    <row r="88" spans="1:17" x14ac:dyDescent="0.35">
      <c r="A88" s="172">
        <v>41968</v>
      </c>
      <c r="B88" t="s">
        <v>23</v>
      </c>
      <c r="C88">
        <v>-2242908.8334000004</v>
      </c>
      <c r="D88">
        <v>406899389.03139997</v>
      </c>
      <c r="E88">
        <v>-623030.23150049848</v>
      </c>
      <c r="F88">
        <v>113027608.06436819</v>
      </c>
      <c r="I88" s="174">
        <v>41968</v>
      </c>
      <c r="J88" t="s">
        <v>23</v>
      </c>
      <c r="K88">
        <v>-161340</v>
      </c>
      <c r="L88">
        <v>18825077.400000006</v>
      </c>
      <c r="M88">
        <v>-44816.666666666664</v>
      </c>
      <c r="N88">
        <v>5229188.166666667</v>
      </c>
      <c r="P88" s="43">
        <f t="shared" si="2"/>
        <v>-667846.89816716511</v>
      </c>
      <c r="Q88" s="43">
        <f t="shared" si="3"/>
        <v>118256796.23103486</v>
      </c>
    </row>
    <row r="89" spans="1:17" x14ac:dyDescent="0.35">
      <c r="A89" s="172">
        <v>41969</v>
      </c>
      <c r="B89" t="s">
        <v>23</v>
      </c>
      <c r="C89">
        <v>-2451033.0755000003</v>
      </c>
      <c r="D89">
        <v>404448355.95589995</v>
      </c>
      <c r="E89">
        <v>-680842.52097276703</v>
      </c>
      <c r="F89">
        <v>112346765.54339541</v>
      </c>
      <c r="I89" s="174">
        <v>41969</v>
      </c>
      <c r="J89" t="s">
        <v>23</v>
      </c>
      <c r="K89">
        <v>-170183</v>
      </c>
      <c r="L89">
        <v>18654894.400000006</v>
      </c>
      <c r="M89">
        <v>-47273.055555555555</v>
      </c>
      <c r="N89">
        <v>5181915.111111111</v>
      </c>
      <c r="P89" s="43">
        <f t="shared" si="2"/>
        <v>-728115.57652832253</v>
      </c>
      <c r="Q89" s="43">
        <f t="shared" si="3"/>
        <v>117528680.65450652</v>
      </c>
    </row>
    <row r="90" spans="1:17" x14ac:dyDescent="0.35">
      <c r="A90" s="172">
        <v>41970</v>
      </c>
      <c r="B90" t="s">
        <v>23</v>
      </c>
      <c r="C90">
        <v>-2380541.6</v>
      </c>
      <c r="D90">
        <v>402067814.35589993</v>
      </c>
      <c r="E90">
        <v>-661261.55555608461</v>
      </c>
      <c r="F90">
        <v>111685503.98783933</v>
      </c>
      <c r="I90" s="174">
        <v>41970</v>
      </c>
      <c r="J90" t="s">
        <v>23</v>
      </c>
      <c r="K90">
        <v>-174406</v>
      </c>
      <c r="L90">
        <v>18480488.400000006</v>
      </c>
      <c r="M90">
        <v>-48446.111111111109</v>
      </c>
      <c r="N90">
        <v>5133469</v>
      </c>
      <c r="P90" s="43">
        <f t="shared" si="2"/>
        <v>-709707.66666719574</v>
      </c>
      <c r="Q90" s="43">
        <f t="shared" si="3"/>
        <v>116818972.98783933</v>
      </c>
    </row>
    <row r="91" spans="1:17" x14ac:dyDescent="0.35">
      <c r="A91" s="172">
        <v>41971</v>
      </c>
      <c r="B91" t="s">
        <v>23</v>
      </c>
      <c r="C91">
        <v>-1971684.9</v>
      </c>
      <c r="D91">
        <v>400096129.45589995</v>
      </c>
      <c r="E91">
        <v>-547690.25000043807</v>
      </c>
      <c r="F91">
        <v>111137813.73783889</v>
      </c>
      <c r="I91" s="174">
        <v>41971</v>
      </c>
      <c r="J91" t="s">
        <v>23</v>
      </c>
      <c r="K91">
        <v>-181238</v>
      </c>
      <c r="L91">
        <v>18299250.400000006</v>
      </c>
      <c r="M91">
        <v>-50343.888888888891</v>
      </c>
      <c r="N91">
        <v>5083125.111111111</v>
      </c>
      <c r="P91" s="43">
        <f t="shared" si="2"/>
        <v>-598034.13888932695</v>
      </c>
      <c r="Q91" s="43">
        <f t="shared" si="3"/>
        <v>116220938.84895</v>
      </c>
    </row>
    <row r="92" spans="1:17" x14ac:dyDescent="0.35">
      <c r="A92" s="172">
        <v>41972</v>
      </c>
      <c r="B92" t="s">
        <v>23</v>
      </c>
      <c r="C92">
        <v>-772950.1</v>
      </c>
      <c r="D92">
        <v>399323179.35589993</v>
      </c>
      <c r="E92">
        <v>-214708.36111128287</v>
      </c>
      <c r="F92">
        <v>110923105.37672761</v>
      </c>
      <c r="I92" s="174">
        <v>41972</v>
      </c>
      <c r="J92" t="s">
        <v>23</v>
      </c>
      <c r="K92">
        <v>-46380</v>
      </c>
      <c r="L92">
        <v>18252870.400000006</v>
      </c>
      <c r="M92">
        <v>-12883.333333333332</v>
      </c>
      <c r="N92">
        <v>5070241.777777778</v>
      </c>
      <c r="P92" s="43">
        <f t="shared" si="2"/>
        <v>-227591.69444461621</v>
      </c>
      <c r="Q92" s="43">
        <f t="shared" si="3"/>
        <v>115993347.15450539</v>
      </c>
    </row>
    <row r="93" spans="1:17" x14ac:dyDescent="0.35">
      <c r="A93" s="174">
        <v>41973</v>
      </c>
      <c r="B93" t="s">
        <v>23</v>
      </c>
      <c r="C93">
        <v>-382943.99069999997</v>
      </c>
      <c r="D93">
        <v>398940349.00929999</v>
      </c>
      <c r="E93">
        <v>-106373.33075008509</v>
      </c>
      <c r="F93">
        <v>110816732.04597752</v>
      </c>
      <c r="I93" s="174">
        <v>41973</v>
      </c>
      <c r="J93" t="s">
        <v>23</v>
      </c>
      <c r="K93">
        <v>-107681</v>
      </c>
      <c r="L93">
        <v>18145190.400000006</v>
      </c>
      <c r="M93">
        <v>-29911.388888888887</v>
      </c>
      <c r="N93">
        <v>5040330.6666666679</v>
      </c>
      <c r="P93" s="43">
        <f t="shared" si="2"/>
        <v>-136284.71963897397</v>
      </c>
      <c r="Q93" s="43">
        <f t="shared" si="3"/>
        <v>115857062.71264419</v>
      </c>
    </row>
    <row r="94" spans="1:17" x14ac:dyDescent="0.35">
      <c r="A94" s="172">
        <v>41974</v>
      </c>
      <c r="B94" t="s">
        <v>23</v>
      </c>
      <c r="C94">
        <v>-1118215.0015</v>
      </c>
      <c r="D94">
        <v>397822134.00779998</v>
      </c>
      <c r="E94">
        <v>-310615.27819469292</v>
      </c>
      <c r="F94">
        <v>110506148.3355884</v>
      </c>
      <c r="I94" s="174">
        <v>41974</v>
      </c>
      <c r="J94" t="s">
        <v>23</v>
      </c>
      <c r="K94">
        <v>-93634</v>
      </c>
      <c r="L94">
        <v>18051556.400000006</v>
      </c>
      <c r="M94">
        <v>-26009.444444444445</v>
      </c>
      <c r="N94">
        <v>5014321.2222222239</v>
      </c>
      <c r="P94" s="43">
        <f t="shared" si="2"/>
        <v>-336624.72263913736</v>
      </c>
      <c r="Q94" s="43">
        <f t="shared" si="3"/>
        <v>115520469.55781062</v>
      </c>
    </row>
    <row r="95" spans="1:17" x14ac:dyDescent="0.35">
      <c r="A95" s="172">
        <v>41975</v>
      </c>
      <c r="B95" t="s">
        <v>23</v>
      </c>
      <c r="C95">
        <v>-1572227.1320999998</v>
      </c>
      <c r="D95">
        <v>396249906.8757</v>
      </c>
      <c r="E95">
        <v>-436729.75891701598</v>
      </c>
      <c r="F95">
        <v>110069418.57667139</v>
      </c>
      <c r="I95" s="174">
        <v>41975</v>
      </c>
      <c r="J95" t="s">
        <v>23</v>
      </c>
      <c r="K95">
        <v>-163404</v>
      </c>
      <c r="L95">
        <v>17888152.400000006</v>
      </c>
      <c r="M95">
        <v>-45390</v>
      </c>
      <c r="N95">
        <v>4968931.2222222239</v>
      </c>
      <c r="P95" s="43">
        <f t="shared" si="2"/>
        <v>-482119.75891701598</v>
      </c>
      <c r="Q95" s="43">
        <f t="shared" si="3"/>
        <v>115038349.79889362</v>
      </c>
    </row>
    <row r="96" spans="1:17" x14ac:dyDescent="0.35">
      <c r="A96" s="172">
        <v>41976</v>
      </c>
      <c r="B96" t="s">
        <v>23</v>
      </c>
      <c r="C96">
        <v>-2129396.9556</v>
      </c>
      <c r="D96">
        <v>394120509.92009997</v>
      </c>
      <c r="E96">
        <v>-591499.15433380648</v>
      </c>
      <c r="F96">
        <v>109477919.42233758</v>
      </c>
      <c r="I96" s="174">
        <v>41976</v>
      </c>
      <c r="J96" t="s">
        <v>23</v>
      </c>
      <c r="K96">
        <v>-170319</v>
      </c>
      <c r="L96">
        <v>17717833.400000006</v>
      </c>
      <c r="M96">
        <v>-47310.833333333336</v>
      </c>
      <c r="N96">
        <v>4921620.3888888909</v>
      </c>
      <c r="P96" s="43">
        <f t="shared" si="2"/>
        <v>-638809.98766713985</v>
      </c>
      <c r="Q96" s="43">
        <f t="shared" si="3"/>
        <v>114399539.81122647</v>
      </c>
    </row>
    <row r="97" spans="1:17" x14ac:dyDescent="0.35">
      <c r="A97" s="172">
        <v>41977</v>
      </c>
      <c r="B97" t="s">
        <v>23</v>
      </c>
      <c r="C97">
        <v>-2126909.7999999998</v>
      </c>
      <c r="D97">
        <v>391993600.12009996</v>
      </c>
      <c r="E97">
        <v>-590808.2777782504</v>
      </c>
      <c r="F97">
        <v>108887111.14455932</v>
      </c>
      <c r="I97" s="174">
        <v>41977</v>
      </c>
      <c r="J97" t="s">
        <v>23</v>
      </c>
      <c r="K97">
        <v>-167357</v>
      </c>
      <c r="L97">
        <v>17550476.400000006</v>
      </c>
      <c r="M97">
        <v>-46488.055555555555</v>
      </c>
      <c r="N97">
        <v>4875132.3333333349</v>
      </c>
      <c r="P97" s="43">
        <f t="shared" si="2"/>
        <v>-637296.3333338059</v>
      </c>
      <c r="Q97" s="43">
        <f t="shared" si="3"/>
        <v>113762243.47789265</v>
      </c>
    </row>
    <row r="98" spans="1:17" x14ac:dyDescent="0.35">
      <c r="A98" s="172">
        <v>41978</v>
      </c>
      <c r="B98" t="s">
        <v>23</v>
      </c>
      <c r="C98">
        <v>-1576634.8</v>
      </c>
      <c r="D98">
        <v>390416965.32009995</v>
      </c>
      <c r="E98">
        <v>-437954.11111146148</v>
      </c>
      <c r="F98">
        <v>108449157.03344786</v>
      </c>
      <c r="I98" s="174">
        <v>41978</v>
      </c>
      <c r="J98" t="s">
        <v>23</v>
      </c>
      <c r="K98">
        <v>-171996</v>
      </c>
      <c r="L98">
        <v>17378480.400000006</v>
      </c>
      <c r="M98">
        <v>-47776.666666666664</v>
      </c>
      <c r="N98">
        <v>4827355.6666666679</v>
      </c>
      <c r="P98" s="43">
        <f t="shared" si="2"/>
        <v>-485730.77777812816</v>
      </c>
      <c r="Q98" s="43">
        <f t="shared" si="3"/>
        <v>113276512.70011453</v>
      </c>
    </row>
    <row r="99" spans="1:17" x14ac:dyDescent="0.35">
      <c r="A99" s="172">
        <v>41979</v>
      </c>
      <c r="B99" t="s">
        <v>23</v>
      </c>
      <c r="C99">
        <v>-162555.5</v>
      </c>
      <c r="D99">
        <v>390254409.82009995</v>
      </c>
      <c r="E99">
        <v>-45154.30555559168</v>
      </c>
      <c r="F99">
        <v>108404002.72789226</v>
      </c>
      <c r="I99" s="174">
        <v>41979</v>
      </c>
      <c r="J99" t="s">
        <v>23</v>
      </c>
      <c r="K99">
        <v>-120290</v>
      </c>
      <c r="L99">
        <v>17258190.400000006</v>
      </c>
      <c r="M99">
        <v>-33413.888888888891</v>
      </c>
      <c r="N99">
        <v>4793941.7777777789</v>
      </c>
      <c r="P99" s="43">
        <f t="shared" si="2"/>
        <v>-78568.19444448057</v>
      </c>
      <c r="Q99" s="43">
        <f t="shared" si="3"/>
        <v>113197944.50567004</v>
      </c>
    </row>
    <row r="100" spans="1:17" x14ac:dyDescent="0.35">
      <c r="A100" s="172">
        <v>41980</v>
      </c>
      <c r="B100" t="s">
        <v>23</v>
      </c>
      <c r="C100">
        <v>-320817</v>
      </c>
      <c r="D100">
        <v>389933592.82009995</v>
      </c>
      <c r="E100">
        <v>-89115.833333404633</v>
      </c>
      <c r="F100">
        <v>108314886.89455886</v>
      </c>
      <c r="I100" s="174">
        <v>41980</v>
      </c>
      <c r="J100" t="s">
        <v>23</v>
      </c>
      <c r="K100">
        <v>-132031</v>
      </c>
      <c r="L100">
        <v>17126159.400000006</v>
      </c>
      <c r="M100">
        <v>-36675.277777777774</v>
      </c>
      <c r="N100">
        <v>4757266.5000000009</v>
      </c>
      <c r="P100" s="43">
        <f t="shared" si="2"/>
        <v>-125791.1111111824</v>
      </c>
      <c r="Q100" s="43">
        <f t="shared" si="3"/>
        <v>113072153.39455886</v>
      </c>
    </row>
    <row r="101" spans="1:17" x14ac:dyDescent="0.35">
      <c r="A101" s="172">
        <v>41981</v>
      </c>
      <c r="B101" t="s">
        <v>23</v>
      </c>
      <c r="C101">
        <v>-375334.17970000004</v>
      </c>
      <c r="D101">
        <v>389558258.64039993</v>
      </c>
      <c r="E101">
        <v>-104259.49436119453</v>
      </c>
      <c r="F101">
        <v>108210627.40019765</v>
      </c>
      <c r="I101" s="174">
        <v>41981</v>
      </c>
      <c r="J101" t="s">
        <v>23</v>
      </c>
      <c r="K101">
        <v>-121993</v>
      </c>
      <c r="L101">
        <v>17004166.400000006</v>
      </c>
      <c r="M101">
        <v>-33886.944444444445</v>
      </c>
      <c r="N101">
        <v>4723379.5555555569</v>
      </c>
      <c r="P101" s="43">
        <f t="shared" si="2"/>
        <v>-138146.43880563899</v>
      </c>
      <c r="Q101" s="43">
        <f t="shared" si="3"/>
        <v>112934006.95575321</v>
      </c>
    </row>
    <row r="102" spans="1:17" x14ac:dyDescent="0.35">
      <c r="A102" s="172">
        <v>41982</v>
      </c>
      <c r="B102" t="s">
        <v>23</v>
      </c>
      <c r="C102">
        <v>-2654694.1751999999</v>
      </c>
      <c r="D102">
        <v>386903564.46519995</v>
      </c>
      <c r="E102">
        <v>-737415.0486672566</v>
      </c>
      <c r="F102">
        <v>107473212.3515304</v>
      </c>
      <c r="I102" s="174">
        <v>41982</v>
      </c>
      <c r="J102" t="s">
        <v>23</v>
      </c>
      <c r="K102">
        <v>-189647</v>
      </c>
      <c r="L102">
        <v>16814519.400000006</v>
      </c>
      <c r="M102">
        <v>-52679.722222222219</v>
      </c>
      <c r="N102">
        <v>4670699.8333333349</v>
      </c>
      <c r="P102" s="43">
        <f t="shared" si="2"/>
        <v>-790094.77088947885</v>
      </c>
      <c r="Q102" s="43">
        <f t="shared" si="3"/>
        <v>112143912.18486373</v>
      </c>
    </row>
    <row r="103" spans="1:17" x14ac:dyDescent="0.35">
      <c r="A103" s="172">
        <v>41983</v>
      </c>
      <c r="B103" t="s">
        <v>23</v>
      </c>
      <c r="C103">
        <v>-2866099.8</v>
      </c>
      <c r="D103">
        <v>384037464.66519994</v>
      </c>
      <c r="E103">
        <v>-796138.83333397016</v>
      </c>
      <c r="F103">
        <v>106677073.51819643</v>
      </c>
      <c r="I103" s="174">
        <v>41983</v>
      </c>
      <c r="J103" t="s">
        <v>23</v>
      </c>
      <c r="K103">
        <v>-190181</v>
      </c>
      <c r="L103">
        <v>16624338.400000006</v>
      </c>
      <c r="M103">
        <v>-52828.055555555555</v>
      </c>
      <c r="N103">
        <v>4617871.7777777789</v>
      </c>
      <c r="P103" s="43">
        <f t="shared" si="2"/>
        <v>-848966.88888952567</v>
      </c>
      <c r="Q103" s="43">
        <f t="shared" si="3"/>
        <v>111294945.29597421</v>
      </c>
    </row>
    <row r="104" spans="1:17" x14ac:dyDescent="0.35">
      <c r="A104" s="172">
        <v>41984</v>
      </c>
      <c r="B104" t="s">
        <v>23</v>
      </c>
      <c r="C104">
        <v>-3345804.5</v>
      </c>
      <c r="D104">
        <v>380691660.16519994</v>
      </c>
      <c r="E104">
        <v>-929390.13888963242</v>
      </c>
      <c r="F104">
        <v>105747683.37930681</v>
      </c>
      <c r="I104" s="174">
        <v>41984</v>
      </c>
      <c r="J104" t="s">
        <v>23</v>
      </c>
      <c r="K104">
        <v>-190290</v>
      </c>
      <c r="L104">
        <v>16434048.400000006</v>
      </c>
      <c r="M104">
        <v>-52858.333333333328</v>
      </c>
      <c r="N104">
        <v>4565013.4444444459</v>
      </c>
      <c r="P104" s="43">
        <f t="shared" si="2"/>
        <v>-982248.47222296579</v>
      </c>
      <c r="Q104" s="43">
        <f t="shared" si="3"/>
        <v>110312696.82375126</v>
      </c>
    </row>
    <row r="105" spans="1:17" x14ac:dyDescent="0.35">
      <c r="A105" s="172">
        <v>41985</v>
      </c>
      <c r="B105" t="s">
        <v>23</v>
      </c>
      <c r="C105">
        <v>-3517855.4</v>
      </c>
      <c r="D105">
        <v>377173804.76519996</v>
      </c>
      <c r="E105">
        <v>-977182.05555633723</v>
      </c>
      <c r="F105">
        <v>104770501.32375047</v>
      </c>
      <c r="I105" s="174">
        <v>41985</v>
      </c>
      <c r="J105" t="s">
        <v>23</v>
      </c>
      <c r="K105">
        <v>-190214</v>
      </c>
      <c r="L105">
        <v>16243834.400000006</v>
      </c>
      <c r="M105">
        <v>-52837.222222222219</v>
      </c>
      <c r="N105">
        <v>4512176.2222222239</v>
      </c>
      <c r="P105" s="43">
        <f t="shared" si="2"/>
        <v>-1030019.2777785595</v>
      </c>
      <c r="Q105" s="43">
        <f t="shared" si="3"/>
        <v>109282677.54597269</v>
      </c>
    </row>
    <row r="106" spans="1:17" x14ac:dyDescent="0.35">
      <c r="A106" s="172">
        <v>41986</v>
      </c>
      <c r="B106" t="s">
        <v>23</v>
      </c>
      <c r="C106">
        <v>-2029485.9</v>
      </c>
      <c r="D106">
        <v>375144318.86519998</v>
      </c>
      <c r="E106">
        <v>-563746.08333378425</v>
      </c>
      <c r="F106">
        <v>104206755.24041669</v>
      </c>
      <c r="I106" s="174">
        <v>41986</v>
      </c>
      <c r="J106" t="s">
        <v>23</v>
      </c>
      <c r="K106">
        <v>-144063</v>
      </c>
      <c r="L106">
        <v>16099771.400000006</v>
      </c>
      <c r="M106">
        <v>-40017.5</v>
      </c>
      <c r="N106">
        <v>4472158.7222222239</v>
      </c>
      <c r="P106" s="43">
        <f t="shared" si="2"/>
        <v>-603763.58333378425</v>
      </c>
      <c r="Q106" s="43">
        <f t="shared" si="3"/>
        <v>108678913.96263891</v>
      </c>
    </row>
    <row r="107" spans="1:17" x14ac:dyDescent="0.35">
      <c r="A107" s="172">
        <v>41987</v>
      </c>
      <c r="B107" t="s">
        <v>23</v>
      </c>
      <c r="C107">
        <v>-1200478.7233</v>
      </c>
      <c r="D107">
        <v>373943840.1419</v>
      </c>
      <c r="E107">
        <v>-333466.31202804454</v>
      </c>
      <c r="F107">
        <v>103873288.92838866</v>
      </c>
      <c r="I107" s="174">
        <v>41987</v>
      </c>
      <c r="J107" t="s">
        <v>23</v>
      </c>
      <c r="K107">
        <v>-135845</v>
      </c>
      <c r="L107">
        <v>15963926.400000006</v>
      </c>
      <c r="M107">
        <v>-37734.722222222219</v>
      </c>
      <c r="N107">
        <v>4434424.0000000019</v>
      </c>
      <c r="P107" s="43">
        <f t="shared" si="2"/>
        <v>-371201.03425026673</v>
      </c>
      <c r="Q107" s="43">
        <f t="shared" si="3"/>
        <v>108307712.92838866</v>
      </c>
    </row>
    <row r="108" spans="1:17" x14ac:dyDescent="0.35">
      <c r="A108" s="172">
        <v>41988</v>
      </c>
      <c r="B108" t="s">
        <v>23</v>
      </c>
      <c r="C108">
        <v>-3023277.7906999998</v>
      </c>
      <c r="D108">
        <v>370920562.35119998</v>
      </c>
      <c r="E108">
        <v>-839799.3863062273</v>
      </c>
      <c r="F108">
        <v>103033489.54208243</v>
      </c>
      <c r="I108" s="174">
        <v>41988</v>
      </c>
      <c r="J108" t="s">
        <v>23</v>
      </c>
      <c r="K108">
        <v>-189758</v>
      </c>
      <c r="L108">
        <v>15774168.400000006</v>
      </c>
      <c r="M108">
        <v>-52710.555555555555</v>
      </c>
      <c r="N108">
        <v>4381713.4444444459</v>
      </c>
      <c r="P108" s="43">
        <f t="shared" si="2"/>
        <v>-892509.94186178281</v>
      </c>
      <c r="Q108" s="43">
        <f t="shared" si="3"/>
        <v>107415202.98652688</v>
      </c>
    </row>
    <row r="109" spans="1:17" x14ac:dyDescent="0.35">
      <c r="A109" s="172">
        <v>41989</v>
      </c>
      <c r="B109" t="s">
        <v>23</v>
      </c>
      <c r="C109">
        <v>-2726867.7974999999</v>
      </c>
      <c r="D109">
        <v>368194232.15369993</v>
      </c>
      <c r="E109">
        <v>-757463.27708393929</v>
      </c>
      <c r="F109">
        <v>102276175.59833181</v>
      </c>
      <c r="I109" s="174">
        <v>41989</v>
      </c>
      <c r="J109" t="s">
        <v>23</v>
      </c>
      <c r="K109">
        <v>-189764</v>
      </c>
      <c r="L109">
        <v>15584404.400000006</v>
      </c>
      <c r="M109">
        <v>-52712.222222222219</v>
      </c>
      <c r="N109">
        <v>4329001.2222222239</v>
      </c>
      <c r="P109" s="43">
        <f t="shared" si="2"/>
        <v>-810175.49930616154</v>
      </c>
      <c r="Q109" s="43">
        <f t="shared" si="3"/>
        <v>106605176.82055403</v>
      </c>
    </row>
    <row r="110" spans="1:17" x14ac:dyDescent="0.35">
      <c r="A110" s="172">
        <v>41990</v>
      </c>
      <c r="B110" t="s">
        <v>23</v>
      </c>
      <c r="C110">
        <v>-3208058.0485</v>
      </c>
      <c r="D110">
        <v>364986174.10519993</v>
      </c>
      <c r="E110">
        <v>-891127.23569515732</v>
      </c>
      <c r="F110">
        <v>101385048.36263664</v>
      </c>
      <c r="I110" s="174">
        <v>41990</v>
      </c>
      <c r="J110" t="s">
        <v>23</v>
      </c>
      <c r="K110">
        <v>-189765</v>
      </c>
      <c r="L110">
        <v>15394639.400000006</v>
      </c>
      <c r="M110">
        <v>-52712.5</v>
      </c>
      <c r="N110">
        <v>4276288.7222222239</v>
      </c>
      <c r="P110" s="43">
        <f t="shared" si="2"/>
        <v>-943839.73569515732</v>
      </c>
      <c r="Q110" s="43">
        <f t="shared" si="3"/>
        <v>105661337.08485886</v>
      </c>
    </row>
    <row r="111" spans="1:17" x14ac:dyDescent="0.35">
      <c r="A111" s="172">
        <v>41991</v>
      </c>
      <c r="B111" t="s">
        <v>23</v>
      </c>
      <c r="C111">
        <v>-3142218.7</v>
      </c>
      <c r="D111">
        <v>361843955.40519994</v>
      </c>
      <c r="E111">
        <v>-872838.52777847613</v>
      </c>
      <c r="F111">
        <v>100512209.83485818</v>
      </c>
      <c r="I111" s="174">
        <v>41991</v>
      </c>
      <c r="J111" t="s">
        <v>23</v>
      </c>
      <c r="K111">
        <v>-189700</v>
      </c>
      <c r="L111">
        <v>15204939.400000006</v>
      </c>
      <c r="M111">
        <v>-52694.444444444445</v>
      </c>
      <c r="N111">
        <v>4223594.2777777798</v>
      </c>
      <c r="P111" s="43">
        <f t="shared" si="2"/>
        <v>-925532.97222292062</v>
      </c>
      <c r="Q111" s="43">
        <f t="shared" si="3"/>
        <v>104735804.11263596</v>
      </c>
    </row>
    <row r="112" spans="1:17" x14ac:dyDescent="0.35">
      <c r="A112" s="172">
        <v>41992</v>
      </c>
      <c r="B112" t="s">
        <v>23</v>
      </c>
      <c r="C112">
        <v>-2916572.5</v>
      </c>
      <c r="D112">
        <v>358927382.90519994</v>
      </c>
      <c r="E112">
        <v>-810159.02777842595</v>
      </c>
      <c r="F112">
        <v>99702050.807079747</v>
      </c>
      <c r="I112" s="174">
        <v>41992</v>
      </c>
      <c r="J112" t="s">
        <v>23</v>
      </c>
      <c r="K112">
        <v>-189690</v>
      </c>
      <c r="L112">
        <v>15015249.400000006</v>
      </c>
      <c r="M112">
        <v>-52691.666666666664</v>
      </c>
      <c r="N112">
        <v>4170902.6111111133</v>
      </c>
      <c r="P112" s="43">
        <f t="shared" si="2"/>
        <v>-862850.69444509258</v>
      </c>
      <c r="Q112" s="43">
        <f t="shared" si="3"/>
        <v>103872953.41819087</v>
      </c>
    </row>
    <row r="113" spans="1:17" x14ac:dyDescent="0.35">
      <c r="A113" s="172">
        <v>41993</v>
      </c>
      <c r="B113" t="s">
        <v>23</v>
      </c>
      <c r="C113">
        <v>-2533907</v>
      </c>
      <c r="D113">
        <v>356393475.90519994</v>
      </c>
      <c r="E113">
        <v>-703863.0555561186</v>
      </c>
      <c r="F113">
        <v>98998187.751523629</v>
      </c>
      <c r="I113" s="174">
        <v>41993</v>
      </c>
      <c r="J113" t="s">
        <v>23</v>
      </c>
      <c r="K113">
        <v>-184049</v>
      </c>
      <c r="L113">
        <v>14831200.400000006</v>
      </c>
      <c r="M113">
        <v>-51124.722222222219</v>
      </c>
      <c r="N113">
        <v>4119777.8888888913</v>
      </c>
      <c r="P113" s="43">
        <f t="shared" si="2"/>
        <v>-754987.77777834085</v>
      </c>
      <c r="Q113" s="43">
        <f t="shared" si="3"/>
        <v>103117965.64041252</v>
      </c>
    </row>
    <row r="114" spans="1:17" x14ac:dyDescent="0.35">
      <c r="A114" s="172">
        <v>41994</v>
      </c>
      <c r="B114" t="s">
        <v>23</v>
      </c>
      <c r="C114">
        <v>-2374355.8321000002</v>
      </c>
      <c r="D114">
        <v>354019120.07309997</v>
      </c>
      <c r="E114">
        <v>-659543.28669497219</v>
      </c>
      <c r="F114">
        <v>98338644.46482867</v>
      </c>
      <c r="I114" s="174">
        <v>41994</v>
      </c>
      <c r="J114" t="s">
        <v>23</v>
      </c>
      <c r="K114">
        <v>-180478</v>
      </c>
      <c r="L114">
        <v>14650722.400000006</v>
      </c>
      <c r="M114">
        <v>-50132.777777777774</v>
      </c>
      <c r="N114">
        <v>4069645.1111111133</v>
      </c>
      <c r="P114" s="43">
        <f t="shared" si="2"/>
        <v>-709676.06447274995</v>
      </c>
      <c r="Q114" s="43">
        <f t="shared" si="3"/>
        <v>102408289.57593979</v>
      </c>
    </row>
    <row r="115" spans="1:17" x14ac:dyDescent="0.35">
      <c r="A115" s="172">
        <v>41995</v>
      </c>
      <c r="B115" t="s">
        <v>23</v>
      </c>
      <c r="C115">
        <v>-3790322.4731000001</v>
      </c>
      <c r="D115">
        <v>350228797.59999996</v>
      </c>
      <c r="E115">
        <v>-1052867.3536397312</v>
      </c>
      <c r="F115">
        <v>97285777.111188933</v>
      </c>
      <c r="I115" s="174">
        <v>41995</v>
      </c>
      <c r="J115" t="s">
        <v>23</v>
      </c>
      <c r="K115">
        <v>-186839</v>
      </c>
      <c r="L115">
        <v>14463883.400000006</v>
      </c>
      <c r="M115">
        <v>-51899.722222222219</v>
      </c>
      <c r="N115">
        <v>4017745.3888888913</v>
      </c>
      <c r="P115" s="43">
        <f t="shared" si="2"/>
        <v>-1104767.0758619534</v>
      </c>
      <c r="Q115" s="43">
        <f t="shared" si="3"/>
        <v>101303522.50007783</v>
      </c>
    </row>
    <row r="116" spans="1:17" x14ac:dyDescent="0.35">
      <c r="A116" s="172">
        <v>41996</v>
      </c>
      <c r="B116" t="s">
        <v>23</v>
      </c>
      <c r="C116">
        <v>-3040697.7</v>
      </c>
      <c r="D116">
        <v>347188099.89999998</v>
      </c>
      <c r="E116">
        <v>-844638.25000067579</v>
      </c>
      <c r="F116">
        <v>96441138.861188263</v>
      </c>
      <c r="I116" s="174">
        <v>41996</v>
      </c>
      <c r="J116" t="s">
        <v>23</v>
      </c>
      <c r="K116">
        <v>-186835</v>
      </c>
      <c r="L116">
        <v>14277048.400000006</v>
      </c>
      <c r="M116">
        <v>-51898.611111111109</v>
      </c>
      <c r="N116">
        <v>3965846.7777777803</v>
      </c>
      <c r="P116" s="43">
        <f t="shared" si="2"/>
        <v>-896536.86111178691</v>
      </c>
      <c r="Q116" s="43">
        <f t="shared" si="3"/>
        <v>100406985.63896604</v>
      </c>
    </row>
    <row r="117" spans="1:17" x14ac:dyDescent="0.35">
      <c r="A117" s="172">
        <v>41997</v>
      </c>
      <c r="B117" t="s">
        <v>23</v>
      </c>
      <c r="C117">
        <v>-2432237</v>
      </c>
      <c r="D117">
        <v>344755862.89999998</v>
      </c>
      <c r="E117">
        <v>-675621.38888942939</v>
      </c>
      <c r="F117">
        <v>95765517.472298831</v>
      </c>
      <c r="I117" s="174">
        <v>41997</v>
      </c>
      <c r="J117" t="s">
        <v>23</v>
      </c>
      <c r="K117">
        <v>-187772</v>
      </c>
      <c r="L117">
        <v>14089276.400000006</v>
      </c>
      <c r="M117">
        <v>-52158.888888888891</v>
      </c>
      <c r="N117">
        <v>3913687.8888888913</v>
      </c>
      <c r="P117" s="43">
        <f t="shared" si="2"/>
        <v>-727780.27777831827</v>
      </c>
      <c r="Q117" s="43">
        <f t="shared" si="3"/>
        <v>99679205.361187726</v>
      </c>
    </row>
    <row r="118" spans="1:17" x14ac:dyDescent="0.35">
      <c r="A118" s="172">
        <v>41998</v>
      </c>
      <c r="B118" t="s">
        <v>23</v>
      </c>
      <c r="C118">
        <v>-1176992</v>
      </c>
      <c r="D118">
        <v>343578870.89999998</v>
      </c>
      <c r="E118">
        <v>-326942.22222248378</v>
      </c>
      <c r="F118">
        <v>95438575.250076339</v>
      </c>
      <c r="I118" s="174">
        <v>41998</v>
      </c>
      <c r="J118" t="s">
        <v>23</v>
      </c>
      <c r="K118">
        <v>-185092</v>
      </c>
      <c r="L118">
        <v>13904184.400000006</v>
      </c>
      <c r="M118">
        <v>-51414.444444444445</v>
      </c>
      <c r="N118">
        <v>3862273.4444444468</v>
      </c>
      <c r="P118" s="43">
        <f t="shared" si="2"/>
        <v>-378356.66666692821</v>
      </c>
      <c r="Q118" s="43">
        <f t="shared" si="3"/>
        <v>99300848.694520786</v>
      </c>
    </row>
    <row r="119" spans="1:17" x14ac:dyDescent="0.35">
      <c r="A119" s="172">
        <v>41999</v>
      </c>
      <c r="B119" t="s">
        <v>23</v>
      </c>
      <c r="C119">
        <v>-1437168.4</v>
      </c>
      <c r="D119">
        <v>342141702.5</v>
      </c>
      <c r="E119">
        <v>-399213.44444476377</v>
      </c>
      <c r="F119">
        <v>95039361.805631593</v>
      </c>
      <c r="I119" s="174">
        <v>41999</v>
      </c>
      <c r="J119" t="s">
        <v>23</v>
      </c>
      <c r="K119">
        <v>-178108</v>
      </c>
      <c r="L119">
        <v>13726076.400000006</v>
      </c>
      <c r="M119">
        <v>-49474.444444444445</v>
      </c>
      <c r="N119">
        <v>3812799.0000000023</v>
      </c>
      <c r="P119" s="43">
        <f t="shared" si="2"/>
        <v>-448687.8888892082</v>
      </c>
      <c r="Q119" s="43">
        <f t="shared" si="3"/>
        <v>98852160.805631593</v>
      </c>
    </row>
    <row r="120" spans="1:17" x14ac:dyDescent="0.35">
      <c r="A120" s="172">
        <v>42000</v>
      </c>
      <c r="B120" t="s">
        <v>23</v>
      </c>
      <c r="C120">
        <v>-3127493.1</v>
      </c>
      <c r="D120">
        <v>339014209.39999998</v>
      </c>
      <c r="E120">
        <v>-868748.08333402837</v>
      </c>
      <c r="F120">
        <v>94170613.722297549</v>
      </c>
      <c r="I120" s="174">
        <v>42000</v>
      </c>
      <c r="J120" t="s">
        <v>23</v>
      </c>
      <c r="K120">
        <v>-185191</v>
      </c>
      <c r="L120">
        <v>13540885.400000006</v>
      </c>
      <c r="M120">
        <v>-51441.944444444445</v>
      </c>
      <c r="N120">
        <v>3761357.0555555578</v>
      </c>
      <c r="P120" s="43">
        <f t="shared" si="2"/>
        <v>-920190.02777847287</v>
      </c>
      <c r="Q120" s="43">
        <f t="shared" si="3"/>
        <v>97931970.777853101</v>
      </c>
    </row>
    <row r="121" spans="1:17" x14ac:dyDescent="0.35">
      <c r="A121" s="172">
        <v>42001</v>
      </c>
      <c r="B121" t="s">
        <v>23</v>
      </c>
      <c r="C121">
        <v>-3213204.5</v>
      </c>
      <c r="D121">
        <v>335801004.89999998</v>
      </c>
      <c r="E121">
        <v>-892556.8055562696</v>
      </c>
      <c r="F121">
        <v>93278056.916741282</v>
      </c>
      <c r="I121" s="174">
        <v>42001</v>
      </c>
      <c r="J121" t="s">
        <v>23</v>
      </c>
      <c r="K121">
        <v>-184880</v>
      </c>
      <c r="L121">
        <v>13356005.400000006</v>
      </c>
      <c r="M121">
        <v>-51355.555555555555</v>
      </c>
      <c r="N121">
        <v>3710001.5000000023</v>
      </c>
      <c r="P121" s="43">
        <f t="shared" si="2"/>
        <v>-943912.3611118251</v>
      </c>
      <c r="Q121" s="43">
        <f t="shared" si="3"/>
        <v>96988058.416741282</v>
      </c>
    </row>
    <row r="122" spans="1:17" x14ac:dyDescent="0.35">
      <c r="A122" s="172">
        <v>42002</v>
      </c>
      <c r="B122" t="s">
        <v>23</v>
      </c>
      <c r="C122">
        <v>-4158939.3</v>
      </c>
      <c r="D122">
        <v>331642065.59999996</v>
      </c>
      <c r="E122">
        <v>-1155260.9166675908</v>
      </c>
      <c r="F122">
        <v>92122796.000073686</v>
      </c>
      <c r="I122" s="174">
        <v>42002</v>
      </c>
      <c r="J122" t="s">
        <v>23</v>
      </c>
      <c r="K122">
        <v>-189333</v>
      </c>
      <c r="L122">
        <v>13166672.400000006</v>
      </c>
      <c r="M122">
        <v>-52592.5</v>
      </c>
      <c r="N122">
        <v>3657409.0000000023</v>
      </c>
      <c r="P122" s="43">
        <f t="shared" si="2"/>
        <v>-1207853.4166675908</v>
      </c>
      <c r="Q122" s="43">
        <f t="shared" si="3"/>
        <v>95780205.000073686</v>
      </c>
    </row>
    <row r="123" spans="1:17" x14ac:dyDescent="0.35">
      <c r="A123" s="172">
        <v>42003</v>
      </c>
      <c r="B123" t="s">
        <v>23</v>
      </c>
      <c r="C123">
        <v>-3707191.5</v>
      </c>
      <c r="D123">
        <v>327934874.09999996</v>
      </c>
      <c r="E123">
        <v>-1029775.4166674905</v>
      </c>
      <c r="F123">
        <v>91093020.583406195</v>
      </c>
      <c r="I123" s="174">
        <v>42003</v>
      </c>
      <c r="J123" t="s">
        <v>23</v>
      </c>
      <c r="K123">
        <v>-189235</v>
      </c>
      <c r="L123">
        <v>12977437.400000006</v>
      </c>
      <c r="M123">
        <v>-52565.277777777774</v>
      </c>
      <c r="N123">
        <v>3604843.7222222243</v>
      </c>
      <c r="P123" s="43">
        <f t="shared" si="2"/>
        <v>-1082340.6944452683</v>
      </c>
      <c r="Q123" s="43">
        <f t="shared" si="3"/>
        <v>94697864.305628419</v>
      </c>
    </row>
    <row r="124" spans="1:17" x14ac:dyDescent="0.35">
      <c r="A124" s="174">
        <v>42004</v>
      </c>
      <c r="B124" t="s">
        <v>23</v>
      </c>
      <c r="C124">
        <v>-3630919.3</v>
      </c>
      <c r="D124">
        <v>324303954.79999995</v>
      </c>
      <c r="E124">
        <v>-1008588.6944452513</v>
      </c>
      <c r="F124">
        <v>90084431.888960943</v>
      </c>
      <c r="I124" s="174">
        <v>42004</v>
      </c>
      <c r="J124" t="s">
        <v>23</v>
      </c>
      <c r="K124">
        <v>-189314</v>
      </c>
      <c r="L124">
        <v>12788123.400000006</v>
      </c>
      <c r="M124">
        <v>-52587.222222222219</v>
      </c>
      <c r="N124">
        <v>3552256.5000000014</v>
      </c>
      <c r="P124" s="43">
        <f t="shared" si="2"/>
        <v>-1061175.9166674735</v>
      </c>
      <c r="Q124" s="43">
        <f t="shared" si="3"/>
        <v>93636688.388960943</v>
      </c>
    </row>
    <row r="125" spans="1:17" x14ac:dyDescent="0.35">
      <c r="A125" s="172">
        <v>42005</v>
      </c>
      <c r="B125" t="s">
        <v>23</v>
      </c>
      <c r="C125">
        <v>-3446803.4</v>
      </c>
      <c r="D125">
        <v>320857151.39999998</v>
      </c>
      <c r="E125">
        <v>-957445.38888965477</v>
      </c>
      <c r="F125">
        <v>89126986.500071302</v>
      </c>
      <c r="I125" s="174">
        <v>42005</v>
      </c>
      <c r="J125" t="s">
        <v>23</v>
      </c>
      <c r="K125">
        <v>-193147</v>
      </c>
      <c r="L125">
        <v>12594976.400000006</v>
      </c>
      <c r="M125">
        <v>-53651.944444444445</v>
      </c>
      <c r="N125">
        <v>3498604.5555555569</v>
      </c>
      <c r="P125" s="43">
        <f t="shared" si="2"/>
        <v>-1011097.3333340993</v>
      </c>
      <c r="Q125" s="43">
        <f t="shared" si="3"/>
        <v>92625591.055626854</v>
      </c>
    </row>
    <row r="126" spans="1:17" x14ac:dyDescent="0.35">
      <c r="A126" s="172">
        <v>42006</v>
      </c>
      <c r="B126" t="s">
        <v>23</v>
      </c>
      <c r="C126">
        <v>-3577916.5</v>
      </c>
      <c r="D126">
        <v>317279234.89999998</v>
      </c>
      <c r="E126">
        <v>-993865.6944452395</v>
      </c>
      <c r="F126">
        <v>88133120.80562605</v>
      </c>
      <c r="I126" s="174">
        <v>42006</v>
      </c>
      <c r="J126" t="s">
        <v>23</v>
      </c>
      <c r="K126">
        <v>-190408</v>
      </c>
      <c r="L126">
        <v>12404568.400000006</v>
      </c>
      <c r="M126">
        <v>-52891.111111111109</v>
      </c>
      <c r="N126">
        <v>3445713.4444444459</v>
      </c>
      <c r="P126" s="43">
        <f t="shared" si="2"/>
        <v>-1046756.8055563506</v>
      </c>
      <c r="Q126" s="43">
        <f t="shared" si="3"/>
        <v>91578834.250070497</v>
      </c>
    </row>
    <row r="127" spans="1:17" x14ac:dyDescent="0.35">
      <c r="A127" s="172">
        <v>42007</v>
      </c>
      <c r="B127" t="s">
        <v>23</v>
      </c>
      <c r="C127">
        <v>-2928363.9</v>
      </c>
      <c r="D127">
        <v>314350871</v>
      </c>
      <c r="E127">
        <v>-813434.41666731739</v>
      </c>
      <c r="F127">
        <v>87319686.388958752</v>
      </c>
      <c r="I127" s="174">
        <v>42007</v>
      </c>
      <c r="J127" t="s">
        <v>23</v>
      </c>
      <c r="K127">
        <v>-189897</v>
      </c>
      <c r="L127">
        <v>12214671.400000006</v>
      </c>
      <c r="M127">
        <v>-52749.166666666664</v>
      </c>
      <c r="N127">
        <v>3392964.2777777794</v>
      </c>
      <c r="P127" s="43">
        <f t="shared" si="2"/>
        <v>-866183.58333398402</v>
      </c>
      <c r="Q127" s="43">
        <f t="shared" si="3"/>
        <v>90712650.666736528</v>
      </c>
    </row>
    <row r="128" spans="1:17" x14ac:dyDescent="0.35">
      <c r="A128" s="172">
        <v>42008</v>
      </c>
      <c r="B128" t="s">
        <v>23</v>
      </c>
      <c r="C128">
        <v>-2152815.5514000002</v>
      </c>
      <c r="D128">
        <v>312198055.44859999</v>
      </c>
      <c r="E128">
        <v>-598004.31983381184</v>
      </c>
      <c r="F128">
        <v>86721682.069124937</v>
      </c>
      <c r="I128" s="174">
        <v>42008</v>
      </c>
      <c r="J128" t="s">
        <v>23</v>
      </c>
      <c r="K128">
        <v>-188758</v>
      </c>
      <c r="L128">
        <v>12025913.400000006</v>
      </c>
      <c r="M128">
        <v>-52432.777777777774</v>
      </c>
      <c r="N128">
        <v>3340531.5000000014</v>
      </c>
      <c r="P128" s="43">
        <f t="shared" si="2"/>
        <v>-650437.09761158959</v>
      </c>
      <c r="Q128" s="43">
        <f t="shared" si="3"/>
        <v>90062213.569124937</v>
      </c>
    </row>
    <row r="129" spans="1:17" x14ac:dyDescent="0.35">
      <c r="A129" s="172">
        <v>42009</v>
      </c>
      <c r="B129" t="s">
        <v>23</v>
      </c>
      <c r="C129">
        <v>-3356096.4</v>
      </c>
      <c r="D129">
        <v>308841959.04860002</v>
      </c>
      <c r="E129">
        <v>-932249.00000074576</v>
      </c>
      <c r="F129">
        <v>85789433.069124192</v>
      </c>
      <c r="I129" s="174">
        <v>42009</v>
      </c>
      <c r="J129" t="s">
        <v>23</v>
      </c>
      <c r="K129">
        <v>-189728</v>
      </c>
      <c r="L129">
        <v>11836185.400000006</v>
      </c>
      <c r="M129">
        <v>-52702.222222222219</v>
      </c>
      <c r="N129">
        <v>3287829.2777777794</v>
      </c>
      <c r="P129" s="43">
        <f t="shared" si="2"/>
        <v>-984951.222222968</v>
      </c>
      <c r="Q129" s="43">
        <f t="shared" si="3"/>
        <v>89077262.346901968</v>
      </c>
    </row>
    <row r="130" spans="1:17" x14ac:dyDescent="0.35">
      <c r="A130" s="172">
        <v>42010</v>
      </c>
      <c r="B130" t="s">
        <v>23</v>
      </c>
      <c r="C130">
        <v>-3598580.7573000002</v>
      </c>
      <c r="D130">
        <v>305243378.2913</v>
      </c>
      <c r="E130">
        <v>-999605.76591746637</v>
      </c>
      <c r="F130">
        <v>84789827.303206727</v>
      </c>
      <c r="I130" s="174">
        <v>42010</v>
      </c>
      <c r="J130" t="s">
        <v>23</v>
      </c>
      <c r="K130">
        <v>-188631</v>
      </c>
      <c r="L130">
        <v>11647554.400000006</v>
      </c>
      <c r="M130">
        <v>-52397.5</v>
      </c>
      <c r="N130">
        <v>3235431.7777777794</v>
      </c>
      <c r="P130" s="43">
        <f t="shared" ref="P130:P193" si="4">M130+E130</f>
        <v>-1052003.2659174665</v>
      </c>
      <c r="Q130" s="43">
        <f t="shared" ref="Q130:Q193" si="5">N130+F130</f>
        <v>88025259.080984503</v>
      </c>
    </row>
    <row r="131" spans="1:17" x14ac:dyDescent="0.35">
      <c r="A131" s="172">
        <v>42011</v>
      </c>
      <c r="B131" t="s">
        <v>23</v>
      </c>
      <c r="C131">
        <v>-4095398.8213</v>
      </c>
      <c r="D131">
        <v>301147979.47000003</v>
      </c>
      <c r="E131">
        <v>-1137610.7836953546</v>
      </c>
      <c r="F131">
        <v>83652216.519511372</v>
      </c>
      <c r="I131" s="174">
        <v>42011</v>
      </c>
      <c r="J131" t="s">
        <v>23</v>
      </c>
      <c r="K131">
        <v>-195060</v>
      </c>
      <c r="L131">
        <v>11452494.400000006</v>
      </c>
      <c r="M131">
        <v>-54183.333333333328</v>
      </c>
      <c r="N131">
        <v>3181248.4444444459</v>
      </c>
      <c r="P131" s="43">
        <f t="shared" si="4"/>
        <v>-1191794.1170286878</v>
      </c>
      <c r="Q131" s="43">
        <f t="shared" si="5"/>
        <v>86833464.96395582</v>
      </c>
    </row>
    <row r="132" spans="1:17" x14ac:dyDescent="0.35">
      <c r="A132" s="172">
        <v>42012</v>
      </c>
      <c r="B132" t="s">
        <v>23</v>
      </c>
      <c r="C132">
        <v>-4360982.2</v>
      </c>
      <c r="D132">
        <v>296786997.27000004</v>
      </c>
      <c r="E132">
        <v>-1211383.9444454135</v>
      </c>
      <c r="F132">
        <v>82440832.57506597</v>
      </c>
      <c r="I132" s="174">
        <v>42012</v>
      </c>
      <c r="J132" t="s">
        <v>23</v>
      </c>
      <c r="K132">
        <v>-194434</v>
      </c>
      <c r="L132">
        <v>11258060.400000006</v>
      </c>
      <c r="M132">
        <v>-54009.444444444445</v>
      </c>
      <c r="N132">
        <v>3127239.0000000014</v>
      </c>
      <c r="P132" s="43">
        <f t="shared" si="4"/>
        <v>-1265393.388889858</v>
      </c>
      <c r="Q132" s="43">
        <f t="shared" si="5"/>
        <v>85568071.57506597</v>
      </c>
    </row>
    <row r="133" spans="1:17" x14ac:dyDescent="0.35">
      <c r="A133" s="172">
        <v>42013</v>
      </c>
      <c r="B133" t="s">
        <v>23</v>
      </c>
      <c r="C133">
        <v>-3585907.4</v>
      </c>
      <c r="D133">
        <v>293201089.87000006</v>
      </c>
      <c r="E133">
        <v>-996085.38888968574</v>
      </c>
      <c r="F133">
        <v>81444747.186176285</v>
      </c>
      <c r="I133" s="174">
        <v>42013</v>
      </c>
      <c r="J133" t="s">
        <v>23</v>
      </c>
      <c r="K133">
        <v>-194316</v>
      </c>
      <c r="L133">
        <v>11063744.400000006</v>
      </c>
      <c r="M133">
        <v>-53976.666666666664</v>
      </c>
      <c r="N133">
        <v>3073262.3333333349</v>
      </c>
      <c r="P133" s="43">
        <f t="shared" si="4"/>
        <v>-1050062.0555563525</v>
      </c>
      <c r="Q133" s="43">
        <f t="shared" si="5"/>
        <v>84518009.519509614</v>
      </c>
    </row>
    <row r="134" spans="1:17" x14ac:dyDescent="0.35">
      <c r="A134" s="172">
        <v>42014</v>
      </c>
      <c r="B134" t="s">
        <v>23</v>
      </c>
      <c r="C134">
        <v>-1687884.9</v>
      </c>
      <c r="D134">
        <v>291513204.97000009</v>
      </c>
      <c r="E134">
        <v>-468856.91666704172</v>
      </c>
      <c r="F134">
        <v>80975890.269509256</v>
      </c>
      <c r="I134" s="174">
        <v>42014</v>
      </c>
      <c r="J134" t="s">
        <v>23</v>
      </c>
      <c r="K134">
        <v>-193902</v>
      </c>
      <c r="L134">
        <v>10869842.400000006</v>
      </c>
      <c r="M134">
        <v>-53861.666666666664</v>
      </c>
      <c r="N134">
        <v>3019400.6666666684</v>
      </c>
      <c r="P134" s="43">
        <f t="shared" si="4"/>
        <v>-522718.5833337084</v>
      </c>
      <c r="Q134" s="43">
        <f t="shared" si="5"/>
        <v>83995290.936175928</v>
      </c>
    </row>
    <row r="135" spans="1:17" x14ac:dyDescent="0.35">
      <c r="A135" s="172">
        <v>42015</v>
      </c>
      <c r="B135" t="s">
        <v>23</v>
      </c>
      <c r="C135">
        <v>-1708590.3522000001</v>
      </c>
      <c r="D135">
        <v>289804614.61780012</v>
      </c>
      <c r="E135">
        <v>-474608.43116704636</v>
      </c>
      <c r="F135">
        <v>80501281.838342205</v>
      </c>
      <c r="I135" s="174">
        <v>42015</v>
      </c>
      <c r="J135" t="s">
        <v>23</v>
      </c>
      <c r="K135">
        <v>-194305</v>
      </c>
      <c r="L135">
        <v>10675537.400000006</v>
      </c>
      <c r="M135">
        <v>-53973.611111111109</v>
      </c>
      <c r="N135">
        <v>2965427.0555555574</v>
      </c>
      <c r="P135" s="43">
        <f t="shared" si="4"/>
        <v>-528582.04227815743</v>
      </c>
      <c r="Q135" s="43">
        <f t="shared" si="5"/>
        <v>83466708.893897757</v>
      </c>
    </row>
    <row r="136" spans="1:17" x14ac:dyDescent="0.35">
      <c r="A136" s="172">
        <v>42016</v>
      </c>
      <c r="B136" t="s">
        <v>23</v>
      </c>
      <c r="C136">
        <v>-3009466.1430000002</v>
      </c>
      <c r="D136">
        <v>286795148.47480011</v>
      </c>
      <c r="E136">
        <v>-835962.81750066881</v>
      </c>
      <c r="F136">
        <v>79665319.020841539</v>
      </c>
      <c r="I136" s="174">
        <v>42016</v>
      </c>
      <c r="J136" t="s">
        <v>23</v>
      </c>
      <c r="K136">
        <v>-196096</v>
      </c>
      <c r="L136">
        <v>10479441.400000006</v>
      </c>
      <c r="M136">
        <v>-54471.111111111109</v>
      </c>
      <c r="N136">
        <v>2910955.9444444464</v>
      </c>
      <c r="P136" s="43">
        <f t="shared" si="4"/>
        <v>-890433.92861177993</v>
      </c>
      <c r="Q136" s="43">
        <f t="shared" si="5"/>
        <v>82576274.965285987</v>
      </c>
    </row>
    <row r="137" spans="1:17" x14ac:dyDescent="0.35">
      <c r="A137" s="172">
        <v>42017</v>
      </c>
      <c r="B137" t="s">
        <v>23</v>
      </c>
      <c r="C137">
        <v>-3809261.7464999999</v>
      </c>
      <c r="D137">
        <v>282985886.72830009</v>
      </c>
      <c r="E137">
        <v>-1058128.262917513</v>
      </c>
      <c r="F137">
        <v>78607190.75792402</v>
      </c>
      <c r="I137" s="174">
        <v>42017</v>
      </c>
      <c r="J137" t="s">
        <v>23</v>
      </c>
      <c r="K137">
        <v>-196127</v>
      </c>
      <c r="L137">
        <v>10283314.400000006</v>
      </c>
      <c r="M137">
        <v>-54479.722222222219</v>
      </c>
      <c r="N137">
        <v>2856476.2222222243</v>
      </c>
      <c r="P137" s="43">
        <f t="shared" si="4"/>
        <v>-1112607.9851397353</v>
      </c>
      <c r="Q137" s="43">
        <f t="shared" si="5"/>
        <v>81463666.980146244</v>
      </c>
    </row>
    <row r="138" spans="1:17" x14ac:dyDescent="0.35">
      <c r="A138" s="172">
        <v>42018</v>
      </c>
      <c r="B138" t="s">
        <v>23</v>
      </c>
      <c r="C138">
        <v>-3897411.1</v>
      </c>
      <c r="D138">
        <v>279088475.62830007</v>
      </c>
      <c r="E138">
        <v>-1082614.1944453106</v>
      </c>
      <c r="F138">
        <v>77524576.563478708</v>
      </c>
      <c r="I138" s="174">
        <v>42018</v>
      </c>
      <c r="J138" t="s">
        <v>23</v>
      </c>
      <c r="K138">
        <v>-196165</v>
      </c>
      <c r="L138">
        <v>10087149.400000006</v>
      </c>
      <c r="M138">
        <v>-54490.277777777774</v>
      </c>
      <c r="N138">
        <v>2801985.9444444464</v>
      </c>
      <c r="P138" s="43">
        <f t="shared" si="4"/>
        <v>-1137104.4722230884</v>
      </c>
      <c r="Q138" s="43">
        <f t="shared" si="5"/>
        <v>80326562.507923156</v>
      </c>
    </row>
    <row r="139" spans="1:17" x14ac:dyDescent="0.35">
      <c r="A139" s="172">
        <v>42019</v>
      </c>
      <c r="B139" t="s">
        <v>23</v>
      </c>
      <c r="C139">
        <v>-3805044.8</v>
      </c>
      <c r="D139">
        <v>275283430.82830006</v>
      </c>
      <c r="E139">
        <v>-1056956.8888897344</v>
      </c>
      <c r="F139">
        <v>76467619.674588963</v>
      </c>
      <c r="I139" s="174">
        <v>42019</v>
      </c>
      <c r="J139" t="s">
        <v>23</v>
      </c>
      <c r="K139">
        <v>-200651</v>
      </c>
      <c r="L139">
        <v>9886498.400000006</v>
      </c>
      <c r="M139">
        <v>-55736.388888888891</v>
      </c>
      <c r="N139">
        <v>2746249.5555555574</v>
      </c>
      <c r="P139" s="43">
        <f t="shared" si="4"/>
        <v>-1112693.2777786234</v>
      </c>
      <c r="Q139" s="43">
        <f t="shared" si="5"/>
        <v>79213869.230144516</v>
      </c>
    </row>
    <row r="140" spans="1:17" x14ac:dyDescent="0.35">
      <c r="A140" s="172">
        <v>42020</v>
      </c>
      <c r="B140" t="s">
        <v>23</v>
      </c>
      <c r="C140">
        <v>-3743454.6</v>
      </c>
      <c r="D140">
        <v>271539976.22830003</v>
      </c>
      <c r="E140">
        <v>-1039848.5000008319</v>
      </c>
      <c r="F140">
        <v>75427771.174588129</v>
      </c>
      <c r="I140" s="174">
        <v>42020</v>
      </c>
      <c r="J140" t="s">
        <v>23</v>
      </c>
      <c r="K140">
        <v>-200659</v>
      </c>
      <c r="L140">
        <v>9685839.400000006</v>
      </c>
      <c r="M140">
        <v>-55738.611111111109</v>
      </c>
      <c r="N140">
        <v>2690510.9444444464</v>
      </c>
      <c r="P140" s="43">
        <f t="shared" si="4"/>
        <v>-1095587.1111119429</v>
      </c>
      <c r="Q140" s="43">
        <f t="shared" si="5"/>
        <v>78118282.119032577</v>
      </c>
    </row>
    <row r="141" spans="1:17" x14ac:dyDescent="0.35">
      <c r="A141" s="172">
        <v>42021</v>
      </c>
      <c r="B141" t="s">
        <v>23</v>
      </c>
      <c r="C141">
        <v>-1851602.3</v>
      </c>
      <c r="D141">
        <v>269688373.92830002</v>
      </c>
      <c r="E141">
        <v>-514333.97222263372</v>
      </c>
      <c r="F141">
        <v>74913437.202365488</v>
      </c>
      <c r="I141" s="174">
        <v>42021</v>
      </c>
      <c r="J141" t="s">
        <v>23</v>
      </c>
      <c r="K141">
        <v>-198595</v>
      </c>
      <c r="L141">
        <v>9487244.400000006</v>
      </c>
      <c r="M141">
        <v>-55165.277777777774</v>
      </c>
      <c r="N141">
        <v>2635345.6666666684</v>
      </c>
      <c r="P141" s="43">
        <f t="shared" si="4"/>
        <v>-569499.25000041153</v>
      </c>
      <c r="Q141" s="43">
        <f t="shared" si="5"/>
        <v>77548782.869032159</v>
      </c>
    </row>
    <row r="142" spans="1:17" x14ac:dyDescent="0.35">
      <c r="A142" s="172">
        <v>42022</v>
      </c>
      <c r="B142" t="s">
        <v>23</v>
      </c>
      <c r="C142">
        <v>-1898945.1997</v>
      </c>
      <c r="D142">
        <v>267789428.72860003</v>
      </c>
      <c r="E142">
        <v>-527484.77769486641</v>
      </c>
      <c r="F142">
        <v>74385952.424670622</v>
      </c>
      <c r="I142" s="174">
        <v>42022</v>
      </c>
      <c r="J142" t="s">
        <v>23</v>
      </c>
      <c r="K142">
        <v>-198507</v>
      </c>
      <c r="L142">
        <v>9288737.400000006</v>
      </c>
      <c r="M142">
        <v>-55140.833333333328</v>
      </c>
      <c r="N142">
        <v>2580204.8333333349</v>
      </c>
      <c r="P142" s="43">
        <f t="shared" si="4"/>
        <v>-582625.61102819978</v>
      </c>
      <c r="Q142" s="43">
        <f t="shared" si="5"/>
        <v>76966157.25800395</v>
      </c>
    </row>
    <row r="143" spans="1:17" x14ac:dyDescent="0.35">
      <c r="A143" s="172">
        <v>42023</v>
      </c>
      <c r="B143" t="s">
        <v>23</v>
      </c>
      <c r="C143">
        <v>-4410701.4057</v>
      </c>
      <c r="D143">
        <v>263378727.32290003</v>
      </c>
      <c r="E143">
        <v>-1225194.8349176468</v>
      </c>
      <c r="F143">
        <v>73160757.589752987</v>
      </c>
      <c r="I143" s="174">
        <v>42023</v>
      </c>
      <c r="J143" t="s">
        <v>23</v>
      </c>
      <c r="K143">
        <v>-199566</v>
      </c>
      <c r="L143">
        <v>9089171.400000006</v>
      </c>
      <c r="M143">
        <v>-55435</v>
      </c>
      <c r="N143">
        <v>2524769.8333333349</v>
      </c>
      <c r="P143" s="43">
        <f t="shared" si="4"/>
        <v>-1280629.8349176468</v>
      </c>
      <c r="Q143" s="43">
        <f t="shared" si="5"/>
        <v>75685527.423086315</v>
      </c>
    </row>
    <row r="144" spans="1:17" x14ac:dyDescent="0.35">
      <c r="A144" s="172">
        <v>42024</v>
      </c>
      <c r="B144" t="s">
        <v>23</v>
      </c>
      <c r="C144">
        <v>-5212840.8564999998</v>
      </c>
      <c r="D144">
        <v>258165886.46640003</v>
      </c>
      <c r="E144">
        <v>-1448011.3490289361</v>
      </c>
      <c r="F144">
        <v>71712746.240724042</v>
      </c>
      <c r="I144" s="174">
        <v>42024</v>
      </c>
      <c r="J144" t="s">
        <v>23</v>
      </c>
      <c r="K144">
        <v>-199285</v>
      </c>
      <c r="L144">
        <v>8889886.400000006</v>
      </c>
      <c r="M144">
        <v>-55356.944444444445</v>
      </c>
      <c r="N144">
        <v>2469412.8888888904</v>
      </c>
      <c r="P144" s="43">
        <f t="shared" si="4"/>
        <v>-1503368.2934733806</v>
      </c>
      <c r="Q144" s="43">
        <f t="shared" si="5"/>
        <v>74182159.129612938</v>
      </c>
    </row>
    <row r="145" spans="1:17" x14ac:dyDescent="0.35">
      <c r="A145" s="172">
        <v>42025</v>
      </c>
      <c r="B145" t="s">
        <v>23</v>
      </c>
      <c r="C145">
        <v>-5191134.5526000001</v>
      </c>
      <c r="D145">
        <v>252974751.91380003</v>
      </c>
      <c r="E145">
        <v>-1441981.8201678202</v>
      </c>
      <c r="F145">
        <v>70270764.420556232</v>
      </c>
      <c r="I145" s="174">
        <v>42025</v>
      </c>
      <c r="J145" t="s">
        <v>23</v>
      </c>
      <c r="K145">
        <v>-198101</v>
      </c>
      <c r="L145">
        <v>8691785.400000006</v>
      </c>
      <c r="M145">
        <v>-55028.055555555555</v>
      </c>
      <c r="N145">
        <v>2414384.8333333349</v>
      </c>
      <c r="P145" s="43">
        <f t="shared" si="4"/>
        <v>-1497009.8757233757</v>
      </c>
      <c r="Q145" s="43">
        <f t="shared" si="5"/>
        <v>72685149.253889561</v>
      </c>
    </row>
    <row r="146" spans="1:17" x14ac:dyDescent="0.35">
      <c r="A146" s="172">
        <v>42026</v>
      </c>
      <c r="B146" t="s">
        <v>23</v>
      </c>
      <c r="C146">
        <v>-5223081.2</v>
      </c>
      <c r="D146">
        <v>247751670.71380004</v>
      </c>
      <c r="E146">
        <v>-1450855.8888900497</v>
      </c>
      <c r="F146">
        <v>68819908.531666175</v>
      </c>
      <c r="I146" s="174">
        <v>42026</v>
      </c>
      <c r="J146" t="s">
        <v>23</v>
      </c>
      <c r="K146">
        <v>-200678</v>
      </c>
      <c r="L146">
        <v>8491107.400000006</v>
      </c>
      <c r="M146">
        <v>-55743.888888888891</v>
      </c>
      <c r="N146">
        <v>2358640.9444444459</v>
      </c>
      <c r="P146" s="43">
        <f t="shared" si="4"/>
        <v>-1506599.7777789386</v>
      </c>
      <c r="Q146" s="43">
        <f t="shared" si="5"/>
        <v>71178549.476110622</v>
      </c>
    </row>
    <row r="147" spans="1:17" x14ac:dyDescent="0.35">
      <c r="A147" s="172">
        <v>42027</v>
      </c>
      <c r="B147" t="s">
        <v>23</v>
      </c>
      <c r="C147">
        <v>-4378437.4000000004</v>
      </c>
      <c r="D147">
        <v>243373233.31380004</v>
      </c>
      <c r="E147">
        <v>-1216232.6111120842</v>
      </c>
      <c r="F147">
        <v>67603675.920554087</v>
      </c>
      <c r="I147" s="174">
        <v>42027</v>
      </c>
      <c r="J147" t="s">
        <v>23</v>
      </c>
      <c r="K147">
        <v>-200378</v>
      </c>
      <c r="L147">
        <v>8290729.400000006</v>
      </c>
      <c r="M147">
        <v>-55660.555555555555</v>
      </c>
      <c r="N147">
        <v>2302980.3888888904</v>
      </c>
      <c r="P147" s="43">
        <f t="shared" si="4"/>
        <v>-1271893.1666676397</v>
      </c>
      <c r="Q147" s="43">
        <f t="shared" si="5"/>
        <v>69906656.309442982</v>
      </c>
    </row>
    <row r="148" spans="1:17" x14ac:dyDescent="0.35">
      <c r="A148" s="172">
        <v>42028</v>
      </c>
      <c r="B148" t="s">
        <v>23</v>
      </c>
      <c r="C148">
        <v>-2579271.2000000002</v>
      </c>
      <c r="D148">
        <v>240793962.11380005</v>
      </c>
      <c r="E148">
        <v>-716464.22222279548</v>
      </c>
      <c r="F148">
        <v>66887211.698331304</v>
      </c>
      <c r="I148" s="174">
        <v>42028</v>
      </c>
      <c r="J148" t="s">
        <v>23</v>
      </c>
      <c r="K148">
        <v>-197550</v>
      </c>
      <c r="L148">
        <v>8093179.400000006</v>
      </c>
      <c r="M148">
        <v>-54875</v>
      </c>
      <c r="N148">
        <v>2248105.3888888904</v>
      </c>
      <c r="P148" s="43">
        <f t="shared" si="4"/>
        <v>-771339.22222279548</v>
      </c>
      <c r="Q148" s="43">
        <f t="shared" si="5"/>
        <v>69135317.087220192</v>
      </c>
    </row>
    <row r="149" spans="1:17" x14ac:dyDescent="0.35">
      <c r="A149" s="172">
        <v>42029</v>
      </c>
      <c r="B149" t="s">
        <v>23</v>
      </c>
      <c r="C149">
        <v>-2439924.5</v>
      </c>
      <c r="D149">
        <v>238354037.61380005</v>
      </c>
      <c r="E149">
        <v>-677756.80555609777</v>
      </c>
      <c r="F149">
        <v>66209454.8927752</v>
      </c>
      <c r="I149" s="174">
        <v>42029</v>
      </c>
      <c r="J149" t="s">
        <v>23</v>
      </c>
      <c r="K149">
        <v>-195720</v>
      </c>
      <c r="L149">
        <v>7897459.400000006</v>
      </c>
      <c r="M149">
        <v>-54366.666666666664</v>
      </c>
      <c r="N149">
        <v>2193738.7222222239</v>
      </c>
      <c r="P149" s="43">
        <f t="shared" si="4"/>
        <v>-732123.47222276439</v>
      </c>
      <c r="Q149" s="43">
        <f t="shared" si="5"/>
        <v>68403193.614997417</v>
      </c>
    </row>
    <row r="150" spans="1:17" x14ac:dyDescent="0.35">
      <c r="A150" s="172">
        <v>42030</v>
      </c>
      <c r="B150" t="s">
        <v>23</v>
      </c>
      <c r="C150">
        <v>-4791182.9073999999</v>
      </c>
      <c r="D150">
        <v>233562854.70640004</v>
      </c>
      <c r="E150">
        <v>-1330884.1409455091</v>
      </c>
      <c r="F150">
        <v>64878570.751829691</v>
      </c>
      <c r="I150" s="174">
        <v>42030</v>
      </c>
      <c r="J150" t="s">
        <v>23</v>
      </c>
      <c r="K150">
        <v>-195635</v>
      </c>
      <c r="L150">
        <v>7701824.400000006</v>
      </c>
      <c r="M150">
        <v>-54343.055555555555</v>
      </c>
      <c r="N150">
        <v>2139395.6666666684</v>
      </c>
      <c r="P150" s="43">
        <f t="shared" si="4"/>
        <v>-1385227.1965010646</v>
      </c>
      <c r="Q150" s="43">
        <f t="shared" si="5"/>
        <v>67017966.418496363</v>
      </c>
    </row>
    <row r="151" spans="1:17" x14ac:dyDescent="0.35">
      <c r="A151" s="172">
        <v>42031</v>
      </c>
      <c r="B151" t="s">
        <v>23</v>
      </c>
      <c r="C151">
        <v>-5501151.0696999999</v>
      </c>
      <c r="D151">
        <v>228061703.63670003</v>
      </c>
      <c r="E151">
        <v>-1528097.5193623335</v>
      </c>
      <c r="F151">
        <v>63350473.232467353</v>
      </c>
      <c r="I151" s="174">
        <v>42031</v>
      </c>
      <c r="J151" t="s">
        <v>23</v>
      </c>
      <c r="K151">
        <v>-193220</v>
      </c>
      <c r="L151">
        <v>7508604.400000006</v>
      </c>
      <c r="M151">
        <v>-53672.222222222219</v>
      </c>
      <c r="N151">
        <v>2085723.4444444461</v>
      </c>
      <c r="P151" s="43">
        <f t="shared" si="4"/>
        <v>-1581769.7415845557</v>
      </c>
      <c r="Q151" s="43">
        <f t="shared" si="5"/>
        <v>65436196.676911801</v>
      </c>
    </row>
    <row r="152" spans="1:17" x14ac:dyDescent="0.35">
      <c r="A152" s="172">
        <v>42032</v>
      </c>
      <c r="B152" t="s">
        <v>23</v>
      </c>
      <c r="C152">
        <v>-5610827.5899</v>
      </c>
      <c r="D152">
        <v>222450876.04680005</v>
      </c>
      <c r="E152">
        <v>-1558563.2194179136</v>
      </c>
      <c r="F152">
        <v>61791910.013049446</v>
      </c>
      <c r="I152" s="174">
        <v>42032</v>
      </c>
      <c r="J152" t="s">
        <v>23</v>
      </c>
      <c r="K152">
        <v>-190327</v>
      </c>
      <c r="L152">
        <v>7318277.400000006</v>
      </c>
      <c r="M152">
        <v>-52868.611111111109</v>
      </c>
      <c r="N152">
        <v>2032854.8333333351</v>
      </c>
      <c r="P152" s="43">
        <f t="shared" si="4"/>
        <v>-1611431.8305290246</v>
      </c>
      <c r="Q152" s="43">
        <f t="shared" si="5"/>
        <v>63824764.846382782</v>
      </c>
    </row>
    <row r="153" spans="1:17" x14ac:dyDescent="0.35">
      <c r="A153" s="172">
        <v>42033</v>
      </c>
      <c r="B153" t="s">
        <v>23</v>
      </c>
      <c r="C153">
        <v>-6083040.7000000002</v>
      </c>
      <c r="D153">
        <v>216367835.34680006</v>
      </c>
      <c r="E153">
        <v>-1689733.5277791296</v>
      </c>
      <c r="F153">
        <v>60102176.485270321</v>
      </c>
      <c r="I153" s="174">
        <v>42033</v>
      </c>
      <c r="J153" t="s">
        <v>23</v>
      </c>
      <c r="K153">
        <v>-188016</v>
      </c>
      <c r="L153">
        <v>7130261.400000006</v>
      </c>
      <c r="M153">
        <v>-52226.666666666664</v>
      </c>
      <c r="N153">
        <v>1980628.1666666684</v>
      </c>
      <c r="P153" s="43">
        <f t="shared" si="4"/>
        <v>-1741960.1944457963</v>
      </c>
      <c r="Q153" s="43">
        <f t="shared" si="5"/>
        <v>62082804.651936993</v>
      </c>
    </row>
    <row r="154" spans="1:17" x14ac:dyDescent="0.35">
      <c r="A154" s="172">
        <v>42034</v>
      </c>
      <c r="B154" t="s">
        <v>23</v>
      </c>
      <c r="C154">
        <v>-4800759.5</v>
      </c>
      <c r="D154">
        <v>211567075.84680006</v>
      </c>
      <c r="E154">
        <v>-1333544.3055566223</v>
      </c>
      <c r="F154">
        <v>58768632.179713696</v>
      </c>
      <c r="I154" s="174">
        <v>42034</v>
      </c>
      <c r="J154" t="s">
        <v>23</v>
      </c>
      <c r="K154">
        <v>-185338</v>
      </c>
      <c r="L154">
        <v>6944923.400000006</v>
      </c>
      <c r="M154">
        <v>-51482.777777777774</v>
      </c>
      <c r="N154">
        <v>1929145.3888888906</v>
      </c>
      <c r="P154" s="43">
        <f t="shared" si="4"/>
        <v>-1385027.0833344001</v>
      </c>
      <c r="Q154" s="43">
        <f t="shared" si="5"/>
        <v>60697777.568602584</v>
      </c>
    </row>
    <row r="155" spans="1:17" x14ac:dyDescent="0.35">
      <c r="A155" s="174">
        <v>42035</v>
      </c>
      <c r="B155" t="s">
        <v>23</v>
      </c>
      <c r="C155">
        <v>-3429658.8</v>
      </c>
      <c r="D155">
        <v>208137417.04680005</v>
      </c>
      <c r="E155">
        <v>-952683.00000076205</v>
      </c>
      <c r="F155">
        <v>57815949.179712936</v>
      </c>
      <c r="I155" s="174">
        <v>42035</v>
      </c>
      <c r="J155" t="s">
        <v>23</v>
      </c>
      <c r="K155">
        <v>-179222</v>
      </c>
      <c r="L155">
        <v>6765702.400000006</v>
      </c>
      <c r="M155">
        <v>-49783.888888888891</v>
      </c>
      <c r="N155">
        <v>1879361.7777777794</v>
      </c>
      <c r="P155" s="43">
        <f t="shared" si="4"/>
        <v>-1002466.8888896509</v>
      </c>
      <c r="Q155" s="43">
        <f t="shared" si="5"/>
        <v>59695310.957490712</v>
      </c>
    </row>
    <row r="156" spans="1:17" x14ac:dyDescent="0.35">
      <c r="A156" s="172">
        <v>42036</v>
      </c>
      <c r="B156" t="s">
        <v>23</v>
      </c>
      <c r="C156">
        <v>-3052868.7245</v>
      </c>
      <c r="D156">
        <v>205084548.32230005</v>
      </c>
      <c r="E156">
        <v>-848019.09013956727</v>
      </c>
      <c r="F156">
        <v>56967930.089573368</v>
      </c>
      <c r="I156" s="174">
        <v>42036</v>
      </c>
      <c r="J156" t="s">
        <v>23</v>
      </c>
      <c r="K156">
        <v>-164473</v>
      </c>
      <c r="L156">
        <v>6601229.400000006</v>
      </c>
      <c r="M156">
        <v>-45686.944444444445</v>
      </c>
      <c r="N156">
        <v>1833674.8333333349</v>
      </c>
      <c r="P156" s="43">
        <f t="shared" si="4"/>
        <v>-893706.03458401177</v>
      </c>
      <c r="Q156" s="43">
        <f t="shared" si="5"/>
        <v>58801604.922906704</v>
      </c>
    </row>
    <row r="157" spans="1:17" x14ac:dyDescent="0.35">
      <c r="A157" s="172">
        <v>42037</v>
      </c>
      <c r="B157" t="s">
        <v>23</v>
      </c>
      <c r="C157">
        <v>-4394742.9638</v>
      </c>
      <c r="D157">
        <v>200398000.59999999</v>
      </c>
      <c r="E157">
        <v>-1220761.9343898655</v>
      </c>
      <c r="F157">
        <v>55666111.277822308</v>
      </c>
      <c r="I157" s="174">
        <v>42037</v>
      </c>
      <c r="J157" t="s">
        <v>23</v>
      </c>
      <c r="K157">
        <v>-164002</v>
      </c>
      <c r="L157">
        <v>6437227.400000006</v>
      </c>
      <c r="M157">
        <v>-45556.111111111109</v>
      </c>
      <c r="N157">
        <v>1788118.7222222239</v>
      </c>
      <c r="P157" s="43">
        <f t="shared" si="4"/>
        <v>-1266318.0455009765</v>
      </c>
      <c r="Q157" s="43">
        <f t="shared" si="5"/>
        <v>57454230.000044532</v>
      </c>
    </row>
    <row r="158" spans="1:17" x14ac:dyDescent="0.35">
      <c r="A158" s="172">
        <v>42038</v>
      </c>
      <c r="B158" t="s">
        <v>23</v>
      </c>
      <c r="C158">
        <v>-5269107.8249999993</v>
      </c>
      <c r="D158">
        <v>195128892.77500001</v>
      </c>
      <c r="E158">
        <v>-1463641.0625011707</v>
      </c>
      <c r="F158">
        <v>54202470.215321139</v>
      </c>
      <c r="I158" s="174">
        <v>42038</v>
      </c>
      <c r="J158" t="s">
        <v>23</v>
      </c>
      <c r="K158">
        <v>-149197</v>
      </c>
      <c r="L158">
        <v>6288030.400000006</v>
      </c>
      <c r="M158">
        <v>-41443.611111111109</v>
      </c>
      <c r="N158">
        <v>1746675.1111111129</v>
      </c>
      <c r="P158" s="43">
        <f t="shared" si="4"/>
        <v>-1505084.6736122817</v>
      </c>
      <c r="Q158" s="43">
        <f t="shared" si="5"/>
        <v>55949145.32643225</v>
      </c>
    </row>
    <row r="159" spans="1:17" x14ac:dyDescent="0.35">
      <c r="A159" s="172">
        <v>42039</v>
      </c>
      <c r="B159" t="s">
        <v>23</v>
      </c>
      <c r="C159">
        <v>-4777664.2422000002</v>
      </c>
      <c r="D159">
        <v>190351228.53280002</v>
      </c>
      <c r="E159">
        <v>-1327128.9561677284</v>
      </c>
      <c r="F159">
        <v>52875341.259153418</v>
      </c>
      <c r="I159" s="174">
        <v>42039</v>
      </c>
      <c r="J159" t="s">
        <v>23</v>
      </c>
      <c r="K159">
        <v>-153789</v>
      </c>
      <c r="L159">
        <v>6134241.400000006</v>
      </c>
      <c r="M159">
        <v>-42719.166666666664</v>
      </c>
      <c r="N159">
        <v>1703955.9444444461</v>
      </c>
      <c r="P159" s="43">
        <f t="shared" si="4"/>
        <v>-1369848.1228343952</v>
      </c>
      <c r="Q159" s="43">
        <f t="shared" si="5"/>
        <v>54579297.203597866</v>
      </c>
    </row>
    <row r="160" spans="1:17" x14ac:dyDescent="0.35">
      <c r="A160" s="172">
        <v>42040</v>
      </c>
      <c r="B160" t="s">
        <v>23</v>
      </c>
      <c r="C160">
        <v>-5159535.7</v>
      </c>
      <c r="D160">
        <v>185191692.83280003</v>
      </c>
      <c r="E160">
        <v>-1433204.3611122577</v>
      </c>
      <c r="F160">
        <v>51442136.898041159</v>
      </c>
      <c r="I160" s="174">
        <v>42040</v>
      </c>
      <c r="J160" t="s">
        <v>23</v>
      </c>
      <c r="K160">
        <v>-149706</v>
      </c>
      <c r="L160">
        <v>5984535.400000006</v>
      </c>
      <c r="M160">
        <v>-41585</v>
      </c>
      <c r="N160">
        <v>1662370.9444444461</v>
      </c>
      <c r="P160" s="43">
        <f t="shared" si="4"/>
        <v>-1474789.3611122577</v>
      </c>
      <c r="Q160" s="43">
        <f t="shared" si="5"/>
        <v>53104507.842485607</v>
      </c>
    </row>
    <row r="161" spans="1:17" x14ac:dyDescent="0.35">
      <c r="A161" s="172">
        <v>42041</v>
      </c>
      <c r="B161" t="s">
        <v>23</v>
      </c>
      <c r="C161">
        <v>-4016108.3</v>
      </c>
      <c r="D161">
        <v>181175584.53280002</v>
      </c>
      <c r="E161">
        <v>-1115585.6388897812</v>
      </c>
      <c r="F161">
        <v>50326551.259151377</v>
      </c>
      <c r="I161" s="174">
        <v>42041</v>
      </c>
      <c r="J161" t="s">
        <v>23</v>
      </c>
      <c r="K161">
        <v>-149752</v>
      </c>
      <c r="L161">
        <v>5834783.400000006</v>
      </c>
      <c r="M161">
        <v>-41597.777777777774</v>
      </c>
      <c r="N161">
        <v>1620773.1666666684</v>
      </c>
      <c r="P161" s="43">
        <f t="shared" si="4"/>
        <v>-1157183.416667559</v>
      </c>
      <c r="Q161" s="43">
        <f t="shared" si="5"/>
        <v>51947324.425818048</v>
      </c>
    </row>
    <row r="162" spans="1:17" x14ac:dyDescent="0.35">
      <c r="A162" s="172">
        <v>42042</v>
      </c>
      <c r="B162" t="s">
        <v>23</v>
      </c>
      <c r="C162">
        <v>-4176367</v>
      </c>
      <c r="D162">
        <v>176999217.53280002</v>
      </c>
      <c r="E162">
        <v>-1160101.9444453726</v>
      </c>
      <c r="F162">
        <v>49166449.314706005</v>
      </c>
      <c r="I162" s="174">
        <v>42042</v>
      </c>
      <c r="J162" t="s">
        <v>23</v>
      </c>
      <c r="K162">
        <v>-149270</v>
      </c>
      <c r="L162">
        <v>5685513.400000006</v>
      </c>
      <c r="M162">
        <v>-41463.888888888891</v>
      </c>
      <c r="N162">
        <v>1579309.2777777794</v>
      </c>
      <c r="P162" s="43">
        <f t="shared" si="4"/>
        <v>-1201565.8333342616</v>
      </c>
      <c r="Q162" s="43">
        <f t="shared" si="5"/>
        <v>50745758.592483781</v>
      </c>
    </row>
    <row r="163" spans="1:17" x14ac:dyDescent="0.35">
      <c r="A163" s="172">
        <v>42043</v>
      </c>
      <c r="B163" t="s">
        <v>23</v>
      </c>
      <c r="C163">
        <v>-3834960.1896000002</v>
      </c>
      <c r="D163">
        <v>173164257.34320003</v>
      </c>
      <c r="E163">
        <v>-1065266.7193341856</v>
      </c>
      <c r="F163">
        <v>48101182.59537182</v>
      </c>
      <c r="I163" s="174">
        <v>42043</v>
      </c>
      <c r="J163" t="s">
        <v>23</v>
      </c>
      <c r="K163">
        <v>-149401</v>
      </c>
      <c r="L163">
        <v>5536112.400000006</v>
      </c>
      <c r="M163">
        <v>-41500.277777777774</v>
      </c>
      <c r="N163">
        <v>1537809.0000000016</v>
      </c>
      <c r="P163" s="43">
        <f t="shared" si="4"/>
        <v>-1106766.9971119633</v>
      </c>
      <c r="Q163" s="43">
        <f t="shared" si="5"/>
        <v>49638991.59537182</v>
      </c>
    </row>
    <row r="164" spans="1:17" x14ac:dyDescent="0.35">
      <c r="A164" s="172">
        <v>42044</v>
      </c>
      <c r="B164" t="s">
        <v>23</v>
      </c>
      <c r="C164">
        <v>-4408973.6738999998</v>
      </c>
      <c r="D164">
        <v>168755283.66930002</v>
      </c>
      <c r="E164">
        <v>-1224714.9094176465</v>
      </c>
      <c r="F164">
        <v>46876467.685954176</v>
      </c>
      <c r="I164" s="174">
        <v>42044</v>
      </c>
      <c r="J164" t="s">
        <v>23</v>
      </c>
      <c r="K164">
        <v>-147022</v>
      </c>
      <c r="L164">
        <v>5389090.400000006</v>
      </c>
      <c r="M164">
        <v>-40839.444444444445</v>
      </c>
      <c r="N164">
        <v>1496969.5555555571</v>
      </c>
      <c r="P164" s="43">
        <f t="shared" si="4"/>
        <v>-1265554.353862091</v>
      </c>
      <c r="Q164" s="43">
        <f t="shared" si="5"/>
        <v>48373437.241509736</v>
      </c>
    </row>
    <row r="165" spans="1:17" x14ac:dyDescent="0.35">
      <c r="A165" s="172">
        <v>42045</v>
      </c>
      <c r="B165" t="s">
        <v>23</v>
      </c>
      <c r="C165">
        <v>-4091160.9410000001</v>
      </c>
      <c r="D165">
        <v>164664122.72830001</v>
      </c>
      <c r="E165">
        <v>-1136433.5947231315</v>
      </c>
      <c r="F165">
        <v>45740034.091231041</v>
      </c>
      <c r="I165" s="174">
        <v>42045</v>
      </c>
      <c r="J165" t="s">
        <v>23</v>
      </c>
      <c r="K165">
        <v>-148912</v>
      </c>
      <c r="L165">
        <v>5240178.400000006</v>
      </c>
      <c r="M165">
        <v>-41364.444444444445</v>
      </c>
      <c r="N165">
        <v>1455605.1111111126</v>
      </c>
      <c r="P165" s="43">
        <f t="shared" si="4"/>
        <v>-1177798.039167576</v>
      </c>
      <c r="Q165" s="43">
        <f t="shared" si="5"/>
        <v>47195639.202342153</v>
      </c>
    </row>
    <row r="166" spans="1:17" x14ac:dyDescent="0.35">
      <c r="A166" s="172">
        <v>42046</v>
      </c>
      <c r="B166" t="s">
        <v>23</v>
      </c>
      <c r="C166">
        <v>-4139879.2612000001</v>
      </c>
      <c r="D166">
        <v>160524243.46709999</v>
      </c>
      <c r="E166">
        <v>-1149966.4614453644</v>
      </c>
      <c r="F166">
        <v>44590067.629785672</v>
      </c>
      <c r="I166" s="174">
        <v>42046</v>
      </c>
      <c r="J166" t="s">
        <v>23</v>
      </c>
      <c r="K166">
        <v>-149676</v>
      </c>
      <c r="L166">
        <v>5090502.400000006</v>
      </c>
      <c r="M166">
        <v>-41576.666666666664</v>
      </c>
      <c r="N166">
        <v>1414028.4444444459</v>
      </c>
      <c r="P166" s="43">
        <f t="shared" si="4"/>
        <v>-1191543.1281120311</v>
      </c>
      <c r="Q166" s="43">
        <f t="shared" si="5"/>
        <v>46004096.07423012</v>
      </c>
    </row>
    <row r="167" spans="1:17" x14ac:dyDescent="0.35">
      <c r="A167" s="172">
        <v>42047</v>
      </c>
      <c r="B167" t="s">
        <v>23</v>
      </c>
      <c r="C167">
        <v>-4542509.5999999996</v>
      </c>
      <c r="D167">
        <v>155981733.8671</v>
      </c>
      <c r="E167">
        <v>-1261808.2222232316</v>
      </c>
      <c r="F167">
        <v>43328259.407562442</v>
      </c>
      <c r="I167" s="174">
        <v>42047</v>
      </c>
      <c r="J167" t="s">
        <v>23</v>
      </c>
      <c r="K167">
        <v>-149707</v>
      </c>
      <c r="L167">
        <v>4940795.400000006</v>
      </c>
      <c r="M167">
        <v>-41585.277777777774</v>
      </c>
      <c r="N167">
        <v>1372443.1666666681</v>
      </c>
      <c r="P167" s="43">
        <f t="shared" si="4"/>
        <v>-1303393.5000010093</v>
      </c>
      <c r="Q167" s="43">
        <f t="shared" si="5"/>
        <v>44700702.574229114</v>
      </c>
    </row>
    <row r="168" spans="1:17" x14ac:dyDescent="0.35">
      <c r="A168" s="172">
        <v>42048</v>
      </c>
      <c r="B168" t="s">
        <v>23</v>
      </c>
      <c r="C168">
        <v>-4561896.5</v>
      </c>
      <c r="D168">
        <v>151419837.3671</v>
      </c>
      <c r="E168">
        <v>-1267193.472223236</v>
      </c>
      <c r="F168">
        <v>42061065.935339205</v>
      </c>
      <c r="I168" s="174">
        <v>42048</v>
      </c>
      <c r="J168" t="s">
        <v>23</v>
      </c>
      <c r="K168">
        <v>-148734</v>
      </c>
      <c r="L168">
        <v>4792061.400000006</v>
      </c>
      <c r="M168">
        <v>-41315</v>
      </c>
      <c r="N168">
        <v>1331128.1666666681</v>
      </c>
      <c r="P168" s="43">
        <f t="shared" si="4"/>
        <v>-1308508.472223236</v>
      </c>
      <c r="Q168" s="43">
        <f t="shared" si="5"/>
        <v>43392194.102005877</v>
      </c>
    </row>
    <row r="169" spans="1:17" x14ac:dyDescent="0.35">
      <c r="A169" s="172">
        <v>42049</v>
      </c>
      <c r="B169" t="s">
        <v>23</v>
      </c>
      <c r="C169">
        <v>-3523174.6</v>
      </c>
      <c r="D169">
        <v>147896662.76710001</v>
      </c>
      <c r="E169">
        <v>-978659.61111189402</v>
      </c>
      <c r="F169">
        <v>41082406.324227311</v>
      </c>
      <c r="I169" s="174">
        <v>42049</v>
      </c>
      <c r="J169" t="s">
        <v>23</v>
      </c>
      <c r="K169">
        <v>-148348</v>
      </c>
      <c r="L169">
        <v>4643713.400000006</v>
      </c>
      <c r="M169">
        <v>-41207.777777777774</v>
      </c>
      <c r="N169">
        <v>1289920.3888888904</v>
      </c>
      <c r="P169" s="43">
        <f t="shared" si="4"/>
        <v>-1019867.3888896718</v>
      </c>
      <c r="Q169" s="43">
        <f t="shared" si="5"/>
        <v>42372326.713116199</v>
      </c>
    </row>
    <row r="170" spans="1:17" x14ac:dyDescent="0.35">
      <c r="A170" s="172">
        <v>42050</v>
      </c>
      <c r="B170" t="s">
        <v>23</v>
      </c>
      <c r="C170">
        <v>-3128184.5048000002</v>
      </c>
      <c r="D170">
        <v>144768478.26230001</v>
      </c>
      <c r="E170">
        <v>-868940.14022291743</v>
      </c>
      <c r="F170">
        <v>40213466.184004396</v>
      </c>
      <c r="I170" s="174">
        <v>42050</v>
      </c>
      <c r="J170" t="s">
        <v>23</v>
      </c>
      <c r="K170">
        <v>-148274</v>
      </c>
      <c r="L170">
        <v>4495439.400000006</v>
      </c>
      <c r="M170">
        <v>-41187.222222222219</v>
      </c>
      <c r="N170">
        <v>1248733.1666666681</v>
      </c>
      <c r="P170" s="43">
        <f t="shared" si="4"/>
        <v>-910127.36244513968</v>
      </c>
      <c r="Q170" s="43">
        <f t="shared" si="5"/>
        <v>41462199.350671068</v>
      </c>
    </row>
    <row r="171" spans="1:17" x14ac:dyDescent="0.35">
      <c r="A171" s="172">
        <v>42051</v>
      </c>
      <c r="B171" t="s">
        <v>23</v>
      </c>
      <c r="C171">
        <v>-3960937.4287999999</v>
      </c>
      <c r="D171">
        <v>140807540.83350003</v>
      </c>
      <c r="E171">
        <v>-1100260.396889769</v>
      </c>
      <c r="F171">
        <v>39113205.787114635</v>
      </c>
      <c r="I171" s="174">
        <v>42051</v>
      </c>
      <c r="J171" t="s">
        <v>23</v>
      </c>
      <c r="K171">
        <v>-148573</v>
      </c>
      <c r="L171">
        <v>4346866.400000006</v>
      </c>
      <c r="M171">
        <v>-41270.277777777774</v>
      </c>
      <c r="N171">
        <v>1207462.8888888904</v>
      </c>
      <c r="P171" s="43">
        <f t="shared" si="4"/>
        <v>-1141530.6746675468</v>
      </c>
      <c r="Q171" s="43">
        <f t="shared" si="5"/>
        <v>40320668.676003523</v>
      </c>
    </row>
    <row r="172" spans="1:17" x14ac:dyDescent="0.35">
      <c r="A172" s="172">
        <v>42052</v>
      </c>
      <c r="B172" t="s">
        <v>23</v>
      </c>
      <c r="C172">
        <v>-3207654.6269</v>
      </c>
      <c r="D172">
        <v>137599886.20660004</v>
      </c>
      <c r="E172">
        <v>-891015.17413960176</v>
      </c>
      <c r="F172">
        <v>38222190.612975031</v>
      </c>
      <c r="I172" s="174">
        <v>42052</v>
      </c>
      <c r="J172" t="s">
        <v>23</v>
      </c>
      <c r="K172">
        <v>-148994.5</v>
      </c>
      <c r="L172">
        <v>4197871.900000006</v>
      </c>
      <c r="M172">
        <v>-41387.361111111109</v>
      </c>
      <c r="N172">
        <v>1166075.5277777794</v>
      </c>
      <c r="P172" s="43">
        <f t="shared" si="4"/>
        <v>-932402.53525071288</v>
      </c>
      <c r="Q172" s="43">
        <f t="shared" si="5"/>
        <v>39388266.140752807</v>
      </c>
    </row>
    <row r="173" spans="1:17" x14ac:dyDescent="0.35">
      <c r="A173" s="172">
        <v>42053</v>
      </c>
      <c r="B173" t="s">
        <v>23</v>
      </c>
      <c r="C173">
        <v>-3888118.6796999997</v>
      </c>
      <c r="D173">
        <v>133711767.52690004</v>
      </c>
      <c r="E173">
        <v>-1080032.9665841972</v>
      </c>
      <c r="F173">
        <v>37142157.646390833</v>
      </c>
      <c r="I173" s="174">
        <v>42053</v>
      </c>
      <c r="J173" t="s">
        <v>23</v>
      </c>
      <c r="K173">
        <v>-147020.6</v>
      </c>
      <c r="L173">
        <v>4050851.3000000059</v>
      </c>
      <c r="M173">
        <v>-40839.055555555555</v>
      </c>
      <c r="N173">
        <v>1125236.4722222239</v>
      </c>
      <c r="P173" s="43">
        <f t="shared" si="4"/>
        <v>-1120872.0221397527</v>
      </c>
      <c r="Q173" s="43">
        <f t="shared" si="5"/>
        <v>38267394.118613057</v>
      </c>
    </row>
    <row r="174" spans="1:17" x14ac:dyDescent="0.35">
      <c r="A174" s="172">
        <v>42054</v>
      </c>
      <c r="B174" t="s">
        <v>23</v>
      </c>
      <c r="C174">
        <v>-4023422.8</v>
      </c>
      <c r="D174">
        <v>129688344.72690004</v>
      </c>
      <c r="E174">
        <v>-1117617.4444453386</v>
      </c>
      <c r="F174">
        <v>36024540.201945499</v>
      </c>
      <c r="I174" s="174">
        <v>42054</v>
      </c>
      <c r="J174" t="s">
        <v>23</v>
      </c>
      <c r="K174">
        <v>-149032.6</v>
      </c>
      <c r="L174">
        <v>3901818.7000000058</v>
      </c>
      <c r="M174">
        <v>-41397.944444444445</v>
      </c>
      <c r="N174">
        <v>1083838.5277777794</v>
      </c>
      <c r="P174" s="43">
        <f t="shared" si="4"/>
        <v>-1159015.3888897831</v>
      </c>
      <c r="Q174" s="43">
        <f t="shared" si="5"/>
        <v>37108378.729723275</v>
      </c>
    </row>
    <row r="175" spans="1:17" x14ac:dyDescent="0.35">
      <c r="A175" s="172">
        <v>42055</v>
      </c>
      <c r="B175" t="s">
        <v>23</v>
      </c>
      <c r="C175">
        <v>-4078964</v>
      </c>
      <c r="D175">
        <v>125609380.72690004</v>
      </c>
      <c r="E175">
        <v>-1133045.5555564619</v>
      </c>
      <c r="F175">
        <v>34891494.646389037</v>
      </c>
      <c r="I175" s="174">
        <v>42055</v>
      </c>
      <c r="J175" t="s">
        <v>23</v>
      </c>
      <c r="K175">
        <v>-148911.5</v>
      </c>
      <c r="L175">
        <v>3752907.2000000058</v>
      </c>
      <c r="M175">
        <v>-41364.305555555555</v>
      </c>
      <c r="N175">
        <v>1042474.2222222239</v>
      </c>
      <c r="P175" s="43">
        <f t="shared" si="4"/>
        <v>-1174409.8611120174</v>
      </c>
      <c r="Q175" s="43">
        <f t="shared" si="5"/>
        <v>35933968.868611261</v>
      </c>
    </row>
    <row r="176" spans="1:17" x14ac:dyDescent="0.35">
      <c r="A176" s="172">
        <v>42056</v>
      </c>
      <c r="B176" t="s">
        <v>23</v>
      </c>
      <c r="C176">
        <v>-3834341.2</v>
      </c>
      <c r="D176">
        <v>121775039.52690004</v>
      </c>
      <c r="E176">
        <v>-1065094.7777786299</v>
      </c>
      <c r="F176">
        <v>33826399.868610404</v>
      </c>
      <c r="I176" s="174">
        <v>42056</v>
      </c>
      <c r="J176" t="s">
        <v>23</v>
      </c>
      <c r="K176">
        <v>-147421.5</v>
      </c>
      <c r="L176">
        <v>3605485.7000000058</v>
      </c>
      <c r="M176">
        <v>-40950.416666666664</v>
      </c>
      <c r="N176">
        <v>1001523.8055555573</v>
      </c>
      <c r="P176" s="43">
        <f t="shared" si="4"/>
        <v>-1106045.1944452967</v>
      </c>
      <c r="Q176" s="43">
        <f t="shared" si="5"/>
        <v>34827923.674165964</v>
      </c>
    </row>
    <row r="177" spans="1:17" x14ac:dyDescent="0.35">
      <c r="A177" s="172">
        <v>42057</v>
      </c>
      <c r="B177" t="s">
        <v>23</v>
      </c>
      <c r="C177">
        <v>-3170902.6464</v>
      </c>
      <c r="D177">
        <v>118604136.88050003</v>
      </c>
      <c r="E177">
        <v>-880806.29066737136</v>
      </c>
      <c r="F177">
        <v>32945593.577943031</v>
      </c>
      <c r="I177" s="174">
        <v>42057</v>
      </c>
      <c r="J177" t="s">
        <v>23</v>
      </c>
      <c r="K177">
        <v>-144654.39999999999</v>
      </c>
      <c r="L177">
        <v>3460831.3000000059</v>
      </c>
      <c r="M177">
        <v>-40181.777777777774</v>
      </c>
      <c r="N177">
        <v>961342.0277777795</v>
      </c>
      <c r="P177" s="43">
        <f t="shared" si="4"/>
        <v>-920988.06844514911</v>
      </c>
      <c r="Q177" s="43">
        <f t="shared" si="5"/>
        <v>33906935.605720811</v>
      </c>
    </row>
    <row r="178" spans="1:17" x14ac:dyDescent="0.35">
      <c r="A178" s="172">
        <v>42058</v>
      </c>
      <c r="B178" t="s">
        <v>23</v>
      </c>
      <c r="C178">
        <v>-3335962.2129000002</v>
      </c>
      <c r="D178">
        <v>115268174.66760004</v>
      </c>
      <c r="E178">
        <v>-926656.17025074142</v>
      </c>
      <c r="F178">
        <v>32018937.407692291</v>
      </c>
      <c r="I178" s="174">
        <v>42058</v>
      </c>
      <c r="J178" t="s">
        <v>23</v>
      </c>
      <c r="K178">
        <v>-148937.1</v>
      </c>
      <c r="L178">
        <v>3311894.2000000058</v>
      </c>
      <c r="M178">
        <v>-41371.416666666664</v>
      </c>
      <c r="N178">
        <v>919970.61111111287</v>
      </c>
      <c r="P178" s="43">
        <f t="shared" si="4"/>
        <v>-968027.58691740804</v>
      </c>
      <c r="Q178" s="43">
        <f t="shared" si="5"/>
        <v>32938908.018803403</v>
      </c>
    </row>
    <row r="179" spans="1:17" x14ac:dyDescent="0.35">
      <c r="A179" s="172">
        <v>42059</v>
      </c>
      <c r="B179" t="s">
        <v>23</v>
      </c>
      <c r="C179">
        <v>-4000885.0759000001</v>
      </c>
      <c r="D179">
        <v>111267289.59170003</v>
      </c>
      <c r="E179">
        <v>-1111356.965528667</v>
      </c>
      <c r="F179">
        <v>30907580.442163624</v>
      </c>
      <c r="I179" s="174">
        <v>42059</v>
      </c>
      <c r="J179" t="s">
        <v>23</v>
      </c>
      <c r="K179">
        <v>-149299</v>
      </c>
      <c r="L179">
        <v>3162595.2000000058</v>
      </c>
      <c r="M179">
        <v>-41471.944444444445</v>
      </c>
      <c r="N179">
        <v>878498.66666666837</v>
      </c>
      <c r="P179" s="43">
        <f t="shared" si="4"/>
        <v>-1152828.9099731115</v>
      </c>
      <c r="Q179" s="43">
        <f t="shared" si="5"/>
        <v>31786079.108830292</v>
      </c>
    </row>
    <row r="180" spans="1:17" x14ac:dyDescent="0.35">
      <c r="A180" s="172">
        <v>42060</v>
      </c>
      <c r="B180" t="s">
        <v>23</v>
      </c>
      <c r="C180">
        <v>-3342075.6838000002</v>
      </c>
      <c r="D180">
        <v>107925213.90790004</v>
      </c>
      <c r="E180">
        <v>-928354.35661185381</v>
      </c>
      <c r="F180">
        <v>29979226.085551772</v>
      </c>
      <c r="I180" s="174">
        <v>42060</v>
      </c>
      <c r="J180" t="s">
        <v>23</v>
      </c>
      <c r="K180">
        <v>-147949.29999999999</v>
      </c>
      <c r="L180">
        <v>3014645.900000006</v>
      </c>
      <c r="M180">
        <v>-41097.027777777774</v>
      </c>
      <c r="N180">
        <v>837401.63888889062</v>
      </c>
      <c r="P180" s="43">
        <f t="shared" si="4"/>
        <v>-969451.38438963157</v>
      </c>
      <c r="Q180" s="43">
        <f t="shared" si="5"/>
        <v>30816627.724440664</v>
      </c>
    </row>
    <row r="181" spans="1:17" x14ac:dyDescent="0.35">
      <c r="A181" s="172">
        <v>42061</v>
      </c>
      <c r="B181" t="s">
        <v>23</v>
      </c>
      <c r="C181">
        <v>-3293817.7</v>
      </c>
      <c r="D181">
        <v>104631396.20790003</v>
      </c>
      <c r="E181">
        <v>-914949.36111184314</v>
      </c>
      <c r="F181">
        <v>29064276.724439926</v>
      </c>
      <c r="I181" s="174">
        <v>42061</v>
      </c>
      <c r="J181" t="s">
        <v>23</v>
      </c>
      <c r="K181">
        <v>-149059.79999999999</v>
      </c>
      <c r="L181">
        <v>2865586.1000000061</v>
      </c>
      <c r="M181">
        <v>-41405.499999999993</v>
      </c>
      <c r="N181">
        <v>795996.13888889062</v>
      </c>
      <c r="P181" s="43">
        <f t="shared" si="4"/>
        <v>-956354.86111184314</v>
      </c>
      <c r="Q181" s="43">
        <f t="shared" si="5"/>
        <v>29860272.863328818</v>
      </c>
    </row>
    <row r="182" spans="1:17" x14ac:dyDescent="0.35">
      <c r="A182" s="172">
        <v>42062</v>
      </c>
      <c r="B182" t="s">
        <v>23</v>
      </c>
      <c r="C182">
        <v>-3076395.6</v>
      </c>
      <c r="D182">
        <v>101555000.60790004</v>
      </c>
      <c r="E182">
        <v>-854554.33333401696</v>
      </c>
      <c r="F182">
        <v>28209722.391105913</v>
      </c>
      <c r="I182" s="174">
        <v>42062</v>
      </c>
      <c r="J182" t="s">
        <v>23</v>
      </c>
      <c r="K182">
        <v>-147561.9</v>
      </c>
      <c r="L182">
        <v>2718024.2000000062</v>
      </c>
      <c r="M182">
        <v>-40989.416666666664</v>
      </c>
      <c r="N182">
        <v>755006.72222222399</v>
      </c>
      <c r="P182" s="43">
        <f t="shared" si="4"/>
        <v>-895543.75000068359</v>
      </c>
      <c r="Q182" s="43">
        <f t="shared" si="5"/>
        <v>28964729.113328137</v>
      </c>
    </row>
    <row r="183" spans="1:17" x14ac:dyDescent="0.35">
      <c r="A183" s="174">
        <v>42063</v>
      </c>
      <c r="B183" t="s">
        <v>23</v>
      </c>
      <c r="C183">
        <v>-2826330.7</v>
      </c>
      <c r="D183">
        <v>98728669.907900035</v>
      </c>
      <c r="E183">
        <v>-785091.86111173918</v>
      </c>
      <c r="F183">
        <v>27424630.529994171</v>
      </c>
      <c r="I183" s="174">
        <v>42063</v>
      </c>
      <c r="J183" t="s">
        <v>23</v>
      </c>
      <c r="K183">
        <v>-122831</v>
      </c>
      <c r="L183">
        <v>2574122.5000000154</v>
      </c>
      <c r="M183">
        <v>-34119.722222222219</v>
      </c>
      <c r="N183">
        <v>715034.02777778206</v>
      </c>
      <c r="P183" s="43">
        <f t="shared" si="4"/>
        <v>-819211.58333396143</v>
      </c>
      <c r="Q183" s="43">
        <f t="shared" si="5"/>
        <v>28139664.557771955</v>
      </c>
    </row>
    <row r="184" spans="1:17" x14ac:dyDescent="0.35">
      <c r="A184" s="172">
        <v>42064</v>
      </c>
      <c r="B184" t="s">
        <v>23</v>
      </c>
      <c r="C184">
        <v>-1969512.5899</v>
      </c>
      <c r="D184">
        <v>96759157.318000033</v>
      </c>
      <c r="E184">
        <v>-547086.83052821551</v>
      </c>
      <c r="F184">
        <v>26877543.699465957</v>
      </c>
      <c r="I184" s="174">
        <v>42064</v>
      </c>
      <c r="J184" t="s">
        <v>23</v>
      </c>
      <c r="K184">
        <v>-130831.3</v>
      </c>
      <c r="L184">
        <v>2443291.2000000156</v>
      </c>
      <c r="M184">
        <v>-36342.027777777781</v>
      </c>
      <c r="N184">
        <v>678692.00000000431</v>
      </c>
      <c r="P184" s="43">
        <f t="shared" si="4"/>
        <v>-583428.85830599326</v>
      </c>
      <c r="Q184" s="43">
        <f t="shared" si="5"/>
        <v>27556235.69946596</v>
      </c>
    </row>
    <row r="185" spans="1:17" x14ac:dyDescent="0.35">
      <c r="A185" s="172">
        <v>42065</v>
      </c>
      <c r="B185" t="s">
        <v>23</v>
      </c>
      <c r="C185">
        <v>-2405926.1468999996</v>
      </c>
      <c r="D185">
        <v>94353231.171100035</v>
      </c>
      <c r="E185">
        <v>-668312.81858386786</v>
      </c>
      <c r="F185">
        <v>26209230.880882088</v>
      </c>
      <c r="I185" s="174">
        <v>42065</v>
      </c>
      <c r="J185" t="s">
        <v>23</v>
      </c>
      <c r="K185">
        <v>-131800.79999999999</v>
      </c>
      <c r="L185">
        <v>2311490.4000000157</v>
      </c>
      <c r="M185">
        <v>-36611.333333333328</v>
      </c>
      <c r="N185">
        <v>642080.66666667094</v>
      </c>
      <c r="P185" s="43">
        <f t="shared" si="4"/>
        <v>-704924.15191720123</v>
      </c>
      <c r="Q185" s="43">
        <f t="shared" si="5"/>
        <v>26851311.54754876</v>
      </c>
    </row>
    <row r="186" spans="1:17" x14ac:dyDescent="0.35">
      <c r="A186" s="172">
        <v>42066</v>
      </c>
      <c r="B186" t="s">
        <v>23</v>
      </c>
      <c r="C186">
        <v>-1959997.2444</v>
      </c>
      <c r="D186">
        <v>92393233.926700041</v>
      </c>
      <c r="E186">
        <v>-544443.67900043551</v>
      </c>
      <c r="F186">
        <v>25664787.201881655</v>
      </c>
      <c r="I186" s="174">
        <v>42066</v>
      </c>
      <c r="J186" t="s">
        <v>23</v>
      </c>
      <c r="K186">
        <v>-131615.6</v>
      </c>
      <c r="L186">
        <v>2179874.8000000156</v>
      </c>
      <c r="M186">
        <v>-36559.888888888891</v>
      </c>
      <c r="N186">
        <v>605520.77777778206</v>
      </c>
      <c r="P186" s="43">
        <f t="shared" si="4"/>
        <v>-581003.56788932439</v>
      </c>
      <c r="Q186" s="43">
        <f t="shared" si="5"/>
        <v>26270307.979659438</v>
      </c>
    </row>
    <row r="187" spans="1:17" x14ac:dyDescent="0.35">
      <c r="A187" s="172">
        <v>42067</v>
      </c>
      <c r="B187" t="s">
        <v>23</v>
      </c>
      <c r="C187">
        <v>-2548682.1756000002</v>
      </c>
      <c r="D187">
        <v>89844551.751100034</v>
      </c>
      <c r="E187">
        <v>-707967.27100056643</v>
      </c>
      <c r="F187">
        <v>24956819.930881087</v>
      </c>
      <c r="I187" s="174">
        <v>42067</v>
      </c>
      <c r="J187" t="s">
        <v>23</v>
      </c>
      <c r="K187">
        <v>-124277.9</v>
      </c>
      <c r="L187">
        <v>2055596.9000000157</v>
      </c>
      <c r="M187">
        <v>-34521.638888888883</v>
      </c>
      <c r="N187">
        <v>570999.13888889318</v>
      </c>
      <c r="P187" s="43">
        <f t="shared" si="4"/>
        <v>-742488.9098894553</v>
      </c>
      <c r="Q187" s="43">
        <f t="shared" si="5"/>
        <v>25527819.069769979</v>
      </c>
    </row>
    <row r="188" spans="1:17" x14ac:dyDescent="0.35">
      <c r="A188" s="172">
        <v>42068</v>
      </c>
      <c r="B188" t="s">
        <v>23</v>
      </c>
      <c r="C188">
        <v>-2992076.9</v>
      </c>
      <c r="D188">
        <v>86852474.851100028</v>
      </c>
      <c r="E188">
        <v>-831132.4722228871</v>
      </c>
      <c r="F188">
        <v>24125687.458658196</v>
      </c>
      <c r="I188" s="174">
        <v>42068</v>
      </c>
      <c r="J188" t="s">
        <v>23</v>
      </c>
      <c r="K188">
        <v>-124405.4</v>
      </c>
      <c r="L188">
        <v>1931191.5000000158</v>
      </c>
      <c r="M188">
        <v>-34557.055555555555</v>
      </c>
      <c r="N188">
        <v>536442.08333333768</v>
      </c>
      <c r="P188" s="43">
        <f t="shared" si="4"/>
        <v>-865689.5277784426</v>
      </c>
      <c r="Q188" s="43">
        <f t="shared" si="5"/>
        <v>24662129.541991532</v>
      </c>
    </row>
    <row r="189" spans="1:17" x14ac:dyDescent="0.35">
      <c r="A189" s="172">
        <v>42069</v>
      </c>
      <c r="B189" t="s">
        <v>23</v>
      </c>
      <c r="C189">
        <v>-2298069.9</v>
      </c>
      <c r="D189">
        <v>84554404.951100022</v>
      </c>
      <c r="E189">
        <v>-638352.75000051071</v>
      </c>
      <c r="F189">
        <v>23487334.708657686</v>
      </c>
      <c r="I189" s="174">
        <v>42069</v>
      </c>
      <c r="J189" t="s">
        <v>23</v>
      </c>
      <c r="K189">
        <v>-124247.9</v>
      </c>
      <c r="L189">
        <v>1806943.6000000159</v>
      </c>
      <c r="M189">
        <v>-34513.305555555555</v>
      </c>
      <c r="N189">
        <v>501928.77777778212</v>
      </c>
      <c r="P189" s="43">
        <f t="shared" si="4"/>
        <v>-672866.05555606622</v>
      </c>
      <c r="Q189" s="43">
        <f t="shared" si="5"/>
        <v>23989263.486435469</v>
      </c>
    </row>
    <row r="190" spans="1:17" x14ac:dyDescent="0.35">
      <c r="A190" s="172">
        <v>42070</v>
      </c>
      <c r="B190" t="s">
        <v>23</v>
      </c>
      <c r="C190">
        <v>-2284500.2000000002</v>
      </c>
      <c r="D190">
        <v>82269904.751100019</v>
      </c>
      <c r="E190">
        <v>-634583.38888939656</v>
      </c>
      <c r="F190">
        <v>22852751.319768287</v>
      </c>
      <c r="I190" s="174">
        <v>42070</v>
      </c>
      <c r="J190" t="s">
        <v>23</v>
      </c>
      <c r="K190">
        <v>-122177.3</v>
      </c>
      <c r="L190">
        <v>1684766.3000000159</v>
      </c>
      <c r="M190">
        <v>-33938.138888888891</v>
      </c>
      <c r="N190">
        <v>467990.63888889324</v>
      </c>
      <c r="P190" s="43">
        <f t="shared" si="4"/>
        <v>-668521.52777828544</v>
      </c>
      <c r="Q190" s="43">
        <f t="shared" si="5"/>
        <v>23320741.958657179</v>
      </c>
    </row>
    <row r="191" spans="1:17" x14ac:dyDescent="0.35">
      <c r="A191" s="172">
        <v>42071</v>
      </c>
      <c r="B191" t="s">
        <v>23</v>
      </c>
      <c r="C191">
        <v>-2090508.1864</v>
      </c>
      <c r="D191">
        <v>80179396.564700022</v>
      </c>
      <c r="E191">
        <v>-580696.71844490897</v>
      </c>
      <c r="F191">
        <v>22272054.601323381</v>
      </c>
      <c r="I191" s="174">
        <v>42071</v>
      </c>
      <c r="J191" t="s">
        <v>23</v>
      </c>
      <c r="K191">
        <v>-121269.5</v>
      </c>
      <c r="L191">
        <v>1563496.8000000159</v>
      </c>
      <c r="M191">
        <v>-33685.972222222219</v>
      </c>
      <c r="N191">
        <v>434304.66666667105</v>
      </c>
      <c r="P191" s="43">
        <f t="shared" si="4"/>
        <v>-614382.69066713122</v>
      </c>
      <c r="Q191" s="43">
        <f t="shared" si="5"/>
        <v>22706359.267990053</v>
      </c>
    </row>
    <row r="192" spans="1:17" x14ac:dyDescent="0.35">
      <c r="A192" s="172">
        <v>42072</v>
      </c>
      <c r="B192" t="s">
        <v>23</v>
      </c>
      <c r="C192">
        <v>-3025400.7228999999</v>
      </c>
      <c r="D192">
        <v>77153995.841800019</v>
      </c>
      <c r="E192">
        <v>-840389.08969511674</v>
      </c>
      <c r="F192">
        <v>21431665.511628263</v>
      </c>
      <c r="I192" s="174">
        <v>42072</v>
      </c>
      <c r="J192" t="s">
        <v>23</v>
      </c>
      <c r="K192">
        <v>-122330.3</v>
      </c>
      <c r="L192">
        <v>1441166.5000000158</v>
      </c>
      <c r="M192">
        <v>-33980.638888888891</v>
      </c>
      <c r="N192">
        <v>400324.02777778218</v>
      </c>
      <c r="P192" s="43">
        <f t="shared" si="4"/>
        <v>-874369.72858400561</v>
      </c>
      <c r="Q192" s="43">
        <f t="shared" si="5"/>
        <v>21831989.539406046</v>
      </c>
    </row>
    <row r="193" spans="1:17" x14ac:dyDescent="0.35">
      <c r="A193" s="172">
        <v>42073</v>
      </c>
      <c r="B193" t="s">
        <v>23</v>
      </c>
      <c r="C193">
        <v>-1866337.1851999999</v>
      </c>
      <c r="D193">
        <v>75287658.656600013</v>
      </c>
      <c r="E193">
        <v>-518426.99588930362</v>
      </c>
      <c r="F193">
        <v>20913238.515738957</v>
      </c>
      <c r="I193" s="174">
        <v>42073</v>
      </c>
      <c r="J193" t="s">
        <v>23</v>
      </c>
      <c r="K193">
        <v>-122263.2</v>
      </c>
      <c r="L193">
        <v>1318903.3000000159</v>
      </c>
      <c r="M193">
        <v>-33962</v>
      </c>
      <c r="N193">
        <v>366362.02777778218</v>
      </c>
      <c r="P193" s="43">
        <f t="shared" si="4"/>
        <v>-552388.99588930362</v>
      </c>
      <c r="Q193" s="43">
        <f t="shared" si="5"/>
        <v>21279600.54351674</v>
      </c>
    </row>
    <row r="194" spans="1:17" x14ac:dyDescent="0.35">
      <c r="A194" s="172">
        <v>42074</v>
      </c>
      <c r="B194" t="s">
        <v>23</v>
      </c>
      <c r="C194">
        <v>-1913610.9897999999</v>
      </c>
      <c r="D194">
        <v>73374047.666800007</v>
      </c>
      <c r="E194">
        <v>-531558.60827820294</v>
      </c>
      <c r="F194">
        <v>20381679.907460753</v>
      </c>
      <c r="I194" s="174">
        <v>42074</v>
      </c>
      <c r="J194" t="s">
        <v>23</v>
      </c>
      <c r="K194">
        <v>-122349.1</v>
      </c>
      <c r="L194">
        <v>1196554.2000000158</v>
      </c>
      <c r="M194">
        <v>-33985.861111111109</v>
      </c>
      <c r="N194">
        <v>332376.16666667105</v>
      </c>
      <c r="P194" s="43">
        <f t="shared" ref="P194:P257" si="6">M194+E194</f>
        <v>-565544.46938931406</v>
      </c>
      <c r="Q194" s="43">
        <f t="shared" ref="Q194:Q257" si="7">N194+F194</f>
        <v>20714056.074127425</v>
      </c>
    </row>
    <row r="195" spans="1:17" x14ac:dyDescent="0.35">
      <c r="A195" s="172">
        <v>42075</v>
      </c>
      <c r="B195" t="s">
        <v>23</v>
      </c>
      <c r="C195">
        <v>-2360992.9</v>
      </c>
      <c r="D195">
        <v>71013054.766800001</v>
      </c>
      <c r="E195">
        <v>-655831.36111163581</v>
      </c>
      <c r="F195">
        <v>19725848.546349116</v>
      </c>
      <c r="I195" s="174">
        <v>42075</v>
      </c>
      <c r="J195" t="s">
        <v>23</v>
      </c>
      <c r="K195">
        <v>-122261.5</v>
      </c>
      <c r="L195">
        <v>1074292.7000000158</v>
      </c>
      <c r="M195">
        <v>-33961.527777777774</v>
      </c>
      <c r="N195">
        <v>298414.6388888933</v>
      </c>
      <c r="P195" s="43">
        <f t="shared" si="6"/>
        <v>-689792.88888941356</v>
      </c>
      <c r="Q195" s="43">
        <f t="shared" si="7"/>
        <v>20024263.185238007</v>
      </c>
    </row>
    <row r="196" spans="1:17" x14ac:dyDescent="0.35">
      <c r="A196" s="172">
        <v>42076</v>
      </c>
      <c r="B196" t="s">
        <v>23</v>
      </c>
      <c r="C196">
        <v>-2625586.4</v>
      </c>
      <c r="D196">
        <v>68387468.366799995</v>
      </c>
      <c r="E196">
        <v>-729329.55555613898</v>
      </c>
      <c r="F196">
        <v>18996518.990792975</v>
      </c>
      <c r="I196" s="174">
        <v>42076</v>
      </c>
      <c r="J196" t="s">
        <v>23</v>
      </c>
      <c r="K196">
        <v>-121839.9</v>
      </c>
      <c r="L196">
        <v>952452.80000001576</v>
      </c>
      <c r="M196">
        <v>-33844.416666666664</v>
      </c>
      <c r="N196">
        <v>264570.22222222661</v>
      </c>
      <c r="P196" s="43">
        <f t="shared" si="6"/>
        <v>-763173.97222280561</v>
      </c>
      <c r="Q196" s="43">
        <f t="shared" si="7"/>
        <v>19261089.213015202</v>
      </c>
    </row>
    <row r="197" spans="1:17" x14ac:dyDescent="0.35">
      <c r="A197" s="172">
        <v>42077</v>
      </c>
      <c r="B197" t="s">
        <v>23</v>
      </c>
      <c r="C197">
        <v>-1926931.6</v>
      </c>
      <c r="D197">
        <v>66460536.766799994</v>
      </c>
      <c r="E197">
        <v>-535258.77777820604</v>
      </c>
      <c r="F197">
        <v>18461260.213014767</v>
      </c>
      <c r="I197" s="174">
        <v>42077</v>
      </c>
      <c r="J197" t="s">
        <v>23</v>
      </c>
      <c r="K197">
        <v>-121006.2</v>
      </c>
      <c r="L197">
        <v>831446.60000001581</v>
      </c>
      <c r="M197">
        <v>-33612.833333333328</v>
      </c>
      <c r="N197">
        <v>230957.3888888933</v>
      </c>
      <c r="P197" s="43">
        <f t="shared" si="6"/>
        <v>-568871.61111153942</v>
      </c>
      <c r="Q197" s="43">
        <f t="shared" si="7"/>
        <v>18692217.601903658</v>
      </c>
    </row>
    <row r="198" spans="1:17" x14ac:dyDescent="0.35">
      <c r="A198" s="172">
        <v>42078</v>
      </c>
      <c r="B198" t="s">
        <v>23</v>
      </c>
      <c r="C198">
        <v>-2143158.6558000003</v>
      </c>
      <c r="D198">
        <v>64317378.110999994</v>
      </c>
      <c r="E198">
        <v>-595321.84883380972</v>
      </c>
      <c r="F198">
        <v>17865938.364180956</v>
      </c>
      <c r="I198" s="174">
        <v>42078</v>
      </c>
      <c r="J198" t="s">
        <v>23</v>
      </c>
      <c r="K198">
        <v>-120977</v>
      </c>
      <c r="L198">
        <v>710469.60000001581</v>
      </c>
      <c r="M198">
        <v>-33604.722222222219</v>
      </c>
      <c r="N198">
        <v>197352.66666667108</v>
      </c>
      <c r="P198" s="43">
        <f t="shared" si="6"/>
        <v>-628926.57105603197</v>
      </c>
      <c r="Q198" s="43">
        <f t="shared" si="7"/>
        <v>18063291.030847628</v>
      </c>
    </row>
    <row r="199" spans="1:17" x14ac:dyDescent="0.35">
      <c r="A199" s="172">
        <v>42079</v>
      </c>
      <c r="B199" t="s">
        <v>23</v>
      </c>
      <c r="C199">
        <v>-2487269.0129</v>
      </c>
      <c r="D199">
        <v>61830109.098099992</v>
      </c>
      <c r="E199">
        <v>-690908.05913944158</v>
      </c>
      <c r="F199">
        <v>17175030.305041514</v>
      </c>
      <c r="I199" s="174">
        <v>42079</v>
      </c>
      <c r="J199" t="s">
        <v>23</v>
      </c>
      <c r="K199">
        <v>-101297.3</v>
      </c>
      <c r="L199">
        <v>609172.30000001576</v>
      </c>
      <c r="M199">
        <v>-28138.138888888891</v>
      </c>
      <c r="N199">
        <v>169214.52777778218</v>
      </c>
      <c r="P199" s="43">
        <f t="shared" si="6"/>
        <v>-719046.19802833046</v>
      </c>
      <c r="Q199" s="43">
        <f t="shared" si="7"/>
        <v>17344244.832819298</v>
      </c>
    </row>
    <row r="200" spans="1:17" x14ac:dyDescent="0.35">
      <c r="A200" s="172">
        <v>42080</v>
      </c>
      <c r="B200" t="s">
        <v>23</v>
      </c>
      <c r="C200">
        <v>-1776887.0660000001</v>
      </c>
      <c r="D200">
        <v>60053222.032099992</v>
      </c>
      <c r="E200">
        <v>-493579.74055595044</v>
      </c>
      <c r="F200">
        <v>16681450.564485565</v>
      </c>
      <c r="I200" s="174">
        <v>42080</v>
      </c>
      <c r="J200" t="s">
        <v>23</v>
      </c>
      <c r="K200">
        <v>-121661.9</v>
      </c>
      <c r="L200">
        <v>487510.40000001574</v>
      </c>
      <c r="M200">
        <v>-33794.972222222219</v>
      </c>
      <c r="N200">
        <v>135419.55555555996</v>
      </c>
      <c r="P200" s="43">
        <f t="shared" si="6"/>
        <v>-527374.71277817269</v>
      </c>
      <c r="Q200" s="43">
        <f t="shared" si="7"/>
        <v>16816870.120041125</v>
      </c>
    </row>
    <row r="201" spans="1:17" x14ac:dyDescent="0.35">
      <c r="A201" s="172">
        <v>42081</v>
      </c>
      <c r="B201" t="s">
        <v>23</v>
      </c>
      <c r="C201">
        <v>-1541175.6867</v>
      </c>
      <c r="D201">
        <v>58512046.345399991</v>
      </c>
      <c r="E201">
        <v>-428104.35741700913</v>
      </c>
      <c r="F201">
        <v>16253346.207068555</v>
      </c>
      <c r="I201" s="174">
        <v>42081</v>
      </c>
      <c r="J201" t="s">
        <v>23</v>
      </c>
      <c r="K201">
        <v>-121631.2</v>
      </c>
      <c r="L201">
        <v>365879.20000001573</v>
      </c>
      <c r="M201">
        <v>-33786.444444444445</v>
      </c>
      <c r="N201">
        <v>101633.11111111552</v>
      </c>
      <c r="P201" s="43">
        <f t="shared" si="6"/>
        <v>-461890.80186145357</v>
      </c>
      <c r="Q201" s="43">
        <f t="shared" si="7"/>
        <v>16354979.318179671</v>
      </c>
    </row>
    <row r="202" spans="1:17" x14ac:dyDescent="0.35">
      <c r="A202" s="172">
        <v>42082</v>
      </c>
      <c r="B202" t="s">
        <v>23</v>
      </c>
      <c r="C202">
        <v>-1625461.5</v>
      </c>
      <c r="D202">
        <v>56886584.845399991</v>
      </c>
      <c r="E202">
        <v>-451517.08333369455</v>
      </c>
      <c r="F202">
        <v>15801829.123734862</v>
      </c>
      <c r="I202" s="174">
        <v>42082</v>
      </c>
      <c r="J202" t="s">
        <v>23</v>
      </c>
      <c r="K202">
        <v>-109092.5</v>
      </c>
      <c r="L202">
        <v>256786.70000001573</v>
      </c>
      <c r="M202">
        <v>-30303.472222222223</v>
      </c>
      <c r="N202">
        <v>71329.6388888933</v>
      </c>
      <c r="P202" s="43">
        <f t="shared" si="6"/>
        <v>-481820.5555559168</v>
      </c>
      <c r="Q202" s="43">
        <f t="shared" si="7"/>
        <v>15873158.762623755</v>
      </c>
    </row>
    <row r="203" spans="1:17" x14ac:dyDescent="0.35">
      <c r="A203" s="172">
        <v>42083</v>
      </c>
      <c r="B203" t="s">
        <v>23</v>
      </c>
      <c r="C203">
        <v>-2219566.2999999998</v>
      </c>
      <c r="D203">
        <v>54667018.545399994</v>
      </c>
      <c r="E203">
        <v>-616546.19444493763</v>
      </c>
      <c r="F203">
        <v>15185282.929289924</v>
      </c>
      <c r="I203" s="174">
        <v>42083</v>
      </c>
      <c r="J203" t="s">
        <v>23</v>
      </c>
      <c r="K203">
        <v>-65672</v>
      </c>
      <c r="L203">
        <v>191114.70000001573</v>
      </c>
      <c r="M203">
        <v>-18242.222222222223</v>
      </c>
      <c r="N203">
        <v>53087.416666671081</v>
      </c>
      <c r="P203" s="43">
        <f t="shared" si="6"/>
        <v>-634788.41666715988</v>
      </c>
      <c r="Q203" s="43">
        <f t="shared" si="7"/>
        <v>15238370.345956596</v>
      </c>
    </row>
    <row r="204" spans="1:17" x14ac:dyDescent="0.35">
      <c r="A204" s="172">
        <v>42084</v>
      </c>
      <c r="B204" t="s">
        <v>23</v>
      </c>
      <c r="C204">
        <v>-941949.5</v>
      </c>
      <c r="D204">
        <v>53725069.045399994</v>
      </c>
      <c r="E204">
        <v>-261652.63888909822</v>
      </c>
      <c r="F204">
        <v>14923630.290400825</v>
      </c>
      <c r="I204" s="174">
        <v>42084</v>
      </c>
      <c r="J204" t="s">
        <v>23</v>
      </c>
      <c r="K204">
        <v>-52949</v>
      </c>
      <c r="L204">
        <v>138165.70000001573</v>
      </c>
      <c r="M204">
        <v>-14708.055555555555</v>
      </c>
      <c r="N204">
        <v>38379.361111115526</v>
      </c>
      <c r="P204" s="43">
        <f t="shared" si="6"/>
        <v>-276360.69444465375</v>
      </c>
      <c r="Q204" s="43">
        <f t="shared" si="7"/>
        <v>14962009.651511941</v>
      </c>
    </row>
    <row r="205" spans="1:17" x14ac:dyDescent="0.35">
      <c r="A205" s="172">
        <v>42085</v>
      </c>
      <c r="B205" t="s">
        <v>23</v>
      </c>
      <c r="C205">
        <v>-1521861.6947000001</v>
      </c>
      <c r="D205">
        <v>52203207.350699991</v>
      </c>
      <c r="E205">
        <v>-422739.3596392271</v>
      </c>
      <c r="F205">
        <v>14500890.930761598</v>
      </c>
      <c r="I205" s="174">
        <v>42085</v>
      </c>
      <c r="J205" t="s">
        <v>23</v>
      </c>
      <c r="K205">
        <v>-41138</v>
      </c>
      <c r="L205">
        <v>97027.700000015728</v>
      </c>
      <c r="M205">
        <v>-11427.222222222223</v>
      </c>
      <c r="N205">
        <v>26952.138888893303</v>
      </c>
      <c r="P205" s="43">
        <f t="shared" si="6"/>
        <v>-434166.58186144935</v>
      </c>
      <c r="Q205" s="43">
        <f t="shared" si="7"/>
        <v>14527843.069650492</v>
      </c>
    </row>
    <row r="206" spans="1:17" x14ac:dyDescent="0.35">
      <c r="A206" s="172">
        <v>42086</v>
      </c>
      <c r="B206" t="s">
        <v>23</v>
      </c>
      <c r="C206">
        <v>-858007.74969999993</v>
      </c>
      <c r="D206">
        <v>51345199.600999989</v>
      </c>
      <c r="E206">
        <v>-238335.48602796844</v>
      </c>
      <c r="F206">
        <v>14262555.444733629</v>
      </c>
      <c r="I206" s="174">
        <v>42086</v>
      </c>
      <c r="J206" t="s">
        <v>23</v>
      </c>
      <c r="K206">
        <v>-35105</v>
      </c>
      <c r="L206">
        <v>61922.700000015728</v>
      </c>
      <c r="M206">
        <v>-9751.3888888888887</v>
      </c>
      <c r="N206">
        <v>17200.750000004417</v>
      </c>
      <c r="P206" s="43">
        <f t="shared" si="6"/>
        <v>-248086.87491685731</v>
      </c>
      <c r="Q206" s="43">
        <f t="shared" si="7"/>
        <v>14279756.194733633</v>
      </c>
    </row>
    <row r="207" spans="1:17" x14ac:dyDescent="0.35">
      <c r="A207" s="172">
        <v>42087</v>
      </c>
      <c r="B207" t="s">
        <v>23</v>
      </c>
      <c r="C207">
        <v>-1543237.2378999998</v>
      </c>
      <c r="D207">
        <v>49801962.363099992</v>
      </c>
      <c r="E207">
        <v>-428677.01052812068</v>
      </c>
      <c r="F207">
        <v>13833878.43420551</v>
      </c>
      <c r="I207" s="174">
        <v>42087</v>
      </c>
      <c r="J207" t="s">
        <v>23</v>
      </c>
      <c r="K207">
        <v>-4893</v>
      </c>
      <c r="L207">
        <v>57029.700000015728</v>
      </c>
      <c r="M207">
        <v>-1359.1666666666667</v>
      </c>
      <c r="N207">
        <v>15841.58333333775</v>
      </c>
      <c r="P207" s="43">
        <f t="shared" si="6"/>
        <v>-430036.17719478736</v>
      </c>
      <c r="Q207" s="43">
        <f t="shared" si="7"/>
        <v>13849720.017538847</v>
      </c>
    </row>
    <row r="208" spans="1:17" x14ac:dyDescent="0.35">
      <c r="A208" s="172">
        <v>42088</v>
      </c>
      <c r="B208" t="s">
        <v>23</v>
      </c>
      <c r="C208">
        <v>-2309649.3739</v>
      </c>
      <c r="D208">
        <v>47492312.989199996</v>
      </c>
      <c r="E208">
        <v>-641569.270528291</v>
      </c>
      <c r="F208">
        <v>13192309.163677219</v>
      </c>
      <c r="I208" s="174">
        <v>42088</v>
      </c>
      <c r="J208" t="s">
        <v>23</v>
      </c>
      <c r="K208">
        <v>-2025</v>
      </c>
      <c r="L208">
        <v>55004.700000015728</v>
      </c>
      <c r="M208">
        <v>-562.5</v>
      </c>
      <c r="N208">
        <v>15279.08333333775</v>
      </c>
      <c r="P208" s="43">
        <f t="shared" si="6"/>
        <v>-642131.770528291</v>
      </c>
      <c r="Q208" s="43">
        <f t="shared" si="7"/>
        <v>13207588.247010557</v>
      </c>
    </row>
    <row r="209" spans="1:17" x14ac:dyDescent="0.35">
      <c r="A209" s="172">
        <v>42089</v>
      </c>
      <c r="B209" t="s">
        <v>23</v>
      </c>
      <c r="C209">
        <v>-1821293.8</v>
      </c>
      <c r="D209">
        <v>45671019.189199999</v>
      </c>
      <c r="E209">
        <v>-505914.94444484921</v>
      </c>
      <c r="F209">
        <v>12686394.219232371</v>
      </c>
      <c r="I209" s="174">
        <v>42089</v>
      </c>
      <c r="J209" t="s">
        <v>23</v>
      </c>
      <c r="K209">
        <v>-1912</v>
      </c>
      <c r="L209">
        <v>53092.700000015728</v>
      </c>
      <c r="M209">
        <v>-531.11111111111109</v>
      </c>
      <c r="N209">
        <v>14747.972222226639</v>
      </c>
      <c r="P209" s="43">
        <f t="shared" si="6"/>
        <v>-506446.05555596034</v>
      </c>
      <c r="Q209" s="43">
        <f t="shared" si="7"/>
        <v>12701142.191454597</v>
      </c>
    </row>
    <row r="210" spans="1:17" x14ac:dyDescent="0.35">
      <c r="A210" s="172">
        <v>42090</v>
      </c>
      <c r="B210" t="s">
        <v>23</v>
      </c>
      <c r="C210">
        <v>-989826.6</v>
      </c>
      <c r="D210">
        <v>44681192.589199997</v>
      </c>
      <c r="E210">
        <v>-274951.83333355328</v>
      </c>
      <c r="F210">
        <v>12411442.385898817</v>
      </c>
      <c r="I210" s="174">
        <v>42090</v>
      </c>
      <c r="J210" t="s">
        <v>23</v>
      </c>
      <c r="K210">
        <v>-1928</v>
      </c>
      <c r="L210">
        <v>51164.700000015728</v>
      </c>
      <c r="M210">
        <v>-535.55555555555554</v>
      </c>
      <c r="N210">
        <v>14212.416666671084</v>
      </c>
      <c r="P210" s="43">
        <f t="shared" si="6"/>
        <v>-275487.38888910884</v>
      </c>
      <c r="Q210" s="43">
        <f t="shared" si="7"/>
        <v>12425654.802565489</v>
      </c>
    </row>
    <row r="211" spans="1:17" x14ac:dyDescent="0.35">
      <c r="A211" s="172">
        <v>42091</v>
      </c>
      <c r="B211" t="s">
        <v>23</v>
      </c>
      <c r="C211">
        <v>-180329.1</v>
      </c>
      <c r="D211">
        <v>44500863.489199996</v>
      </c>
      <c r="E211">
        <v>-50091.41666670674</v>
      </c>
      <c r="F211">
        <v>12361350.96923211</v>
      </c>
      <c r="I211" s="174">
        <v>42091</v>
      </c>
      <c r="J211" t="s">
        <v>23</v>
      </c>
      <c r="K211">
        <v>-1910</v>
      </c>
      <c r="L211">
        <v>49254.700000015728</v>
      </c>
      <c r="M211">
        <v>-530.55555555555554</v>
      </c>
      <c r="N211">
        <v>13681.86111111553</v>
      </c>
      <c r="P211" s="43">
        <f t="shared" si="6"/>
        <v>-50621.972222262295</v>
      </c>
      <c r="Q211" s="43">
        <f t="shared" si="7"/>
        <v>12375032.830343226</v>
      </c>
    </row>
    <row r="212" spans="1:17" x14ac:dyDescent="0.35">
      <c r="A212" s="172">
        <v>42092</v>
      </c>
      <c r="B212" t="s">
        <v>23</v>
      </c>
      <c r="C212">
        <v>285125.19579999999</v>
      </c>
      <c r="D212">
        <v>44785988.684999995</v>
      </c>
      <c r="E212">
        <v>79201.443277841143</v>
      </c>
      <c r="F212">
        <v>12440552.412509952</v>
      </c>
      <c r="I212" s="174">
        <v>42092</v>
      </c>
      <c r="J212" t="s">
        <v>23</v>
      </c>
      <c r="K212">
        <v>-1909</v>
      </c>
      <c r="L212">
        <v>47345.700000015728</v>
      </c>
      <c r="M212">
        <v>-530.27777777777771</v>
      </c>
      <c r="N212">
        <v>13151.583333337752</v>
      </c>
      <c r="P212" s="43">
        <f t="shared" si="6"/>
        <v>78671.165500063362</v>
      </c>
      <c r="Q212" s="43">
        <f t="shared" si="7"/>
        <v>12453703.995843289</v>
      </c>
    </row>
    <row r="213" spans="1:17" x14ac:dyDescent="0.35">
      <c r="A213" s="172">
        <v>42093</v>
      </c>
      <c r="B213" t="s">
        <v>23</v>
      </c>
      <c r="C213">
        <v>-216281.38130000001</v>
      </c>
      <c r="D213">
        <v>44569707.303699993</v>
      </c>
      <c r="E213">
        <v>-60078.161472270287</v>
      </c>
      <c r="F213">
        <v>12380474.25103768</v>
      </c>
      <c r="I213" s="174">
        <v>42093</v>
      </c>
      <c r="J213" t="s">
        <v>23</v>
      </c>
      <c r="K213">
        <v>-1382</v>
      </c>
      <c r="L213">
        <v>45963.700000015728</v>
      </c>
      <c r="M213">
        <v>-383.88888888888886</v>
      </c>
      <c r="N213">
        <v>12767.694444448864</v>
      </c>
      <c r="P213" s="43">
        <f t="shared" si="6"/>
        <v>-60462.050361159178</v>
      </c>
      <c r="Q213" s="43">
        <f t="shared" si="7"/>
        <v>12393241.945482129</v>
      </c>
    </row>
    <row r="214" spans="1:17" x14ac:dyDescent="0.35">
      <c r="A214" s="174">
        <v>42094</v>
      </c>
      <c r="B214" t="s">
        <v>23</v>
      </c>
      <c r="C214">
        <v>-77541.066399999996</v>
      </c>
      <c r="D214">
        <v>44492559.100000001</v>
      </c>
      <c r="E214">
        <v>-21539.185111128343</v>
      </c>
      <c r="F214">
        <v>12359044.194454333</v>
      </c>
      <c r="I214" s="174">
        <v>42094</v>
      </c>
      <c r="J214" t="s">
        <v>23</v>
      </c>
      <c r="K214">
        <v>0</v>
      </c>
      <c r="L214">
        <v>45963.7</v>
      </c>
      <c r="M214">
        <v>0</v>
      </c>
      <c r="N214">
        <v>12767.69</v>
      </c>
      <c r="P214" s="43">
        <f t="shared" si="6"/>
        <v>-21539.185111128343</v>
      </c>
      <c r="Q214" s="43">
        <f t="shared" si="7"/>
        <v>12371811.884454332</v>
      </c>
    </row>
    <row r="215" spans="1:17" x14ac:dyDescent="0.35">
      <c r="A215" s="172">
        <v>42095</v>
      </c>
      <c r="B215" t="s">
        <v>23</v>
      </c>
      <c r="C215">
        <v>1084182.3922999999</v>
      </c>
      <c r="D215">
        <v>45576741.492300004</v>
      </c>
      <c r="E215">
        <v>301161.7756391298</v>
      </c>
      <c r="F215">
        <v>12660205.970093463</v>
      </c>
      <c r="I215" s="174">
        <v>42095</v>
      </c>
      <c r="J215" t="s">
        <v>23</v>
      </c>
      <c r="K215">
        <v>27466.799999999999</v>
      </c>
      <c r="L215">
        <v>73430.5</v>
      </c>
      <c r="M215">
        <v>7629.67</v>
      </c>
      <c r="N215">
        <v>20397.36</v>
      </c>
      <c r="P215" s="43">
        <f t="shared" si="6"/>
        <v>308791.44563912979</v>
      </c>
      <c r="Q215" s="43">
        <f t="shared" si="7"/>
        <v>12680603.330093462</v>
      </c>
    </row>
    <row r="216" spans="1:17" x14ac:dyDescent="0.35">
      <c r="A216" s="172">
        <v>42096</v>
      </c>
      <c r="B216" t="s">
        <v>23</v>
      </c>
      <c r="C216">
        <v>496416.4</v>
      </c>
      <c r="D216">
        <v>46073157.892300002</v>
      </c>
      <c r="E216">
        <v>137893.44444455477</v>
      </c>
      <c r="F216">
        <v>12798099.414538017</v>
      </c>
      <c r="I216" s="174">
        <v>42096</v>
      </c>
      <c r="J216" t="s">
        <v>23</v>
      </c>
      <c r="K216">
        <v>32431</v>
      </c>
      <c r="L216">
        <v>105861.5</v>
      </c>
      <c r="M216">
        <v>9008.61</v>
      </c>
      <c r="N216">
        <v>29405.97</v>
      </c>
      <c r="P216" s="43">
        <f t="shared" si="6"/>
        <v>146902.05444455479</v>
      </c>
      <c r="Q216" s="43">
        <f t="shared" si="7"/>
        <v>12827505.384538017</v>
      </c>
    </row>
    <row r="217" spans="1:17" x14ac:dyDescent="0.35">
      <c r="A217" s="172">
        <v>42097</v>
      </c>
      <c r="B217" t="s">
        <v>23</v>
      </c>
      <c r="C217">
        <v>875479.9</v>
      </c>
      <c r="D217">
        <v>46948637.792300001</v>
      </c>
      <c r="E217">
        <v>243188.86111130568</v>
      </c>
      <c r="F217">
        <v>13041288.275649322</v>
      </c>
      <c r="I217" s="174">
        <v>42097</v>
      </c>
      <c r="J217" t="s">
        <v>23</v>
      </c>
      <c r="K217">
        <v>33467</v>
      </c>
      <c r="L217">
        <v>139328.5</v>
      </c>
      <c r="M217">
        <v>9296.39</v>
      </c>
      <c r="N217">
        <v>38702.36</v>
      </c>
      <c r="P217" s="43">
        <f t="shared" si="6"/>
        <v>252485.25111130567</v>
      </c>
      <c r="Q217" s="43">
        <f t="shared" si="7"/>
        <v>13079990.635649322</v>
      </c>
    </row>
    <row r="218" spans="1:17" x14ac:dyDescent="0.35">
      <c r="A218" s="172">
        <v>42098</v>
      </c>
      <c r="B218" t="s">
        <v>23</v>
      </c>
      <c r="C218">
        <v>408985</v>
      </c>
      <c r="D218">
        <v>47357622.792300001</v>
      </c>
      <c r="E218">
        <v>113606.94444453533</v>
      </c>
      <c r="F218">
        <v>13154895.220093857</v>
      </c>
      <c r="I218" s="174">
        <v>42098</v>
      </c>
      <c r="J218" t="s">
        <v>23</v>
      </c>
      <c r="K218">
        <v>27325.599999999999</v>
      </c>
      <c r="L218">
        <v>166654.1</v>
      </c>
      <c r="M218">
        <v>7590.44</v>
      </c>
      <c r="N218">
        <v>46292.800000000003</v>
      </c>
      <c r="P218" s="43">
        <f t="shared" si="6"/>
        <v>121197.38444453533</v>
      </c>
      <c r="Q218" s="43">
        <f t="shared" si="7"/>
        <v>13201188.020093858</v>
      </c>
    </row>
    <row r="219" spans="1:17" x14ac:dyDescent="0.35">
      <c r="A219" s="172">
        <v>42099</v>
      </c>
      <c r="B219" t="s">
        <v>23</v>
      </c>
      <c r="C219">
        <v>250674.8</v>
      </c>
      <c r="D219">
        <v>47608297.592299998</v>
      </c>
      <c r="E219">
        <v>69631.888888944595</v>
      </c>
      <c r="F219">
        <v>13224527.108982801</v>
      </c>
      <c r="I219" s="174">
        <v>42099</v>
      </c>
      <c r="J219" t="s">
        <v>23</v>
      </c>
      <c r="K219">
        <v>34604</v>
      </c>
      <c r="L219">
        <v>201258.1</v>
      </c>
      <c r="M219">
        <v>9612.2199999999993</v>
      </c>
      <c r="N219">
        <v>55905.02</v>
      </c>
      <c r="P219" s="43">
        <f t="shared" si="6"/>
        <v>79244.108888944596</v>
      </c>
      <c r="Q219" s="43">
        <f t="shared" si="7"/>
        <v>13280432.128982801</v>
      </c>
    </row>
    <row r="220" spans="1:17" x14ac:dyDescent="0.35">
      <c r="A220" s="172">
        <v>42100</v>
      </c>
      <c r="B220" t="s">
        <v>23</v>
      </c>
      <c r="C220">
        <v>613843.4608</v>
      </c>
      <c r="D220">
        <v>48222141.053099997</v>
      </c>
      <c r="E220">
        <v>170512.07244458084</v>
      </c>
      <c r="F220">
        <v>13395039.181427382</v>
      </c>
      <c r="I220" s="174">
        <v>42100</v>
      </c>
      <c r="J220" t="s">
        <v>23</v>
      </c>
      <c r="K220">
        <v>34543</v>
      </c>
      <c r="L220">
        <v>235801.1</v>
      </c>
      <c r="M220">
        <v>9595.2800000000007</v>
      </c>
      <c r="N220">
        <v>65500.3</v>
      </c>
      <c r="P220" s="43">
        <f t="shared" si="6"/>
        <v>180107.35244458084</v>
      </c>
      <c r="Q220" s="43">
        <f t="shared" si="7"/>
        <v>13460539.481427383</v>
      </c>
    </row>
    <row r="221" spans="1:17" x14ac:dyDescent="0.35">
      <c r="A221" s="172">
        <v>42101</v>
      </c>
      <c r="B221" t="s">
        <v>23</v>
      </c>
      <c r="C221">
        <v>-1604039.5105000001</v>
      </c>
      <c r="D221">
        <v>46618101.542599998</v>
      </c>
      <c r="E221">
        <v>-445566.53069480095</v>
      </c>
      <c r="F221">
        <v>12949472.650732581</v>
      </c>
      <c r="I221" s="174">
        <v>42101</v>
      </c>
      <c r="J221" t="s">
        <v>23</v>
      </c>
      <c r="K221">
        <v>25496.1</v>
      </c>
      <c r="L221">
        <v>261297.2</v>
      </c>
      <c r="M221">
        <v>7082.25</v>
      </c>
      <c r="N221">
        <v>72582.55</v>
      </c>
      <c r="P221" s="43">
        <f t="shared" si="6"/>
        <v>-438484.28069480095</v>
      </c>
      <c r="Q221" s="43">
        <f t="shared" si="7"/>
        <v>13022055.200732581</v>
      </c>
    </row>
    <row r="222" spans="1:17" x14ac:dyDescent="0.35">
      <c r="A222" s="172">
        <v>42102</v>
      </c>
      <c r="B222" t="s">
        <v>23</v>
      </c>
      <c r="C222">
        <v>-242887.2144</v>
      </c>
      <c r="D222">
        <v>46375214.328199998</v>
      </c>
      <c r="E222">
        <v>-67468.670666720645</v>
      </c>
      <c r="F222">
        <v>12882003.98006586</v>
      </c>
      <c r="I222" s="174">
        <v>42102</v>
      </c>
      <c r="J222" t="s">
        <v>23</v>
      </c>
      <c r="K222">
        <v>34452.300000000003</v>
      </c>
      <c r="L222">
        <v>295749.5</v>
      </c>
      <c r="M222">
        <v>9570.08</v>
      </c>
      <c r="N222">
        <v>82152.63</v>
      </c>
      <c r="P222" s="43">
        <f t="shared" si="6"/>
        <v>-57898.590666720644</v>
      </c>
      <c r="Q222" s="43">
        <f t="shared" si="7"/>
        <v>12964156.610065861</v>
      </c>
    </row>
    <row r="223" spans="1:17" x14ac:dyDescent="0.35">
      <c r="A223" s="172">
        <v>42103</v>
      </c>
      <c r="B223" t="s">
        <v>23</v>
      </c>
      <c r="C223">
        <v>767014.8</v>
      </c>
      <c r="D223">
        <v>47142229.128199995</v>
      </c>
      <c r="E223">
        <v>213059.66666683712</v>
      </c>
      <c r="F223">
        <v>13095063.646732697</v>
      </c>
      <c r="I223" s="174">
        <v>42103</v>
      </c>
      <c r="J223" t="s">
        <v>23</v>
      </c>
      <c r="K223">
        <v>24617.1</v>
      </c>
      <c r="L223">
        <v>320366.59999999998</v>
      </c>
      <c r="M223">
        <v>6838.08</v>
      </c>
      <c r="N223">
        <v>88990.71</v>
      </c>
      <c r="P223" s="43">
        <f t="shared" si="6"/>
        <v>219897.74666683711</v>
      </c>
      <c r="Q223" s="43">
        <f t="shared" si="7"/>
        <v>13184054.356732698</v>
      </c>
    </row>
    <row r="224" spans="1:17" x14ac:dyDescent="0.35">
      <c r="A224" s="172">
        <v>42104</v>
      </c>
      <c r="B224" t="s">
        <v>23</v>
      </c>
      <c r="C224">
        <v>943495.6</v>
      </c>
      <c r="D224">
        <v>48085724.728199996</v>
      </c>
      <c r="E224">
        <v>262082.11111132076</v>
      </c>
      <c r="F224">
        <v>13357145.757844018</v>
      </c>
      <c r="I224" s="174">
        <v>42104</v>
      </c>
      <c r="J224" t="s">
        <v>23</v>
      </c>
      <c r="K224">
        <v>27168.9</v>
      </c>
      <c r="L224">
        <v>347535.5</v>
      </c>
      <c r="M224">
        <v>7546.92</v>
      </c>
      <c r="N224">
        <v>96537.63</v>
      </c>
      <c r="P224" s="43">
        <f t="shared" si="6"/>
        <v>269629.03111132077</v>
      </c>
      <c r="Q224" s="43">
        <f t="shared" si="7"/>
        <v>13453683.387844019</v>
      </c>
    </row>
    <row r="225" spans="1:17" x14ac:dyDescent="0.35">
      <c r="A225" s="172">
        <v>42105</v>
      </c>
      <c r="B225" t="s">
        <v>23</v>
      </c>
      <c r="C225">
        <v>1203590.7</v>
      </c>
      <c r="D225">
        <v>49289315.428199999</v>
      </c>
      <c r="E225">
        <v>334330.75000026746</v>
      </c>
      <c r="F225">
        <v>13691476.507844286</v>
      </c>
      <c r="I225" s="174">
        <v>42105</v>
      </c>
      <c r="J225" t="s">
        <v>23</v>
      </c>
      <c r="K225">
        <v>31583.8</v>
      </c>
      <c r="L225">
        <v>379119.3</v>
      </c>
      <c r="M225">
        <v>8773.2800000000007</v>
      </c>
      <c r="N225">
        <v>105310.91</v>
      </c>
      <c r="P225" s="43">
        <f t="shared" si="6"/>
        <v>343104.03000026749</v>
      </c>
      <c r="Q225" s="43">
        <f t="shared" si="7"/>
        <v>13796787.417844286</v>
      </c>
    </row>
    <row r="226" spans="1:17" x14ac:dyDescent="0.35">
      <c r="A226" s="172">
        <v>42106</v>
      </c>
      <c r="B226" t="s">
        <v>23</v>
      </c>
      <c r="C226">
        <v>1910784.0392</v>
      </c>
      <c r="D226">
        <v>51200099.467399999</v>
      </c>
      <c r="E226">
        <v>530773.34422264679</v>
      </c>
      <c r="F226">
        <v>14222249.852066934</v>
      </c>
      <c r="I226" s="174">
        <v>42106</v>
      </c>
      <c r="J226" t="s">
        <v>23</v>
      </c>
      <c r="K226">
        <v>31228.400000000001</v>
      </c>
      <c r="L226">
        <v>410347.7</v>
      </c>
      <c r="M226">
        <v>8674.56</v>
      </c>
      <c r="N226">
        <v>113985.47</v>
      </c>
      <c r="P226" s="43">
        <f t="shared" si="6"/>
        <v>539447.90422264684</v>
      </c>
      <c r="Q226" s="43">
        <f t="shared" si="7"/>
        <v>14336235.322066935</v>
      </c>
    </row>
    <row r="227" spans="1:17" x14ac:dyDescent="0.35">
      <c r="A227" s="172">
        <v>42107</v>
      </c>
      <c r="B227" t="s">
        <v>23</v>
      </c>
      <c r="C227">
        <v>1731701.1989000002</v>
      </c>
      <c r="D227">
        <v>52931800.666299999</v>
      </c>
      <c r="E227">
        <v>481028.11080594041</v>
      </c>
      <c r="F227">
        <v>14703277.962872874</v>
      </c>
      <c r="I227" s="174">
        <v>42107</v>
      </c>
      <c r="J227" t="s">
        <v>23</v>
      </c>
      <c r="K227">
        <v>31238.2</v>
      </c>
      <c r="L227">
        <v>441585.9</v>
      </c>
      <c r="M227">
        <v>8677.2800000000007</v>
      </c>
      <c r="N227">
        <v>122662.75</v>
      </c>
      <c r="P227" s="43">
        <f t="shared" si="6"/>
        <v>489705.39080594043</v>
      </c>
      <c r="Q227" s="43">
        <f t="shared" si="7"/>
        <v>14825940.712872874</v>
      </c>
    </row>
    <row r="228" spans="1:17" x14ac:dyDescent="0.35">
      <c r="A228" s="172">
        <v>42108</v>
      </c>
      <c r="B228" t="s">
        <v>23</v>
      </c>
      <c r="C228">
        <v>1898098.2726</v>
      </c>
      <c r="D228">
        <v>54829898.938900001</v>
      </c>
      <c r="E228">
        <v>527249.52016708849</v>
      </c>
      <c r="F228">
        <v>15230527.483039962</v>
      </c>
      <c r="I228" s="174">
        <v>42108</v>
      </c>
      <c r="J228" t="s">
        <v>23</v>
      </c>
      <c r="K228">
        <v>40150.9</v>
      </c>
      <c r="L228">
        <v>481736.8</v>
      </c>
      <c r="M228">
        <v>11153.03</v>
      </c>
      <c r="N228">
        <v>133815.78</v>
      </c>
      <c r="P228" s="43">
        <f t="shared" si="6"/>
        <v>538402.55016708851</v>
      </c>
      <c r="Q228" s="43">
        <f t="shared" si="7"/>
        <v>15364343.263039961</v>
      </c>
    </row>
    <row r="229" spans="1:17" x14ac:dyDescent="0.35">
      <c r="A229" s="172">
        <v>42109</v>
      </c>
      <c r="B229" t="s">
        <v>23</v>
      </c>
      <c r="C229">
        <v>2147899.3231000002</v>
      </c>
      <c r="D229">
        <v>56977798.262000002</v>
      </c>
      <c r="E229">
        <v>596638.70086158847</v>
      </c>
      <c r="F229">
        <v>15827166.183901552</v>
      </c>
      <c r="I229" s="174">
        <v>42109</v>
      </c>
      <c r="J229" t="s">
        <v>23</v>
      </c>
      <c r="K229">
        <v>46193.2</v>
      </c>
      <c r="L229">
        <v>527930</v>
      </c>
      <c r="M229">
        <v>12831.44</v>
      </c>
      <c r="N229">
        <v>146647.22</v>
      </c>
      <c r="P229" s="43">
        <f t="shared" si="6"/>
        <v>609470.14086158841</v>
      </c>
      <c r="Q229" s="43">
        <f t="shared" si="7"/>
        <v>15973813.403901553</v>
      </c>
    </row>
    <row r="230" spans="1:17" x14ac:dyDescent="0.35">
      <c r="A230" s="172">
        <v>42110</v>
      </c>
      <c r="B230" t="s">
        <v>23</v>
      </c>
      <c r="C230">
        <v>2163126.9</v>
      </c>
      <c r="D230">
        <v>59140925.162</v>
      </c>
      <c r="E230">
        <v>600868.58333381405</v>
      </c>
      <c r="F230">
        <v>16428034.767235365</v>
      </c>
      <c r="I230" s="174">
        <v>42110</v>
      </c>
      <c r="J230" t="s">
        <v>23</v>
      </c>
      <c r="K230">
        <v>45235</v>
      </c>
      <c r="L230">
        <v>573165</v>
      </c>
      <c r="M230">
        <v>12565.28</v>
      </c>
      <c r="N230">
        <v>159212.5</v>
      </c>
      <c r="P230" s="43">
        <f t="shared" si="6"/>
        <v>613433.86333381408</v>
      </c>
      <c r="Q230" s="43">
        <f t="shared" si="7"/>
        <v>16587247.267235365</v>
      </c>
    </row>
    <row r="231" spans="1:17" x14ac:dyDescent="0.35">
      <c r="A231" s="172">
        <v>42111</v>
      </c>
      <c r="B231" t="s">
        <v>23</v>
      </c>
      <c r="C231">
        <v>1790852</v>
      </c>
      <c r="D231">
        <v>60931777.162</v>
      </c>
      <c r="E231">
        <v>497458.88888928684</v>
      </c>
      <c r="F231">
        <v>16925493.656124651</v>
      </c>
      <c r="I231" s="174">
        <v>42111</v>
      </c>
      <c r="J231" t="s">
        <v>23</v>
      </c>
      <c r="K231">
        <v>44699.9</v>
      </c>
      <c r="L231">
        <v>617864.9</v>
      </c>
      <c r="M231">
        <v>12416.64</v>
      </c>
      <c r="N231">
        <v>171629.14</v>
      </c>
      <c r="P231" s="43">
        <f t="shared" si="6"/>
        <v>509875.52888928686</v>
      </c>
      <c r="Q231" s="43">
        <f t="shared" si="7"/>
        <v>17097122.796124652</v>
      </c>
    </row>
    <row r="232" spans="1:17" x14ac:dyDescent="0.35">
      <c r="A232" s="172">
        <v>42112</v>
      </c>
      <c r="B232" t="s">
        <v>23</v>
      </c>
      <c r="C232">
        <v>2284183.9</v>
      </c>
      <c r="D232">
        <v>63215961.061999999</v>
      </c>
      <c r="E232">
        <v>634495.52777828532</v>
      </c>
      <c r="F232">
        <v>17559989.183902938</v>
      </c>
      <c r="I232" s="174">
        <v>42112</v>
      </c>
      <c r="J232" t="s">
        <v>23</v>
      </c>
      <c r="K232">
        <v>156273.5</v>
      </c>
      <c r="L232">
        <v>774138.4</v>
      </c>
      <c r="M232">
        <v>43409.31</v>
      </c>
      <c r="N232">
        <v>215038.45</v>
      </c>
      <c r="P232" s="43">
        <f t="shared" si="6"/>
        <v>677904.83777828538</v>
      </c>
      <c r="Q232" s="43">
        <f t="shared" si="7"/>
        <v>17775027.633902937</v>
      </c>
    </row>
    <row r="233" spans="1:17" x14ac:dyDescent="0.35">
      <c r="A233" s="172">
        <v>42113</v>
      </c>
      <c r="B233" t="s">
        <v>23</v>
      </c>
      <c r="C233">
        <v>2434128.5501000001</v>
      </c>
      <c r="D233">
        <v>65650089.612099998</v>
      </c>
      <c r="E233">
        <v>676146.81947276322</v>
      </c>
      <c r="F233">
        <v>18236136.003375698</v>
      </c>
      <c r="I233" s="174">
        <v>42113</v>
      </c>
      <c r="J233" t="s">
        <v>23</v>
      </c>
      <c r="K233">
        <v>161087.5</v>
      </c>
      <c r="L233">
        <v>935225.9</v>
      </c>
      <c r="M233">
        <v>44746.53</v>
      </c>
      <c r="N233">
        <v>259784.98</v>
      </c>
      <c r="P233" s="43">
        <f t="shared" si="6"/>
        <v>720893.34947276325</v>
      </c>
      <c r="Q233" s="43">
        <f t="shared" si="7"/>
        <v>18495920.983375698</v>
      </c>
    </row>
    <row r="234" spans="1:17" x14ac:dyDescent="0.35">
      <c r="A234" s="172">
        <v>42114</v>
      </c>
      <c r="B234" t="s">
        <v>23</v>
      </c>
      <c r="C234">
        <v>1675847.5335000001</v>
      </c>
      <c r="D234">
        <v>67325937.145599991</v>
      </c>
      <c r="E234">
        <v>465513.20375037246</v>
      </c>
      <c r="F234">
        <v>18701649.20712607</v>
      </c>
      <c r="I234" s="174">
        <v>42114</v>
      </c>
      <c r="J234" t="s">
        <v>23</v>
      </c>
      <c r="K234">
        <v>129320.1</v>
      </c>
      <c r="L234">
        <v>1064546</v>
      </c>
      <c r="M234">
        <v>35922.25</v>
      </c>
      <c r="N234">
        <v>295707.23</v>
      </c>
      <c r="P234" s="43">
        <f t="shared" si="6"/>
        <v>501435.45375037246</v>
      </c>
      <c r="Q234" s="43">
        <f t="shared" si="7"/>
        <v>18997356.43712607</v>
      </c>
    </row>
    <row r="235" spans="1:17" x14ac:dyDescent="0.35">
      <c r="A235" s="172">
        <v>42115</v>
      </c>
      <c r="B235" t="s">
        <v>23</v>
      </c>
      <c r="C235">
        <v>1969022.5059</v>
      </c>
      <c r="D235">
        <v>69294959.651499987</v>
      </c>
      <c r="E235">
        <v>546950.69608377095</v>
      </c>
      <c r="F235">
        <v>19248599.903209839</v>
      </c>
      <c r="I235" s="174">
        <v>42115</v>
      </c>
      <c r="J235" t="s">
        <v>23</v>
      </c>
      <c r="K235">
        <v>104652.7</v>
      </c>
      <c r="L235">
        <v>1169198.7</v>
      </c>
      <c r="M235">
        <v>29070.19</v>
      </c>
      <c r="N235">
        <v>324777.42</v>
      </c>
      <c r="P235" s="43">
        <f t="shared" si="6"/>
        <v>576020.88608377089</v>
      </c>
      <c r="Q235" s="43">
        <f t="shared" si="7"/>
        <v>19573377.323209841</v>
      </c>
    </row>
    <row r="236" spans="1:17" x14ac:dyDescent="0.35">
      <c r="A236" s="172">
        <v>42116</v>
      </c>
      <c r="B236" t="s">
        <v>23</v>
      </c>
      <c r="C236">
        <v>1930736.9855</v>
      </c>
      <c r="D236">
        <v>71225696.63699998</v>
      </c>
      <c r="E236">
        <v>536315.82930598455</v>
      </c>
      <c r="F236">
        <v>19784915.732515823</v>
      </c>
      <c r="I236" s="174">
        <v>42116</v>
      </c>
      <c r="J236" t="s">
        <v>23</v>
      </c>
      <c r="K236">
        <v>129560.3</v>
      </c>
      <c r="L236">
        <v>1298759</v>
      </c>
      <c r="M236">
        <v>35988.97</v>
      </c>
      <c r="N236">
        <v>360766.39</v>
      </c>
      <c r="P236" s="43">
        <f t="shared" si="6"/>
        <v>572304.79930598452</v>
      </c>
      <c r="Q236" s="43">
        <f t="shared" si="7"/>
        <v>20145682.122515824</v>
      </c>
    </row>
    <row r="237" spans="1:17" x14ac:dyDescent="0.35">
      <c r="A237" s="172">
        <v>42117</v>
      </c>
      <c r="B237" t="s">
        <v>23</v>
      </c>
      <c r="C237">
        <v>1827385.4</v>
      </c>
      <c r="D237">
        <v>73053082.036999986</v>
      </c>
      <c r="E237">
        <v>507607.05555596162</v>
      </c>
      <c r="F237">
        <v>20292522.788071785</v>
      </c>
      <c r="I237" s="174">
        <v>42117</v>
      </c>
      <c r="J237" t="s">
        <v>23</v>
      </c>
      <c r="K237">
        <v>102626.3</v>
      </c>
      <c r="L237">
        <v>1401385.3</v>
      </c>
      <c r="M237">
        <v>28507.31</v>
      </c>
      <c r="N237">
        <v>389273.7</v>
      </c>
      <c r="P237" s="43">
        <f t="shared" si="6"/>
        <v>536114.36555596162</v>
      </c>
      <c r="Q237" s="43">
        <f t="shared" si="7"/>
        <v>20681796.488071784</v>
      </c>
    </row>
    <row r="238" spans="1:17" x14ac:dyDescent="0.35">
      <c r="A238" s="172">
        <v>42118</v>
      </c>
      <c r="B238" t="s">
        <v>23</v>
      </c>
      <c r="C238">
        <v>2179236</v>
      </c>
      <c r="D238">
        <v>75232318.036999986</v>
      </c>
      <c r="E238">
        <v>605343.33333381766</v>
      </c>
      <c r="F238">
        <v>20897866.121405602</v>
      </c>
      <c r="I238" s="174">
        <v>42118</v>
      </c>
      <c r="J238" t="s">
        <v>23</v>
      </c>
      <c r="K238">
        <v>131745.9</v>
      </c>
      <c r="L238">
        <v>1533131.2</v>
      </c>
      <c r="M238">
        <v>36596.080000000002</v>
      </c>
      <c r="N238">
        <v>425869.78</v>
      </c>
      <c r="P238" s="43">
        <f t="shared" si="6"/>
        <v>641939.41333381762</v>
      </c>
      <c r="Q238" s="43">
        <f t="shared" si="7"/>
        <v>21323735.901405603</v>
      </c>
    </row>
    <row r="239" spans="1:17" x14ac:dyDescent="0.35">
      <c r="A239" s="172">
        <v>42119</v>
      </c>
      <c r="B239" t="s">
        <v>23</v>
      </c>
      <c r="C239">
        <v>2313360</v>
      </c>
      <c r="D239">
        <v>77545678.036999986</v>
      </c>
      <c r="E239">
        <v>642600.00000051409</v>
      </c>
      <c r="F239">
        <v>21540466.121406116</v>
      </c>
      <c r="I239" s="174">
        <v>42119</v>
      </c>
      <c r="J239" t="s">
        <v>23</v>
      </c>
      <c r="K239">
        <v>146162.9</v>
      </c>
      <c r="L239">
        <v>1679294.1</v>
      </c>
      <c r="M239">
        <v>40600.81</v>
      </c>
      <c r="N239">
        <v>466470.59</v>
      </c>
      <c r="P239" s="43">
        <f t="shared" si="6"/>
        <v>683200.81000051415</v>
      </c>
      <c r="Q239" s="43">
        <f t="shared" si="7"/>
        <v>22006936.711406115</v>
      </c>
    </row>
    <row r="240" spans="1:17" x14ac:dyDescent="0.35">
      <c r="A240" s="172">
        <v>42120</v>
      </c>
      <c r="B240" t="s">
        <v>23</v>
      </c>
      <c r="C240">
        <v>2335258.1581999999</v>
      </c>
      <c r="D240">
        <v>79880936.195199981</v>
      </c>
      <c r="E240">
        <v>648682.82172274112</v>
      </c>
      <c r="F240">
        <v>22189148.943128858</v>
      </c>
      <c r="I240" s="174">
        <v>42120</v>
      </c>
      <c r="J240" t="s">
        <v>23</v>
      </c>
      <c r="K240">
        <v>147075.9</v>
      </c>
      <c r="L240">
        <v>1826370</v>
      </c>
      <c r="M240">
        <v>40854.42</v>
      </c>
      <c r="N240">
        <v>507325.01</v>
      </c>
      <c r="P240" s="43">
        <f t="shared" si="6"/>
        <v>689537.24172274116</v>
      </c>
      <c r="Q240" s="43">
        <f t="shared" si="7"/>
        <v>22696473.953128859</v>
      </c>
    </row>
    <row r="241" spans="1:17" x14ac:dyDescent="0.35">
      <c r="A241" s="172">
        <v>42121</v>
      </c>
      <c r="B241" t="s">
        <v>23</v>
      </c>
      <c r="C241">
        <v>1493840.1773000001</v>
      </c>
      <c r="D241">
        <v>81374776.372499987</v>
      </c>
      <c r="E241">
        <v>414955.60480588756</v>
      </c>
      <c r="F241">
        <v>22604104.547934748</v>
      </c>
      <c r="I241" s="174">
        <v>42121</v>
      </c>
      <c r="J241" t="s">
        <v>23</v>
      </c>
      <c r="K241">
        <v>159835.9</v>
      </c>
      <c r="L241">
        <v>1986205.9</v>
      </c>
      <c r="M241">
        <v>44398.86</v>
      </c>
      <c r="N241">
        <v>551723.87</v>
      </c>
      <c r="P241" s="43">
        <f t="shared" si="6"/>
        <v>459354.46480588755</v>
      </c>
      <c r="Q241" s="43">
        <f t="shared" si="7"/>
        <v>23155828.417934749</v>
      </c>
    </row>
    <row r="242" spans="1:17" x14ac:dyDescent="0.35">
      <c r="A242" s="172">
        <v>42122</v>
      </c>
      <c r="B242" t="s">
        <v>23</v>
      </c>
      <c r="C242">
        <v>2029085.1692000001</v>
      </c>
      <c r="D242">
        <v>83403861.541699991</v>
      </c>
      <c r="E242">
        <v>563634.76922267315</v>
      </c>
      <c r="F242">
        <v>23167739.317157421</v>
      </c>
      <c r="I242" s="174">
        <v>42122</v>
      </c>
      <c r="J242" t="s">
        <v>23</v>
      </c>
      <c r="K242">
        <v>160152</v>
      </c>
      <c r="L242">
        <v>2146357.9</v>
      </c>
      <c r="M242">
        <v>44486.67</v>
      </c>
      <c r="N242">
        <v>596210.54</v>
      </c>
      <c r="P242" s="43">
        <f t="shared" si="6"/>
        <v>608121.43922267319</v>
      </c>
      <c r="Q242" s="43">
        <f t="shared" si="7"/>
        <v>23763949.85715742</v>
      </c>
    </row>
    <row r="243" spans="1:17" x14ac:dyDescent="0.35">
      <c r="A243" s="172">
        <v>42123</v>
      </c>
      <c r="B243" t="s">
        <v>23</v>
      </c>
      <c r="C243">
        <v>2442168.2000000002</v>
      </c>
      <c r="D243">
        <v>85846029.741699994</v>
      </c>
      <c r="E243">
        <v>678380.05555609835</v>
      </c>
      <c r="F243">
        <v>23846119.372713521</v>
      </c>
      <c r="I243" s="174">
        <v>42123</v>
      </c>
      <c r="J243" t="s">
        <v>23</v>
      </c>
      <c r="K243">
        <v>143466.20000000001</v>
      </c>
      <c r="L243">
        <v>2289824.1</v>
      </c>
      <c r="M243">
        <v>39851.72</v>
      </c>
      <c r="N243">
        <v>636062.26</v>
      </c>
      <c r="P243" s="43">
        <f t="shared" si="6"/>
        <v>718231.77555609832</v>
      </c>
      <c r="Q243" s="43">
        <f t="shared" si="7"/>
        <v>24482181.632713523</v>
      </c>
    </row>
    <row r="244" spans="1:17" x14ac:dyDescent="0.35">
      <c r="A244" s="174">
        <v>42124</v>
      </c>
      <c r="B244" t="s">
        <v>23</v>
      </c>
      <c r="C244">
        <v>2657825.2000000002</v>
      </c>
      <c r="D244">
        <v>88503854.941699997</v>
      </c>
      <c r="E244">
        <v>738284.77777836844</v>
      </c>
      <c r="F244">
        <v>24584404.15049189</v>
      </c>
      <c r="I244" s="174">
        <v>42124</v>
      </c>
      <c r="J244" t="s">
        <v>23</v>
      </c>
      <c r="K244">
        <v>177099.3</v>
      </c>
      <c r="L244">
        <v>2466923.4</v>
      </c>
      <c r="M244">
        <v>49194.25</v>
      </c>
      <c r="N244">
        <v>685256.5</v>
      </c>
      <c r="P244" s="43">
        <f t="shared" si="6"/>
        <v>787479.02777836844</v>
      </c>
      <c r="Q244" s="43">
        <f t="shared" si="7"/>
        <v>25269660.65049189</v>
      </c>
    </row>
    <row r="245" spans="1:17" x14ac:dyDescent="0.35">
      <c r="A245" s="172">
        <v>42125</v>
      </c>
      <c r="B245" t="s">
        <v>23</v>
      </c>
      <c r="C245">
        <v>2690930.9</v>
      </c>
      <c r="D245">
        <v>91194785.841700003</v>
      </c>
      <c r="E245">
        <v>747480.80555615353</v>
      </c>
      <c r="F245">
        <v>25331884.956048045</v>
      </c>
      <c r="I245" s="174">
        <v>42125</v>
      </c>
      <c r="J245" t="s">
        <v>23</v>
      </c>
      <c r="K245">
        <v>175238.1</v>
      </c>
      <c r="L245">
        <v>2642161.5</v>
      </c>
      <c r="M245">
        <v>48677.25</v>
      </c>
      <c r="N245">
        <v>733933.75</v>
      </c>
      <c r="P245" s="43">
        <f t="shared" si="6"/>
        <v>796158.05555615353</v>
      </c>
      <c r="Q245" s="43">
        <f t="shared" si="7"/>
        <v>26065818.706048045</v>
      </c>
    </row>
    <row r="246" spans="1:17" x14ac:dyDescent="0.35">
      <c r="A246" s="172">
        <v>42126</v>
      </c>
      <c r="B246" t="s">
        <v>23</v>
      </c>
      <c r="C246">
        <v>2478502.4</v>
      </c>
      <c r="D246">
        <v>93673288.241700009</v>
      </c>
      <c r="E246">
        <v>688472.88888943964</v>
      </c>
      <c r="F246">
        <v>26020357.844937485</v>
      </c>
      <c r="I246" s="174">
        <v>42126</v>
      </c>
      <c r="J246" t="s">
        <v>23</v>
      </c>
      <c r="K246">
        <v>178042.2</v>
      </c>
      <c r="L246">
        <v>2820203.7</v>
      </c>
      <c r="M246">
        <v>49456.17</v>
      </c>
      <c r="N246">
        <v>783389.92</v>
      </c>
      <c r="P246" s="43">
        <f t="shared" si="6"/>
        <v>737929.05888943968</v>
      </c>
      <c r="Q246" s="43">
        <f t="shared" si="7"/>
        <v>26803747.764937486</v>
      </c>
    </row>
    <row r="247" spans="1:17" x14ac:dyDescent="0.35">
      <c r="A247" s="172">
        <v>42127</v>
      </c>
      <c r="B247" t="s">
        <v>23</v>
      </c>
      <c r="C247">
        <v>2373289.0006000004</v>
      </c>
      <c r="D247">
        <v>96046577.242300004</v>
      </c>
      <c r="E247">
        <v>659246.94461163867</v>
      </c>
      <c r="F247">
        <v>26679604.789549123</v>
      </c>
      <c r="I247" s="174">
        <v>42127</v>
      </c>
      <c r="J247" t="s">
        <v>23</v>
      </c>
      <c r="K247">
        <v>179017.7</v>
      </c>
      <c r="L247">
        <v>2999221.4</v>
      </c>
      <c r="M247">
        <v>49727.14</v>
      </c>
      <c r="N247">
        <v>833117.06</v>
      </c>
      <c r="P247" s="43">
        <f t="shared" si="6"/>
        <v>708974.08461163868</v>
      </c>
      <c r="Q247" s="43">
        <f t="shared" si="7"/>
        <v>27512721.849549122</v>
      </c>
    </row>
    <row r="248" spans="1:17" x14ac:dyDescent="0.35">
      <c r="A248" s="172">
        <v>42128</v>
      </c>
      <c r="B248" t="s">
        <v>23</v>
      </c>
      <c r="C248">
        <v>1508387.669</v>
      </c>
      <c r="D248">
        <v>97554964.911300004</v>
      </c>
      <c r="E248">
        <v>418996.57472255745</v>
      </c>
      <c r="F248">
        <v>27098601.364271682</v>
      </c>
      <c r="I248" s="174">
        <v>42128</v>
      </c>
      <c r="J248" t="s">
        <v>23</v>
      </c>
      <c r="K248">
        <v>179434.7</v>
      </c>
      <c r="L248">
        <v>3178656.1</v>
      </c>
      <c r="M248">
        <v>49842.97</v>
      </c>
      <c r="N248">
        <v>882960.03</v>
      </c>
      <c r="P248" s="43">
        <f t="shared" si="6"/>
        <v>468839.54472255742</v>
      </c>
      <c r="Q248" s="43">
        <f t="shared" si="7"/>
        <v>27981561.394271683</v>
      </c>
    </row>
    <row r="249" spans="1:17" x14ac:dyDescent="0.35">
      <c r="A249" s="172">
        <v>42129</v>
      </c>
      <c r="B249" t="s">
        <v>23</v>
      </c>
      <c r="C249">
        <v>1573160.1340000001</v>
      </c>
      <c r="D249">
        <v>99128125.045300007</v>
      </c>
      <c r="E249">
        <v>436988.92611146072</v>
      </c>
      <c r="F249">
        <v>27535590.290383141</v>
      </c>
      <c r="I249" s="174">
        <v>42129</v>
      </c>
      <c r="J249" t="s">
        <v>23</v>
      </c>
      <c r="K249">
        <v>147154</v>
      </c>
      <c r="L249">
        <v>3325810.1</v>
      </c>
      <c r="M249">
        <v>40876.11</v>
      </c>
      <c r="N249">
        <v>923836.14</v>
      </c>
      <c r="P249" s="43">
        <f t="shared" si="6"/>
        <v>477865.03611146071</v>
      </c>
      <c r="Q249" s="43">
        <f t="shared" si="7"/>
        <v>28459426.430383142</v>
      </c>
    </row>
    <row r="250" spans="1:17" x14ac:dyDescent="0.35">
      <c r="A250" s="172">
        <v>42130</v>
      </c>
      <c r="B250" t="s">
        <v>23</v>
      </c>
      <c r="C250">
        <v>1871855.5751</v>
      </c>
      <c r="D250">
        <v>100999980.62040001</v>
      </c>
      <c r="E250">
        <v>519959.88197263819</v>
      </c>
      <c r="F250">
        <v>28055550.172355782</v>
      </c>
      <c r="I250" s="174">
        <v>42130</v>
      </c>
      <c r="J250" t="s">
        <v>23</v>
      </c>
      <c r="K250">
        <v>145088.9</v>
      </c>
      <c r="L250">
        <v>3470899</v>
      </c>
      <c r="M250">
        <v>40302.47</v>
      </c>
      <c r="N250">
        <v>964138.61</v>
      </c>
      <c r="P250" s="43">
        <f t="shared" si="6"/>
        <v>560262.35197263816</v>
      </c>
      <c r="Q250" s="43">
        <f t="shared" si="7"/>
        <v>29019688.782355782</v>
      </c>
    </row>
    <row r="251" spans="1:17" x14ac:dyDescent="0.35">
      <c r="A251" s="172">
        <v>42131</v>
      </c>
      <c r="B251" t="s">
        <v>23</v>
      </c>
      <c r="C251">
        <v>2145984.2999999998</v>
      </c>
      <c r="D251">
        <v>103145964.92040001</v>
      </c>
      <c r="E251">
        <v>596106.75000047684</v>
      </c>
      <c r="F251">
        <v>28651656.922356255</v>
      </c>
      <c r="I251" s="174">
        <v>42131</v>
      </c>
      <c r="J251" t="s">
        <v>23</v>
      </c>
      <c r="K251">
        <v>144097.79999999999</v>
      </c>
      <c r="L251">
        <v>3614996.8</v>
      </c>
      <c r="M251">
        <v>40027.17</v>
      </c>
      <c r="N251">
        <v>1004165.78</v>
      </c>
      <c r="P251" s="43">
        <f t="shared" si="6"/>
        <v>636133.92000047688</v>
      </c>
      <c r="Q251" s="43">
        <f t="shared" si="7"/>
        <v>29655822.702356257</v>
      </c>
    </row>
    <row r="252" spans="1:17" x14ac:dyDescent="0.35">
      <c r="A252" s="172">
        <v>42132</v>
      </c>
      <c r="B252" t="s">
        <v>23</v>
      </c>
      <c r="C252">
        <v>2247379</v>
      </c>
      <c r="D252">
        <v>105393343.92040001</v>
      </c>
      <c r="E252">
        <v>624271.94444494392</v>
      </c>
      <c r="F252">
        <v>29275928.866801202</v>
      </c>
      <c r="I252" s="174">
        <v>42132</v>
      </c>
      <c r="J252" t="s">
        <v>23</v>
      </c>
      <c r="K252">
        <v>143461.70000000001</v>
      </c>
      <c r="L252">
        <v>3758458.5</v>
      </c>
      <c r="M252">
        <v>39850.47</v>
      </c>
      <c r="N252">
        <v>1044016.25</v>
      </c>
      <c r="P252" s="43">
        <f t="shared" si="6"/>
        <v>664122.41444494389</v>
      </c>
      <c r="Q252" s="43">
        <f t="shared" si="7"/>
        <v>30319945.116801202</v>
      </c>
    </row>
    <row r="253" spans="1:17" x14ac:dyDescent="0.35">
      <c r="A253" s="172">
        <v>42133</v>
      </c>
      <c r="B253" t="s">
        <v>23</v>
      </c>
      <c r="C253">
        <v>2850593.7</v>
      </c>
      <c r="D253">
        <v>108243937.62040001</v>
      </c>
      <c r="E253">
        <v>791831.5833339669</v>
      </c>
      <c r="F253">
        <v>30067760.450135168</v>
      </c>
      <c r="I253" s="174">
        <v>42133</v>
      </c>
      <c r="J253" t="s">
        <v>23</v>
      </c>
      <c r="K253">
        <v>179438.2</v>
      </c>
      <c r="L253">
        <v>3937896.7</v>
      </c>
      <c r="M253">
        <v>49843.94</v>
      </c>
      <c r="N253">
        <v>1093860.19</v>
      </c>
      <c r="P253" s="43">
        <f t="shared" si="6"/>
        <v>841675.52333396696</v>
      </c>
      <c r="Q253" s="43">
        <f t="shared" si="7"/>
        <v>31161620.640135169</v>
      </c>
    </row>
    <row r="254" spans="1:17" x14ac:dyDescent="0.35">
      <c r="A254" s="172">
        <v>42134</v>
      </c>
      <c r="B254" t="s">
        <v>23</v>
      </c>
      <c r="C254">
        <v>3050913.6923000002</v>
      </c>
      <c r="D254">
        <v>111294851.31270002</v>
      </c>
      <c r="E254">
        <v>847476.02563956694</v>
      </c>
      <c r="F254">
        <v>30915236.475774739</v>
      </c>
      <c r="I254" s="174">
        <v>42134</v>
      </c>
      <c r="J254" t="s">
        <v>23</v>
      </c>
      <c r="K254">
        <v>182047.1</v>
      </c>
      <c r="L254">
        <v>4119943.8</v>
      </c>
      <c r="M254">
        <v>50568.639999999999</v>
      </c>
      <c r="N254">
        <v>1144428.83</v>
      </c>
      <c r="P254" s="43">
        <f t="shared" si="6"/>
        <v>898044.66563956696</v>
      </c>
      <c r="Q254" s="43">
        <f t="shared" si="7"/>
        <v>32059665.305774741</v>
      </c>
    </row>
    <row r="255" spans="1:17" x14ac:dyDescent="0.35">
      <c r="A255" s="172">
        <v>42135</v>
      </c>
      <c r="B255" t="s">
        <v>23</v>
      </c>
      <c r="C255">
        <v>2700621.8229</v>
      </c>
      <c r="D255">
        <v>113995473.13560002</v>
      </c>
      <c r="E255">
        <v>750172.72858393344</v>
      </c>
      <c r="F255">
        <v>31665409.204358671</v>
      </c>
      <c r="I255" s="174">
        <v>42135</v>
      </c>
      <c r="J255" t="s">
        <v>23</v>
      </c>
      <c r="K255">
        <v>186404.8</v>
      </c>
      <c r="L255">
        <v>4306348.5999999996</v>
      </c>
      <c r="M255">
        <v>51779.11</v>
      </c>
      <c r="N255">
        <v>1196207.94</v>
      </c>
      <c r="P255" s="43">
        <f t="shared" si="6"/>
        <v>801951.83858393342</v>
      </c>
      <c r="Q255" s="43">
        <f t="shared" si="7"/>
        <v>32861617.144358672</v>
      </c>
    </row>
    <row r="256" spans="1:17" x14ac:dyDescent="0.35">
      <c r="A256" s="172">
        <v>42136</v>
      </c>
      <c r="B256" t="s">
        <v>23</v>
      </c>
      <c r="C256">
        <v>2440192.4056000002</v>
      </c>
      <c r="D256">
        <v>116435665.54120001</v>
      </c>
      <c r="E256">
        <v>677831.22377832013</v>
      </c>
      <c r="F256">
        <v>32343240.428136989</v>
      </c>
      <c r="I256" s="174">
        <v>42136</v>
      </c>
      <c r="J256" t="s">
        <v>23</v>
      </c>
      <c r="K256">
        <v>136033.5</v>
      </c>
      <c r="L256">
        <v>4442382.0999999996</v>
      </c>
      <c r="M256">
        <v>37787.08</v>
      </c>
      <c r="N256">
        <v>1233995.02</v>
      </c>
      <c r="P256" s="43">
        <f t="shared" si="6"/>
        <v>715618.30377832009</v>
      </c>
      <c r="Q256" s="43">
        <f t="shared" si="7"/>
        <v>33577235.448136993</v>
      </c>
    </row>
    <row r="257" spans="1:17" x14ac:dyDescent="0.35">
      <c r="A257" s="172">
        <v>42137</v>
      </c>
      <c r="B257" t="s">
        <v>23</v>
      </c>
      <c r="C257">
        <v>2199628.7648</v>
      </c>
      <c r="D257">
        <v>118635294.30600001</v>
      </c>
      <c r="E257">
        <v>611007.990222711</v>
      </c>
      <c r="F257">
        <v>32954248.418359701</v>
      </c>
      <c r="I257" s="174">
        <v>42137</v>
      </c>
      <c r="J257" t="s">
        <v>23</v>
      </c>
      <c r="K257">
        <v>124574.1</v>
      </c>
      <c r="L257">
        <v>4566956.2</v>
      </c>
      <c r="M257">
        <v>34603.919999999998</v>
      </c>
      <c r="N257">
        <v>1268598.94</v>
      </c>
      <c r="P257" s="43">
        <f t="shared" si="6"/>
        <v>645611.91022271104</v>
      </c>
      <c r="Q257" s="43">
        <f t="shared" si="7"/>
        <v>34222847.358359702</v>
      </c>
    </row>
    <row r="258" spans="1:17" x14ac:dyDescent="0.35">
      <c r="A258" s="172">
        <v>42138</v>
      </c>
      <c r="B258" t="s">
        <v>23</v>
      </c>
      <c r="C258">
        <v>2380379.1</v>
      </c>
      <c r="D258">
        <v>121015673.406</v>
      </c>
      <c r="E258">
        <v>661216.41666719562</v>
      </c>
      <c r="F258">
        <v>33615464.83502689</v>
      </c>
      <c r="I258" s="174">
        <v>42138</v>
      </c>
      <c r="J258" t="s">
        <v>23</v>
      </c>
      <c r="K258">
        <v>124715.8</v>
      </c>
      <c r="L258">
        <v>4691672</v>
      </c>
      <c r="M258">
        <v>34643.279999999999</v>
      </c>
      <c r="N258">
        <v>1303242.22</v>
      </c>
      <c r="P258" s="43">
        <f t="shared" ref="P258:P283" si="8">M258+E258</f>
        <v>695859.69666719565</v>
      </c>
      <c r="Q258" s="43">
        <f t="shared" ref="Q258:Q283" si="9">N258+F258</f>
        <v>34918707.055026889</v>
      </c>
    </row>
    <row r="259" spans="1:17" x14ac:dyDescent="0.35">
      <c r="A259" s="172">
        <v>42139</v>
      </c>
      <c r="B259" t="s">
        <v>23</v>
      </c>
      <c r="C259">
        <v>2504539.7999999998</v>
      </c>
      <c r="D259">
        <v>123520213.206</v>
      </c>
      <c r="E259">
        <v>695705.50000055647</v>
      </c>
      <c r="F259">
        <v>34311170.335027449</v>
      </c>
      <c r="I259" s="174">
        <v>42139</v>
      </c>
      <c r="J259" t="s">
        <v>23</v>
      </c>
      <c r="K259">
        <v>108198.8</v>
      </c>
      <c r="L259">
        <v>4799870.8</v>
      </c>
      <c r="M259">
        <v>30055.22</v>
      </c>
      <c r="N259">
        <v>1333297.44</v>
      </c>
      <c r="P259" s="43">
        <f t="shared" si="8"/>
        <v>725760.72000055644</v>
      </c>
      <c r="Q259" s="43">
        <f t="shared" si="9"/>
        <v>35644467.775027446</v>
      </c>
    </row>
    <row r="260" spans="1:17" x14ac:dyDescent="0.35">
      <c r="A260" s="172">
        <v>42140</v>
      </c>
      <c r="B260" t="s">
        <v>23</v>
      </c>
      <c r="C260">
        <v>2611644.1</v>
      </c>
      <c r="D260">
        <v>126131857.30599999</v>
      </c>
      <c r="E260">
        <v>725456.69444502483</v>
      </c>
      <c r="F260">
        <v>35036627.02947247</v>
      </c>
      <c r="I260" s="174">
        <v>42140</v>
      </c>
      <c r="J260" t="s">
        <v>23</v>
      </c>
      <c r="K260">
        <v>136532.6</v>
      </c>
      <c r="L260">
        <v>4936403.4000000004</v>
      </c>
      <c r="M260">
        <v>37925.72</v>
      </c>
      <c r="N260">
        <v>1371223.16</v>
      </c>
      <c r="P260" s="43">
        <f t="shared" si="8"/>
        <v>763382.4144450248</v>
      </c>
      <c r="Q260" s="43">
        <f t="shared" si="9"/>
        <v>36407850.189472467</v>
      </c>
    </row>
    <row r="261" spans="1:17" x14ac:dyDescent="0.35">
      <c r="A261" s="172">
        <v>42141</v>
      </c>
      <c r="B261" t="s">
        <v>23</v>
      </c>
      <c r="C261">
        <v>2945921.6840000004</v>
      </c>
      <c r="D261">
        <v>129077778.98999999</v>
      </c>
      <c r="E261">
        <v>818311.57888954366</v>
      </c>
      <c r="F261">
        <v>35854938.608362019</v>
      </c>
      <c r="I261" s="174">
        <v>42141</v>
      </c>
      <c r="J261" t="s">
        <v>23</v>
      </c>
      <c r="K261">
        <v>136389</v>
      </c>
      <c r="L261">
        <v>5072792.4000000004</v>
      </c>
      <c r="M261">
        <v>37885.83</v>
      </c>
      <c r="N261">
        <v>1409108.99</v>
      </c>
      <c r="P261" s="43">
        <f t="shared" si="8"/>
        <v>856197.40888954361</v>
      </c>
      <c r="Q261" s="43">
        <f t="shared" si="9"/>
        <v>37264047.598362021</v>
      </c>
    </row>
    <row r="262" spans="1:17" x14ac:dyDescent="0.35">
      <c r="A262" s="172">
        <v>42142</v>
      </c>
      <c r="B262" t="s">
        <v>23</v>
      </c>
      <c r="C262">
        <v>2650666.6902000001</v>
      </c>
      <c r="D262">
        <v>131728445.6802</v>
      </c>
      <c r="E262">
        <v>736296.30283392244</v>
      </c>
      <c r="F262">
        <v>36591234.911195941</v>
      </c>
      <c r="I262" s="174">
        <v>42142</v>
      </c>
      <c r="J262" t="s">
        <v>23</v>
      </c>
      <c r="K262">
        <v>127340</v>
      </c>
      <c r="L262">
        <v>5200132.4000000004</v>
      </c>
      <c r="M262">
        <v>35372.22</v>
      </c>
      <c r="N262">
        <v>1444481.21</v>
      </c>
      <c r="P262" s="43">
        <f t="shared" si="8"/>
        <v>771668.52283392241</v>
      </c>
      <c r="Q262" s="43">
        <f t="shared" si="9"/>
        <v>38035716.121195942</v>
      </c>
    </row>
    <row r="263" spans="1:17" x14ac:dyDescent="0.35">
      <c r="A263" s="172">
        <v>42143</v>
      </c>
      <c r="B263" t="s">
        <v>23</v>
      </c>
      <c r="C263">
        <v>2122805.9872999997</v>
      </c>
      <c r="D263">
        <v>133851251.66749999</v>
      </c>
      <c r="E263">
        <v>589668.32980602724</v>
      </c>
      <c r="F263">
        <v>37180903.241001964</v>
      </c>
      <c r="I263" s="174">
        <v>42143</v>
      </c>
      <c r="J263" t="s">
        <v>23</v>
      </c>
      <c r="K263">
        <v>78695</v>
      </c>
      <c r="L263">
        <v>5278827.4000000004</v>
      </c>
      <c r="M263">
        <v>21859.72</v>
      </c>
      <c r="N263">
        <v>1466340.93</v>
      </c>
      <c r="P263" s="43">
        <f t="shared" si="8"/>
        <v>611528.04980602721</v>
      </c>
      <c r="Q263" s="43">
        <f t="shared" si="9"/>
        <v>38647244.171001963</v>
      </c>
    </row>
    <row r="264" spans="1:17" x14ac:dyDescent="0.35">
      <c r="A264" s="172">
        <v>42144</v>
      </c>
      <c r="B264" t="s">
        <v>23</v>
      </c>
      <c r="C264">
        <v>2242059.2741</v>
      </c>
      <c r="D264">
        <v>136093310.94159999</v>
      </c>
      <c r="E264">
        <v>622794.24280605384</v>
      </c>
      <c r="F264">
        <v>37803697.483808018</v>
      </c>
      <c r="I264" s="174">
        <v>42144</v>
      </c>
      <c r="J264" t="s">
        <v>23</v>
      </c>
      <c r="K264">
        <v>78476</v>
      </c>
      <c r="L264">
        <v>5357303.4000000004</v>
      </c>
      <c r="M264">
        <v>21798.89</v>
      </c>
      <c r="N264">
        <v>1488139.82</v>
      </c>
      <c r="P264" s="43">
        <f t="shared" si="8"/>
        <v>644593.13280605385</v>
      </c>
      <c r="Q264" s="43">
        <f t="shared" si="9"/>
        <v>39291837.303808019</v>
      </c>
    </row>
    <row r="265" spans="1:17" x14ac:dyDescent="0.35">
      <c r="A265" s="172">
        <v>42145</v>
      </c>
      <c r="B265" t="s">
        <v>23</v>
      </c>
      <c r="C265">
        <v>2183316.2999999998</v>
      </c>
      <c r="D265">
        <v>138276627.24160001</v>
      </c>
      <c r="E265">
        <v>606476.7500004851</v>
      </c>
      <c r="F265">
        <v>38410174.23380851</v>
      </c>
      <c r="I265" s="174">
        <v>42145</v>
      </c>
      <c r="J265" t="s">
        <v>23</v>
      </c>
      <c r="K265">
        <v>74866</v>
      </c>
      <c r="L265">
        <v>5432169.4000000004</v>
      </c>
      <c r="M265">
        <v>20796.11</v>
      </c>
      <c r="N265">
        <v>1508935.93</v>
      </c>
      <c r="P265" s="43">
        <f t="shared" si="8"/>
        <v>627272.86000048509</v>
      </c>
      <c r="Q265" s="43">
        <f t="shared" si="9"/>
        <v>39919110.16380851</v>
      </c>
    </row>
    <row r="266" spans="1:17" x14ac:dyDescent="0.35">
      <c r="A266" s="172">
        <v>42146</v>
      </c>
      <c r="B266" t="s">
        <v>23</v>
      </c>
      <c r="C266">
        <v>2257657.9</v>
      </c>
      <c r="D266">
        <v>140534285.14160001</v>
      </c>
      <c r="E266">
        <v>627127.19444494613</v>
      </c>
      <c r="F266">
        <v>39037301.428253457</v>
      </c>
      <c r="I266" s="174">
        <v>42146</v>
      </c>
      <c r="J266" t="s">
        <v>23</v>
      </c>
      <c r="K266">
        <v>97121</v>
      </c>
      <c r="L266">
        <v>5529290.4000000004</v>
      </c>
      <c r="M266">
        <v>26978.06</v>
      </c>
      <c r="N266">
        <v>1535913.99</v>
      </c>
      <c r="P266" s="43">
        <f t="shared" si="8"/>
        <v>654105.25444494619</v>
      </c>
      <c r="Q266" s="43">
        <f t="shared" si="9"/>
        <v>40573215.418253459</v>
      </c>
    </row>
    <row r="267" spans="1:17" x14ac:dyDescent="0.35">
      <c r="A267" s="172">
        <v>42147</v>
      </c>
      <c r="B267" t="s">
        <v>23</v>
      </c>
      <c r="C267">
        <v>2768042.5</v>
      </c>
      <c r="D267">
        <v>143302327.64160001</v>
      </c>
      <c r="E267">
        <v>768900.69444505952</v>
      </c>
      <c r="F267">
        <v>39806202.122698516</v>
      </c>
      <c r="I267" s="174">
        <v>42147</v>
      </c>
      <c r="J267" t="s">
        <v>23</v>
      </c>
      <c r="K267">
        <v>163413</v>
      </c>
      <c r="L267">
        <v>5692703.4000000004</v>
      </c>
      <c r="M267">
        <v>45392.5</v>
      </c>
      <c r="N267">
        <v>1581306.49</v>
      </c>
      <c r="P267" s="43">
        <f t="shared" si="8"/>
        <v>814293.19444505952</v>
      </c>
      <c r="Q267" s="43">
        <f t="shared" si="9"/>
        <v>41387508.612698518</v>
      </c>
    </row>
    <row r="268" spans="1:17" x14ac:dyDescent="0.35">
      <c r="A268" s="172">
        <v>42148</v>
      </c>
      <c r="B268" t="s">
        <v>23</v>
      </c>
      <c r="C268">
        <v>2793090.9458999997</v>
      </c>
      <c r="D268">
        <v>146095418.58750001</v>
      </c>
      <c r="E268">
        <v>775858.59608395398</v>
      </c>
      <c r="F268">
        <v>40582060.71878247</v>
      </c>
      <c r="I268" s="174">
        <v>42148</v>
      </c>
      <c r="J268" t="s">
        <v>23</v>
      </c>
      <c r="K268">
        <v>167181</v>
      </c>
      <c r="L268">
        <v>5859884.4000000004</v>
      </c>
      <c r="M268">
        <v>46439.17</v>
      </c>
      <c r="N268">
        <v>1627745.66</v>
      </c>
      <c r="P268" s="43">
        <f t="shared" si="8"/>
        <v>822297.76608395402</v>
      </c>
      <c r="Q268" s="43">
        <f t="shared" si="9"/>
        <v>42209806.378782466</v>
      </c>
    </row>
    <row r="269" spans="1:17" x14ac:dyDescent="0.35">
      <c r="A269" s="172">
        <v>42149</v>
      </c>
      <c r="B269" t="s">
        <v>23</v>
      </c>
      <c r="C269">
        <v>2807989.65</v>
      </c>
      <c r="D269">
        <v>148903408.23750001</v>
      </c>
      <c r="E269">
        <v>779997.12500062399</v>
      </c>
      <c r="F269">
        <v>41362057.843783095</v>
      </c>
      <c r="I269" s="174">
        <v>42149</v>
      </c>
      <c r="J269" t="s">
        <v>23</v>
      </c>
      <c r="K269">
        <v>89424</v>
      </c>
      <c r="L269">
        <v>5949308.4000000004</v>
      </c>
      <c r="M269">
        <v>24840</v>
      </c>
      <c r="N269">
        <v>1652585.66</v>
      </c>
      <c r="P269" s="43">
        <f t="shared" si="8"/>
        <v>804837.12500062399</v>
      </c>
      <c r="Q269" s="43">
        <f t="shared" si="9"/>
        <v>43014643.503783092</v>
      </c>
    </row>
    <row r="270" spans="1:17" x14ac:dyDescent="0.35">
      <c r="A270" s="172">
        <v>42150</v>
      </c>
      <c r="B270" t="s">
        <v>23</v>
      </c>
      <c r="C270">
        <v>2566854.6139000002</v>
      </c>
      <c r="D270">
        <v>151470262.85140002</v>
      </c>
      <c r="E270">
        <v>713015.1705283483</v>
      </c>
      <c r="F270">
        <v>42075073.01431144</v>
      </c>
      <c r="I270" s="174">
        <v>42150</v>
      </c>
      <c r="J270" t="s">
        <v>23</v>
      </c>
      <c r="K270">
        <v>100994</v>
      </c>
      <c r="L270">
        <v>6050302.4000000004</v>
      </c>
      <c r="M270">
        <v>28053.89</v>
      </c>
      <c r="N270">
        <v>1680639.55</v>
      </c>
      <c r="P270" s="43">
        <f t="shared" si="8"/>
        <v>741069.06052834832</v>
      </c>
      <c r="Q270" s="43">
        <f t="shared" si="9"/>
        <v>43755712.564311437</v>
      </c>
    </row>
    <row r="271" spans="1:17" x14ac:dyDescent="0.35">
      <c r="A271" s="172">
        <v>42151</v>
      </c>
      <c r="B271" t="s">
        <v>23</v>
      </c>
      <c r="C271">
        <v>2533086.5682000001</v>
      </c>
      <c r="D271">
        <v>154003349.41960001</v>
      </c>
      <c r="E271">
        <v>703635.15783389623</v>
      </c>
      <c r="F271">
        <v>42778708.172145337</v>
      </c>
      <c r="I271" s="174">
        <v>42151</v>
      </c>
      <c r="J271" t="s">
        <v>23</v>
      </c>
      <c r="K271">
        <v>102653</v>
      </c>
      <c r="L271">
        <v>6152955.4000000004</v>
      </c>
      <c r="M271">
        <v>28514.720000000001</v>
      </c>
      <c r="N271">
        <v>1709154.27</v>
      </c>
      <c r="P271" s="43">
        <f t="shared" si="8"/>
        <v>732149.8778338962</v>
      </c>
      <c r="Q271" s="43">
        <f t="shared" si="9"/>
        <v>44487862.44214534</v>
      </c>
    </row>
    <row r="272" spans="1:17" x14ac:dyDescent="0.35">
      <c r="A272" s="172">
        <v>42152</v>
      </c>
      <c r="B272" t="s">
        <v>23</v>
      </c>
      <c r="I272" s="174">
        <v>42152</v>
      </c>
      <c r="J272" t="s">
        <v>23</v>
      </c>
      <c r="K272">
        <v>0</v>
      </c>
      <c r="L272">
        <v>6152955.4000000004</v>
      </c>
      <c r="M272">
        <v>0</v>
      </c>
      <c r="N272">
        <v>1709154.27</v>
      </c>
      <c r="P272" s="43">
        <f t="shared" si="8"/>
        <v>0</v>
      </c>
      <c r="Q272" s="43">
        <f t="shared" si="9"/>
        <v>1709154.27</v>
      </c>
    </row>
    <row r="273" spans="1:17" x14ac:dyDescent="0.35">
      <c r="A273" s="172">
        <v>42153</v>
      </c>
      <c r="B273" t="s">
        <v>23</v>
      </c>
      <c r="I273" s="174">
        <v>42153</v>
      </c>
      <c r="J273" t="s">
        <v>23</v>
      </c>
      <c r="K273">
        <v>0</v>
      </c>
      <c r="L273">
        <v>6152955.4000000004</v>
      </c>
      <c r="M273">
        <v>0</v>
      </c>
      <c r="N273">
        <v>1709154.27</v>
      </c>
      <c r="P273" s="43">
        <f t="shared" si="8"/>
        <v>0</v>
      </c>
      <c r="Q273" s="43">
        <f t="shared" si="9"/>
        <v>1709154.27</v>
      </c>
    </row>
    <row r="274" spans="1:17" x14ac:dyDescent="0.35">
      <c r="A274" s="172">
        <v>42154</v>
      </c>
      <c r="B274" t="s">
        <v>23</v>
      </c>
      <c r="I274" s="174">
        <v>42154</v>
      </c>
      <c r="J274" t="s">
        <v>23</v>
      </c>
      <c r="K274">
        <v>0</v>
      </c>
      <c r="L274">
        <v>6152955.4000000004</v>
      </c>
      <c r="M274">
        <v>0</v>
      </c>
      <c r="N274">
        <v>1709154.27</v>
      </c>
      <c r="P274" s="43">
        <f t="shared" si="8"/>
        <v>0</v>
      </c>
      <c r="Q274" s="43">
        <f t="shared" si="9"/>
        <v>1709154.27</v>
      </c>
    </row>
    <row r="275" spans="1:17" x14ac:dyDescent="0.35">
      <c r="A275" s="174">
        <v>42155</v>
      </c>
      <c r="B275" t="s">
        <v>23</v>
      </c>
      <c r="C275">
        <v>2740694.4</v>
      </c>
      <c r="D275">
        <v>164624904.0196</v>
      </c>
      <c r="E275">
        <v>761304.00000060897</v>
      </c>
      <c r="F275">
        <v>45729140.005481027</v>
      </c>
      <c r="I275" s="174">
        <v>42155</v>
      </c>
      <c r="J275" t="s">
        <v>23</v>
      </c>
      <c r="K275">
        <v>162642</v>
      </c>
      <c r="L275">
        <v>6678767.4000000004</v>
      </c>
      <c r="M275">
        <v>45178.33</v>
      </c>
      <c r="N275">
        <v>1855213.17</v>
      </c>
      <c r="P275" s="43">
        <f t="shared" si="8"/>
        <v>806482.33000060893</v>
      </c>
      <c r="Q275" s="43">
        <f t="shared" si="9"/>
        <v>47584353.175481029</v>
      </c>
    </row>
    <row r="276" spans="1:17" x14ac:dyDescent="0.35">
      <c r="A276" s="172">
        <v>42156</v>
      </c>
      <c r="B276" t="s">
        <v>23</v>
      </c>
      <c r="C276">
        <v>2518125.2000000002</v>
      </c>
      <c r="D276">
        <v>167143029.21959999</v>
      </c>
      <c r="E276">
        <v>699479.22222278186</v>
      </c>
      <c r="F276">
        <v>46428619.22770381</v>
      </c>
      <c r="I276" s="174">
        <v>42156</v>
      </c>
      <c r="J276" t="s">
        <v>23</v>
      </c>
      <c r="K276">
        <v>139493</v>
      </c>
      <c r="L276">
        <v>6818260.4000000004</v>
      </c>
      <c r="M276">
        <v>38748.06</v>
      </c>
      <c r="N276">
        <v>1893961.23</v>
      </c>
      <c r="P276" s="43">
        <f t="shared" si="8"/>
        <v>738227.2822227818</v>
      </c>
      <c r="Q276" s="43">
        <f t="shared" si="9"/>
        <v>48322580.457703806</v>
      </c>
    </row>
    <row r="277" spans="1:17" x14ac:dyDescent="0.35">
      <c r="A277" s="172">
        <v>42157</v>
      </c>
      <c r="B277" t="s">
        <v>23</v>
      </c>
      <c r="C277">
        <v>2659505.142</v>
      </c>
      <c r="D277">
        <v>169802534.36159998</v>
      </c>
      <c r="E277">
        <v>738751.42833392438</v>
      </c>
      <c r="F277">
        <v>47167370.656037726</v>
      </c>
      <c r="I277" s="174">
        <v>42157</v>
      </c>
      <c r="J277" t="s">
        <v>23</v>
      </c>
      <c r="K277">
        <v>165755</v>
      </c>
      <c r="L277">
        <v>6984015.4000000004</v>
      </c>
      <c r="M277">
        <v>46043.06</v>
      </c>
      <c r="N277">
        <v>1940004.29</v>
      </c>
      <c r="P277" s="43">
        <f t="shared" si="8"/>
        <v>784794.48833392444</v>
      </c>
      <c r="Q277" s="43">
        <f t="shared" si="9"/>
        <v>49107374.946037725</v>
      </c>
    </row>
    <row r="278" spans="1:17" x14ac:dyDescent="0.35">
      <c r="A278" s="172">
        <v>42158</v>
      </c>
      <c r="B278" t="s">
        <v>23</v>
      </c>
      <c r="C278">
        <v>1594813.3805</v>
      </c>
      <c r="D278">
        <v>171397347.74209997</v>
      </c>
      <c r="E278">
        <v>443003.71680590993</v>
      </c>
      <c r="F278">
        <v>47610374.372843638</v>
      </c>
      <c r="I278" s="174">
        <v>42158</v>
      </c>
      <c r="J278" t="s">
        <v>23</v>
      </c>
      <c r="K278">
        <v>134864</v>
      </c>
      <c r="L278">
        <v>7118879.4000000004</v>
      </c>
      <c r="M278">
        <v>37462.22</v>
      </c>
      <c r="N278">
        <v>1977466.51</v>
      </c>
      <c r="P278" s="43">
        <f t="shared" si="8"/>
        <v>480465.93680590997</v>
      </c>
      <c r="Q278" s="43">
        <f t="shared" si="9"/>
        <v>49587840.882843636</v>
      </c>
    </row>
    <row r="279" spans="1:17" x14ac:dyDescent="0.35">
      <c r="A279" s="172">
        <v>42159</v>
      </c>
      <c r="B279" t="s">
        <v>23</v>
      </c>
      <c r="C279">
        <v>1754204.7</v>
      </c>
      <c r="D279">
        <v>173151552.44209996</v>
      </c>
      <c r="E279">
        <v>487279.08333372313</v>
      </c>
      <c r="F279">
        <v>48097653.456177354</v>
      </c>
      <c r="I279" s="174">
        <v>42159</v>
      </c>
      <c r="J279" t="s">
        <v>23</v>
      </c>
      <c r="K279">
        <v>121844.8</v>
      </c>
      <c r="L279">
        <v>7240724.2000000002</v>
      </c>
      <c r="M279">
        <v>33845.78</v>
      </c>
      <c r="N279">
        <v>2011312.29</v>
      </c>
      <c r="P279" s="43">
        <f t="shared" si="8"/>
        <v>521124.86333372316</v>
      </c>
      <c r="Q279" s="43">
        <f t="shared" si="9"/>
        <v>50108965.746177353</v>
      </c>
    </row>
    <row r="280" spans="1:17" x14ac:dyDescent="0.35">
      <c r="A280" s="172">
        <v>42160</v>
      </c>
      <c r="B280" t="s">
        <v>23</v>
      </c>
      <c r="C280">
        <v>2084601.4</v>
      </c>
      <c r="D280">
        <v>175236153.84209996</v>
      </c>
      <c r="E280">
        <v>579055.94444490771</v>
      </c>
      <c r="F280">
        <v>48676709.400622264</v>
      </c>
      <c r="I280" s="174">
        <v>42160</v>
      </c>
      <c r="J280" t="s">
        <v>23</v>
      </c>
      <c r="K280">
        <v>127349.4</v>
      </c>
      <c r="L280">
        <v>7368073.5999999996</v>
      </c>
      <c r="M280">
        <v>35374.83</v>
      </c>
      <c r="N280">
        <v>2046687.12</v>
      </c>
      <c r="P280" s="43">
        <f t="shared" si="8"/>
        <v>614430.77444490767</v>
      </c>
      <c r="Q280" s="43">
        <f t="shared" si="9"/>
        <v>50723396.520622261</v>
      </c>
    </row>
    <row r="281" spans="1:17" x14ac:dyDescent="0.35">
      <c r="A281" s="172">
        <v>42161</v>
      </c>
      <c r="B281" t="s">
        <v>23</v>
      </c>
      <c r="C281">
        <v>2398850</v>
      </c>
      <c r="D281">
        <v>177635003.84209996</v>
      </c>
      <c r="E281">
        <v>666347.22222275531</v>
      </c>
      <c r="F281">
        <v>49343056.622845024</v>
      </c>
      <c r="I281" s="174">
        <v>42161</v>
      </c>
      <c r="J281" t="s">
        <v>23</v>
      </c>
      <c r="K281">
        <v>172232.69999999998</v>
      </c>
      <c r="L281">
        <v>7540306.2999999998</v>
      </c>
      <c r="M281">
        <v>47842.42</v>
      </c>
      <c r="N281">
        <v>2094529.54</v>
      </c>
      <c r="P281" s="43">
        <f t="shared" si="8"/>
        <v>714189.64222275536</v>
      </c>
      <c r="Q281" s="43">
        <f t="shared" si="9"/>
        <v>51437586.162845023</v>
      </c>
    </row>
    <row r="282" spans="1:17" x14ac:dyDescent="0.35">
      <c r="A282" s="172">
        <v>42162</v>
      </c>
      <c r="B282" t="s">
        <v>23</v>
      </c>
      <c r="C282">
        <v>2616040.9884000001</v>
      </c>
      <c r="D282">
        <v>180251044.83049998</v>
      </c>
      <c r="E282">
        <v>726678.05233391467</v>
      </c>
      <c r="F282">
        <v>50069734.675178938</v>
      </c>
      <c r="I282" s="174">
        <v>42162</v>
      </c>
      <c r="J282" t="s">
        <v>23</v>
      </c>
      <c r="K282">
        <v>179607.30000000002</v>
      </c>
      <c r="L282">
        <v>7719913.5999999996</v>
      </c>
      <c r="M282">
        <v>49890.92</v>
      </c>
      <c r="N282">
        <v>2144420.46</v>
      </c>
      <c r="P282" s="43">
        <f t="shared" si="8"/>
        <v>776568.97233391472</v>
      </c>
      <c r="Q282" s="43">
        <f t="shared" si="9"/>
        <v>52214155.135178939</v>
      </c>
    </row>
    <row r="283" spans="1:17" x14ac:dyDescent="0.35">
      <c r="A283" s="172">
        <v>42163</v>
      </c>
      <c r="B283" t="s">
        <v>23</v>
      </c>
      <c r="C283">
        <v>1921377.0372000001</v>
      </c>
      <c r="D283">
        <v>182172421.86769998</v>
      </c>
      <c r="E283">
        <v>533715.84366709366</v>
      </c>
      <c r="F283">
        <v>50603450.518846035</v>
      </c>
      <c r="I283" s="174">
        <v>42163</v>
      </c>
      <c r="J283" t="s">
        <v>23</v>
      </c>
      <c r="K283">
        <v>161535.30000000002</v>
      </c>
      <c r="L283">
        <v>7881448.9000000004</v>
      </c>
      <c r="M283">
        <v>44870.92</v>
      </c>
      <c r="N283">
        <v>2189291.38</v>
      </c>
      <c r="P283" s="43">
        <f t="shared" si="8"/>
        <v>578586.76366709371</v>
      </c>
      <c r="Q283" s="43">
        <f t="shared" si="9"/>
        <v>52792741.898846038</v>
      </c>
    </row>
    <row r="284" spans="1:17" x14ac:dyDescent="0.35">
      <c r="A284" s="172">
        <v>42164</v>
      </c>
      <c r="B284" t="s">
        <v>23</v>
      </c>
      <c r="I284" s="174">
        <v>42164</v>
      </c>
      <c r="J284" t="s">
        <v>23</v>
      </c>
      <c r="K284">
        <v>0</v>
      </c>
      <c r="L284">
        <v>7881448.9000000004</v>
      </c>
      <c r="M284">
        <v>0</v>
      </c>
      <c r="N284">
        <v>2189291.38</v>
      </c>
    </row>
    <row r="285" spans="1:17" x14ac:dyDescent="0.35">
      <c r="A285" s="172">
        <v>42165</v>
      </c>
      <c r="B285" t="s">
        <v>23</v>
      </c>
      <c r="I285" s="174">
        <v>42165</v>
      </c>
      <c r="J285" t="s">
        <v>23</v>
      </c>
      <c r="K285">
        <v>0</v>
      </c>
      <c r="L285">
        <v>7881448.9000000004</v>
      </c>
      <c r="M285">
        <v>0</v>
      </c>
      <c r="N285">
        <v>2189291.38</v>
      </c>
    </row>
    <row r="286" spans="1:17" x14ac:dyDescent="0.35">
      <c r="A286" s="172">
        <v>42166</v>
      </c>
      <c r="B286" t="s">
        <v>23</v>
      </c>
      <c r="I286" s="174">
        <v>42166</v>
      </c>
      <c r="J286" t="s">
        <v>23</v>
      </c>
      <c r="K286">
        <v>0</v>
      </c>
      <c r="L286">
        <v>7881448.9000000004</v>
      </c>
      <c r="M286">
        <v>0</v>
      </c>
      <c r="N286">
        <v>2189291.38</v>
      </c>
    </row>
    <row r="287" spans="1:17" x14ac:dyDescent="0.35">
      <c r="A287" s="172">
        <v>42167</v>
      </c>
      <c r="B287" t="s">
        <v>23</v>
      </c>
      <c r="I287" s="174">
        <v>42167</v>
      </c>
      <c r="J287" t="s">
        <v>23</v>
      </c>
      <c r="K287">
        <v>0</v>
      </c>
      <c r="L287">
        <v>7881448.9000000004</v>
      </c>
      <c r="M287">
        <v>0</v>
      </c>
      <c r="N287">
        <v>2189291.38</v>
      </c>
    </row>
    <row r="288" spans="1:17" x14ac:dyDescent="0.35">
      <c r="A288" s="172">
        <v>42168</v>
      </c>
      <c r="B288" t="s">
        <v>23</v>
      </c>
      <c r="I288" s="174">
        <v>42168</v>
      </c>
      <c r="J288" t="s">
        <v>23</v>
      </c>
      <c r="K288">
        <v>0</v>
      </c>
      <c r="L288">
        <v>7881448.9000000004</v>
      </c>
      <c r="M288">
        <v>0</v>
      </c>
      <c r="N288">
        <v>2189291.38</v>
      </c>
    </row>
    <row r="289" spans="1:14" x14ac:dyDescent="0.35">
      <c r="A289" s="172">
        <v>42169</v>
      </c>
      <c r="B289" t="s">
        <v>23</v>
      </c>
      <c r="I289" s="174">
        <v>42169</v>
      </c>
      <c r="J289" t="s">
        <v>23</v>
      </c>
      <c r="K289">
        <v>0</v>
      </c>
      <c r="L289">
        <v>7881448.9000000004</v>
      </c>
      <c r="M289">
        <v>0</v>
      </c>
      <c r="N289">
        <v>2189291.38</v>
      </c>
    </row>
    <row r="290" spans="1:14" x14ac:dyDescent="0.35">
      <c r="A290" s="172">
        <v>42170</v>
      </c>
      <c r="B290" t="s">
        <v>23</v>
      </c>
      <c r="I290" s="174">
        <v>42170</v>
      </c>
      <c r="J290" t="s">
        <v>23</v>
      </c>
      <c r="K290">
        <v>0</v>
      </c>
      <c r="L290">
        <v>7881448.9000000004</v>
      </c>
      <c r="M290">
        <v>0</v>
      </c>
      <c r="N290">
        <v>2189291.38</v>
      </c>
    </row>
    <row r="291" spans="1:14" x14ac:dyDescent="0.35">
      <c r="A291" s="172">
        <v>42171</v>
      </c>
      <c r="B291" t="s">
        <v>23</v>
      </c>
      <c r="I291" s="174">
        <v>42171</v>
      </c>
      <c r="J291" t="s">
        <v>23</v>
      </c>
      <c r="K291">
        <v>0</v>
      </c>
      <c r="L291">
        <v>7881448.9000000004</v>
      </c>
      <c r="M291">
        <v>0</v>
      </c>
      <c r="N291">
        <v>2189291.38</v>
      </c>
    </row>
    <row r="292" spans="1:14" x14ac:dyDescent="0.35">
      <c r="A292" s="172">
        <v>42172</v>
      </c>
      <c r="B292" t="s">
        <v>23</v>
      </c>
      <c r="I292" s="174">
        <v>42172</v>
      </c>
      <c r="J292" t="s">
        <v>23</v>
      </c>
      <c r="K292">
        <v>0</v>
      </c>
      <c r="L292">
        <v>7881448.9000000004</v>
      </c>
      <c r="M292">
        <v>0</v>
      </c>
      <c r="N292">
        <v>2189291.38</v>
      </c>
    </row>
    <row r="293" spans="1:14" x14ac:dyDescent="0.35">
      <c r="A293" s="172">
        <v>42173</v>
      </c>
      <c r="B293" t="s">
        <v>23</v>
      </c>
      <c r="I293" s="174">
        <v>42173</v>
      </c>
      <c r="J293" t="s">
        <v>23</v>
      </c>
      <c r="K293">
        <v>0</v>
      </c>
      <c r="L293">
        <v>7881448.9000000004</v>
      </c>
      <c r="M293">
        <v>0</v>
      </c>
      <c r="N293">
        <v>2189291.38</v>
      </c>
    </row>
    <row r="294" spans="1:14" x14ac:dyDescent="0.35">
      <c r="A294" s="172">
        <v>42174</v>
      </c>
      <c r="B294" t="s">
        <v>23</v>
      </c>
      <c r="I294" s="174">
        <v>42174</v>
      </c>
      <c r="J294" t="s">
        <v>23</v>
      </c>
      <c r="K294">
        <v>0</v>
      </c>
      <c r="L294">
        <v>7881448.9000000004</v>
      </c>
      <c r="M294">
        <v>0</v>
      </c>
      <c r="N294">
        <v>2189291.38</v>
      </c>
    </row>
    <row r="295" spans="1:14" x14ac:dyDescent="0.35">
      <c r="A295" s="172">
        <v>42175</v>
      </c>
      <c r="B295" t="s">
        <v>23</v>
      </c>
      <c r="I295" s="174">
        <v>42175</v>
      </c>
      <c r="J295" t="s">
        <v>23</v>
      </c>
      <c r="K295">
        <v>0</v>
      </c>
      <c r="L295">
        <v>7881448.9000000004</v>
      </c>
      <c r="M295">
        <v>0</v>
      </c>
      <c r="N295">
        <v>2189291.38</v>
      </c>
    </row>
    <row r="296" spans="1:14" x14ac:dyDescent="0.35">
      <c r="A296" s="172">
        <v>42176</v>
      </c>
      <c r="B296" t="s">
        <v>23</v>
      </c>
      <c r="I296" s="174">
        <v>42176</v>
      </c>
      <c r="J296" t="s">
        <v>23</v>
      </c>
      <c r="K296">
        <v>0</v>
      </c>
      <c r="L296">
        <v>7881448.9000000004</v>
      </c>
      <c r="M296">
        <v>0</v>
      </c>
      <c r="N296">
        <v>2189291.38</v>
      </c>
    </row>
    <row r="297" spans="1:14" x14ac:dyDescent="0.35">
      <c r="A297" s="172">
        <v>42177</v>
      </c>
      <c r="B297" t="s">
        <v>23</v>
      </c>
      <c r="I297" s="174">
        <v>42177</v>
      </c>
      <c r="J297" t="s">
        <v>23</v>
      </c>
      <c r="K297">
        <v>0</v>
      </c>
      <c r="L297">
        <v>7881448.9000000004</v>
      </c>
      <c r="M297">
        <v>0</v>
      </c>
      <c r="N297">
        <v>2189291.38</v>
      </c>
    </row>
    <row r="298" spans="1:14" x14ac:dyDescent="0.35">
      <c r="A298" s="172">
        <v>42178</v>
      </c>
      <c r="B298" t="s">
        <v>23</v>
      </c>
      <c r="I298" s="174">
        <v>42178</v>
      </c>
      <c r="J298" t="s">
        <v>23</v>
      </c>
      <c r="K298">
        <v>0</v>
      </c>
      <c r="L298">
        <v>7881448.9000000004</v>
      </c>
      <c r="M298">
        <v>0</v>
      </c>
      <c r="N298">
        <v>2189291.38</v>
      </c>
    </row>
    <row r="299" spans="1:14" x14ac:dyDescent="0.35">
      <c r="A299" s="172">
        <v>42179</v>
      </c>
      <c r="B299" t="s">
        <v>23</v>
      </c>
      <c r="I299" s="174">
        <v>42179</v>
      </c>
      <c r="J299" t="s">
        <v>23</v>
      </c>
      <c r="K299">
        <v>0</v>
      </c>
      <c r="L299">
        <v>7881448.9000000004</v>
      </c>
      <c r="M299">
        <v>0</v>
      </c>
      <c r="N299">
        <v>2189291.38</v>
      </c>
    </row>
    <row r="300" spans="1:14" x14ac:dyDescent="0.35">
      <c r="A300" s="172">
        <v>42180</v>
      </c>
      <c r="B300" t="s">
        <v>23</v>
      </c>
      <c r="I300" s="174">
        <v>42180</v>
      </c>
      <c r="J300" t="s">
        <v>23</v>
      </c>
      <c r="K300">
        <v>0</v>
      </c>
      <c r="L300">
        <v>7881448.9000000004</v>
      </c>
      <c r="M300">
        <v>0</v>
      </c>
      <c r="N300">
        <v>2189291.38</v>
      </c>
    </row>
    <row r="301" spans="1:14" x14ac:dyDescent="0.35">
      <c r="A301" s="172">
        <v>42181</v>
      </c>
      <c r="B301" t="s">
        <v>23</v>
      </c>
      <c r="I301" s="174">
        <v>42181</v>
      </c>
      <c r="J301" t="s">
        <v>23</v>
      </c>
      <c r="K301">
        <v>0</v>
      </c>
      <c r="L301">
        <v>7881448.9000000004</v>
      </c>
      <c r="M301">
        <v>0</v>
      </c>
      <c r="N301">
        <v>2189291.38</v>
      </c>
    </row>
    <row r="302" spans="1:14" x14ac:dyDescent="0.35">
      <c r="A302" s="172">
        <v>42182</v>
      </c>
      <c r="B302" t="s">
        <v>23</v>
      </c>
      <c r="I302" s="174">
        <v>42182</v>
      </c>
      <c r="J302" t="s">
        <v>23</v>
      </c>
      <c r="K302">
        <v>0</v>
      </c>
      <c r="L302">
        <v>7881448.9000000004</v>
      </c>
      <c r="M302">
        <v>0</v>
      </c>
      <c r="N302">
        <v>2189291.38</v>
      </c>
    </row>
    <row r="303" spans="1:14" x14ac:dyDescent="0.35">
      <c r="A303" s="172">
        <v>42183</v>
      </c>
      <c r="B303" t="s">
        <v>23</v>
      </c>
      <c r="I303" s="174">
        <v>42183</v>
      </c>
      <c r="J303" t="s">
        <v>23</v>
      </c>
      <c r="K303">
        <v>0</v>
      </c>
      <c r="L303">
        <v>7881448.9000000004</v>
      </c>
      <c r="M303">
        <v>0</v>
      </c>
      <c r="N303">
        <v>2189291.38</v>
      </c>
    </row>
    <row r="304" spans="1:14" x14ac:dyDescent="0.35">
      <c r="A304" s="172">
        <v>42184</v>
      </c>
      <c r="B304" t="s">
        <v>23</v>
      </c>
      <c r="I304" s="174">
        <v>42184</v>
      </c>
      <c r="J304" t="s">
        <v>23</v>
      </c>
      <c r="K304">
        <v>0</v>
      </c>
      <c r="L304">
        <v>7881448.9000000004</v>
      </c>
      <c r="M304">
        <v>0</v>
      </c>
      <c r="N304">
        <v>2189291.38</v>
      </c>
    </row>
    <row r="305" spans="1:14" x14ac:dyDescent="0.35">
      <c r="A305" s="172">
        <v>42185</v>
      </c>
      <c r="B305" t="s">
        <v>23</v>
      </c>
      <c r="I305" s="174">
        <v>42185</v>
      </c>
      <c r="J305" t="s">
        <v>23</v>
      </c>
      <c r="K305">
        <v>0</v>
      </c>
      <c r="L305">
        <v>7881448.9000000004</v>
      </c>
      <c r="M305">
        <v>0</v>
      </c>
      <c r="N305">
        <v>2189291.38</v>
      </c>
    </row>
    <row r="306" spans="1:14" x14ac:dyDescent="0.35">
      <c r="A306" s="172">
        <v>42186</v>
      </c>
      <c r="I306" s="174">
        <v>42186</v>
      </c>
    </row>
    <row r="307" spans="1:14" x14ac:dyDescent="0.35">
      <c r="A307" s="172">
        <v>42187</v>
      </c>
      <c r="I307" s="174">
        <v>42187</v>
      </c>
    </row>
    <row r="308" spans="1:14" x14ac:dyDescent="0.35">
      <c r="A308" s="172">
        <v>42188</v>
      </c>
      <c r="I308" s="174">
        <v>42188</v>
      </c>
    </row>
    <row r="309" spans="1:14" x14ac:dyDescent="0.35">
      <c r="A309" s="172">
        <v>42189</v>
      </c>
      <c r="I309" s="174">
        <v>42189</v>
      </c>
    </row>
    <row r="310" spans="1:14" x14ac:dyDescent="0.35">
      <c r="A310" s="172">
        <v>42190</v>
      </c>
      <c r="I310" s="174">
        <v>42190</v>
      </c>
    </row>
    <row r="311" spans="1:14" x14ac:dyDescent="0.35">
      <c r="A311" s="172">
        <v>42191</v>
      </c>
      <c r="I311" s="174">
        <v>42191</v>
      </c>
    </row>
    <row r="312" spans="1:14" x14ac:dyDescent="0.35">
      <c r="A312" s="172">
        <v>42192</v>
      </c>
      <c r="I312" s="174">
        <v>42192</v>
      </c>
    </row>
    <row r="313" spans="1:14" x14ac:dyDescent="0.35">
      <c r="A313" s="172">
        <v>42193</v>
      </c>
      <c r="I313" s="174">
        <v>42193</v>
      </c>
    </row>
    <row r="314" spans="1:14" x14ac:dyDescent="0.35">
      <c r="A314" s="172">
        <v>42194</v>
      </c>
      <c r="I314" s="174">
        <v>42194</v>
      </c>
    </row>
    <row r="315" spans="1:14" x14ac:dyDescent="0.35">
      <c r="A315" s="172">
        <v>42195</v>
      </c>
      <c r="I315" s="174">
        <v>42195</v>
      </c>
    </row>
    <row r="316" spans="1:14" x14ac:dyDescent="0.35">
      <c r="A316" s="172">
        <v>42196</v>
      </c>
      <c r="I316" s="174">
        <v>42196</v>
      </c>
    </row>
    <row r="317" spans="1:14" x14ac:dyDescent="0.35">
      <c r="A317" s="172">
        <v>42197</v>
      </c>
      <c r="I317" s="174">
        <v>42197</v>
      </c>
    </row>
    <row r="318" spans="1:14" x14ac:dyDescent="0.35">
      <c r="A318" s="172">
        <v>42198</v>
      </c>
      <c r="I318" s="174">
        <v>42198</v>
      </c>
    </row>
    <row r="319" spans="1:14" x14ac:dyDescent="0.35">
      <c r="A319" s="172">
        <v>42199</v>
      </c>
      <c r="I319" s="174">
        <v>42199</v>
      </c>
    </row>
    <row r="320" spans="1:14" x14ac:dyDescent="0.35">
      <c r="A320" s="172">
        <v>42200</v>
      </c>
      <c r="I320" s="174">
        <v>42200</v>
      </c>
    </row>
    <row r="321" spans="1:9" x14ac:dyDescent="0.35">
      <c r="A321" s="172">
        <v>42201</v>
      </c>
      <c r="I321" s="174">
        <v>42201</v>
      </c>
    </row>
    <row r="322" spans="1:9" x14ac:dyDescent="0.35">
      <c r="A322" s="172">
        <v>42202</v>
      </c>
      <c r="I322" s="174">
        <v>42202</v>
      </c>
    </row>
    <row r="323" spans="1:9" x14ac:dyDescent="0.35">
      <c r="A323" s="172">
        <v>42203</v>
      </c>
      <c r="I323" s="174">
        <v>42203</v>
      </c>
    </row>
    <row r="324" spans="1:9" x14ac:dyDescent="0.35">
      <c r="A324" s="172">
        <v>42204</v>
      </c>
      <c r="I324" s="174">
        <v>42204</v>
      </c>
    </row>
    <row r="325" spans="1:9" x14ac:dyDescent="0.35">
      <c r="A325" s="172">
        <v>42205</v>
      </c>
      <c r="I325" s="174">
        <v>42205</v>
      </c>
    </row>
    <row r="326" spans="1:9" x14ac:dyDescent="0.35">
      <c r="A326" s="172">
        <v>42206</v>
      </c>
      <c r="I326" s="174">
        <v>42206</v>
      </c>
    </row>
    <row r="327" spans="1:9" x14ac:dyDescent="0.35">
      <c r="A327" s="172">
        <v>42207</v>
      </c>
      <c r="I327" s="174">
        <v>42207</v>
      </c>
    </row>
    <row r="328" spans="1:9" x14ac:dyDescent="0.35">
      <c r="A328" s="172">
        <v>42208</v>
      </c>
      <c r="I328" s="174">
        <v>42208</v>
      </c>
    </row>
    <row r="329" spans="1:9" x14ac:dyDescent="0.35">
      <c r="A329" s="172">
        <v>42209</v>
      </c>
      <c r="I329" s="174">
        <v>42209</v>
      </c>
    </row>
    <row r="330" spans="1:9" x14ac:dyDescent="0.35">
      <c r="A330" s="172">
        <v>42210</v>
      </c>
      <c r="I330" s="174">
        <v>42210</v>
      </c>
    </row>
    <row r="331" spans="1:9" x14ac:dyDescent="0.35">
      <c r="A331" s="172">
        <v>42211</v>
      </c>
      <c r="I331" s="174">
        <v>42211</v>
      </c>
    </row>
    <row r="332" spans="1:9" x14ac:dyDescent="0.35">
      <c r="A332" s="172">
        <v>42212</v>
      </c>
      <c r="I332" s="174">
        <v>42212</v>
      </c>
    </row>
    <row r="333" spans="1:9" x14ac:dyDescent="0.35">
      <c r="A333" s="172">
        <v>42213</v>
      </c>
      <c r="I333" s="174">
        <v>42213</v>
      </c>
    </row>
    <row r="334" spans="1:9" x14ac:dyDescent="0.35">
      <c r="A334" s="172">
        <v>42214</v>
      </c>
      <c r="I334" s="174">
        <v>42214</v>
      </c>
    </row>
    <row r="335" spans="1:9" x14ac:dyDescent="0.35">
      <c r="A335" s="172">
        <v>42215</v>
      </c>
      <c r="I335" s="174">
        <v>42215</v>
      </c>
    </row>
    <row r="336" spans="1:9" x14ac:dyDescent="0.35">
      <c r="A336" s="172">
        <v>42216</v>
      </c>
      <c r="I336" s="174">
        <v>42216</v>
      </c>
    </row>
    <row r="337" spans="1:9" x14ac:dyDescent="0.35">
      <c r="A337" s="172">
        <v>42217</v>
      </c>
      <c r="I337" s="174">
        <v>42217</v>
      </c>
    </row>
    <row r="338" spans="1:9" x14ac:dyDescent="0.35">
      <c r="A338" s="172">
        <v>42218</v>
      </c>
      <c r="I338" s="174">
        <v>42218</v>
      </c>
    </row>
    <row r="339" spans="1:9" x14ac:dyDescent="0.35">
      <c r="A339" s="172">
        <v>42219</v>
      </c>
      <c r="I339" s="174">
        <v>42219</v>
      </c>
    </row>
    <row r="340" spans="1:9" x14ac:dyDescent="0.35">
      <c r="A340" s="172">
        <v>42220</v>
      </c>
      <c r="I340" s="174">
        <v>42220</v>
      </c>
    </row>
    <row r="341" spans="1:9" x14ac:dyDescent="0.35">
      <c r="A341" s="172">
        <v>42221</v>
      </c>
      <c r="I341" s="174">
        <v>42221</v>
      </c>
    </row>
    <row r="342" spans="1:9" x14ac:dyDescent="0.35">
      <c r="A342" s="172">
        <v>42222</v>
      </c>
      <c r="I342" s="174">
        <v>42222</v>
      </c>
    </row>
    <row r="343" spans="1:9" x14ac:dyDescent="0.35">
      <c r="A343" s="172">
        <v>42223</v>
      </c>
      <c r="I343" s="174">
        <v>42223</v>
      </c>
    </row>
    <row r="344" spans="1:9" x14ac:dyDescent="0.35">
      <c r="A344" s="172">
        <v>42224</v>
      </c>
      <c r="I344" s="174">
        <v>42224</v>
      </c>
    </row>
    <row r="345" spans="1:9" x14ac:dyDescent="0.35">
      <c r="A345" s="172">
        <v>42225</v>
      </c>
      <c r="I345" s="174">
        <v>42225</v>
      </c>
    </row>
    <row r="346" spans="1:9" x14ac:dyDescent="0.35">
      <c r="A346" s="172">
        <v>42226</v>
      </c>
      <c r="I346" s="174">
        <v>42226</v>
      </c>
    </row>
    <row r="347" spans="1:9" x14ac:dyDescent="0.35">
      <c r="A347" s="172">
        <v>42227</v>
      </c>
      <c r="I347" s="174">
        <v>42227</v>
      </c>
    </row>
    <row r="348" spans="1:9" x14ac:dyDescent="0.35">
      <c r="A348" s="172">
        <v>42228</v>
      </c>
      <c r="I348" s="174">
        <v>42228</v>
      </c>
    </row>
    <row r="349" spans="1:9" x14ac:dyDescent="0.35">
      <c r="A349" s="172">
        <v>42229</v>
      </c>
      <c r="I349" s="174">
        <v>42229</v>
      </c>
    </row>
    <row r="350" spans="1:9" x14ac:dyDescent="0.35">
      <c r="A350" s="172">
        <v>42230</v>
      </c>
      <c r="I350" s="174">
        <v>42230</v>
      </c>
    </row>
    <row r="351" spans="1:9" x14ac:dyDescent="0.35">
      <c r="A351" s="172">
        <v>42231</v>
      </c>
      <c r="I351" s="174">
        <v>42231</v>
      </c>
    </row>
    <row r="352" spans="1:9" x14ac:dyDescent="0.35">
      <c r="A352" s="172">
        <v>42232</v>
      </c>
      <c r="I352" s="174">
        <v>42232</v>
      </c>
    </row>
    <row r="353" spans="1:9" x14ac:dyDescent="0.35">
      <c r="A353" s="172">
        <v>42233</v>
      </c>
      <c r="I353" s="174">
        <v>42233</v>
      </c>
    </row>
    <row r="354" spans="1:9" x14ac:dyDescent="0.35">
      <c r="A354" s="172">
        <v>42234</v>
      </c>
      <c r="I354" s="174">
        <v>42234</v>
      </c>
    </row>
    <row r="355" spans="1:9" x14ac:dyDescent="0.35">
      <c r="A355" s="172">
        <v>42235</v>
      </c>
      <c r="I355" s="174">
        <v>42235</v>
      </c>
    </row>
    <row r="356" spans="1:9" x14ac:dyDescent="0.35">
      <c r="A356" s="172">
        <v>42236</v>
      </c>
      <c r="I356" s="174">
        <v>42236</v>
      </c>
    </row>
    <row r="357" spans="1:9" x14ac:dyDescent="0.35">
      <c r="A357" s="172">
        <v>42237</v>
      </c>
      <c r="I357" s="174">
        <v>42237</v>
      </c>
    </row>
    <row r="358" spans="1:9" x14ac:dyDescent="0.35">
      <c r="A358" s="172">
        <v>42238</v>
      </c>
      <c r="I358" s="174">
        <v>42238</v>
      </c>
    </row>
    <row r="359" spans="1:9" x14ac:dyDescent="0.35">
      <c r="A359" s="172">
        <v>42239</v>
      </c>
      <c r="I359" s="174">
        <v>42239</v>
      </c>
    </row>
    <row r="360" spans="1:9" x14ac:dyDescent="0.35">
      <c r="A360" s="172">
        <v>42240</v>
      </c>
      <c r="I360" s="174">
        <v>42240</v>
      </c>
    </row>
    <row r="361" spans="1:9" x14ac:dyDescent="0.35">
      <c r="A361" s="172">
        <v>42241</v>
      </c>
      <c r="I361" s="174">
        <v>42241</v>
      </c>
    </row>
    <row r="362" spans="1:9" x14ac:dyDescent="0.35">
      <c r="A362" s="172">
        <v>42242</v>
      </c>
      <c r="I362" s="174">
        <v>42242</v>
      </c>
    </row>
    <row r="363" spans="1:9" x14ac:dyDescent="0.35">
      <c r="A363" s="172">
        <v>42243</v>
      </c>
      <c r="I363" s="174">
        <v>42243</v>
      </c>
    </row>
    <row r="364" spans="1:9" x14ac:dyDescent="0.35">
      <c r="A364" s="172">
        <v>42244</v>
      </c>
      <c r="I364" s="174">
        <v>42244</v>
      </c>
    </row>
    <row r="365" spans="1:9" x14ac:dyDescent="0.35">
      <c r="A365" s="172">
        <v>42245</v>
      </c>
      <c r="I365" s="174">
        <v>42245</v>
      </c>
    </row>
    <row r="366" spans="1:9" x14ac:dyDescent="0.35">
      <c r="A366" s="172">
        <v>42246</v>
      </c>
      <c r="I366" s="174">
        <v>42246</v>
      </c>
    </row>
    <row r="367" spans="1:9" x14ac:dyDescent="0.35">
      <c r="A367" s="172">
        <v>42247</v>
      </c>
      <c r="I367" s="174">
        <v>42247</v>
      </c>
    </row>
    <row r="368" spans="1:9" x14ac:dyDescent="0.35">
      <c r="A368" s="172">
        <v>42248</v>
      </c>
      <c r="I368" s="174">
        <v>42248</v>
      </c>
    </row>
    <row r="369" spans="1:9" x14ac:dyDescent="0.35">
      <c r="A369" s="172">
        <v>42249</v>
      </c>
      <c r="I369" s="174">
        <v>42249</v>
      </c>
    </row>
    <row r="370" spans="1:9" x14ac:dyDescent="0.35">
      <c r="A370" s="172">
        <v>42250</v>
      </c>
      <c r="I370" s="174">
        <v>42250</v>
      </c>
    </row>
    <row r="371" spans="1:9" x14ac:dyDescent="0.35">
      <c r="A371" s="172">
        <v>42251</v>
      </c>
      <c r="I371" s="174">
        <v>42251</v>
      </c>
    </row>
    <row r="372" spans="1:9" x14ac:dyDescent="0.35">
      <c r="A372" s="172">
        <v>42252</v>
      </c>
      <c r="I372" s="174">
        <v>42252</v>
      </c>
    </row>
    <row r="373" spans="1:9" x14ac:dyDescent="0.35">
      <c r="A373" s="172">
        <v>42253</v>
      </c>
      <c r="I373" s="174">
        <v>42253</v>
      </c>
    </row>
    <row r="374" spans="1:9" x14ac:dyDescent="0.35">
      <c r="A374" s="172">
        <v>42254</v>
      </c>
      <c r="I374" s="174">
        <v>42254</v>
      </c>
    </row>
    <row r="375" spans="1:9" x14ac:dyDescent="0.35">
      <c r="A375" s="172">
        <v>42255</v>
      </c>
      <c r="I375" s="174">
        <v>42255</v>
      </c>
    </row>
    <row r="376" spans="1:9" x14ac:dyDescent="0.35">
      <c r="A376" s="172">
        <v>42256</v>
      </c>
      <c r="I376" s="174">
        <v>42256</v>
      </c>
    </row>
    <row r="377" spans="1:9" x14ac:dyDescent="0.35">
      <c r="A377" s="172">
        <v>42257</v>
      </c>
      <c r="I377" s="174">
        <v>42257</v>
      </c>
    </row>
    <row r="378" spans="1:9" x14ac:dyDescent="0.35">
      <c r="A378" s="172">
        <v>42258</v>
      </c>
      <c r="I378" s="174">
        <v>42258</v>
      </c>
    </row>
    <row r="379" spans="1:9" x14ac:dyDescent="0.35">
      <c r="A379" s="172">
        <v>42259</v>
      </c>
      <c r="I379" s="174">
        <v>42259</v>
      </c>
    </row>
    <row r="380" spans="1:9" x14ac:dyDescent="0.35">
      <c r="A380" s="172">
        <v>42260</v>
      </c>
      <c r="I380" s="174">
        <v>42260</v>
      </c>
    </row>
    <row r="381" spans="1:9" x14ac:dyDescent="0.35">
      <c r="A381" s="172">
        <v>42261</v>
      </c>
      <c r="I381" s="174">
        <v>42261</v>
      </c>
    </row>
    <row r="382" spans="1:9" x14ac:dyDescent="0.35">
      <c r="A382" s="172">
        <v>42262</v>
      </c>
      <c r="I382" s="174">
        <v>42262</v>
      </c>
    </row>
    <row r="383" spans="1:9" x14ac:dyDescent="0.35">
      <c r="A383" s="172">
        <v>42263</v>
      </c>
      <c r="I383" s="174">
        <v>42263</v>
      </c>
    </row>
    <row r="384" spans="1:9" x14ac:dyDescent="0.35">
      <c r="A384" s="172">
        <v>42264</v>
      </c>
      <c r="I384" s="174">
        <v>42264</v>
      </c>
    </row>
    <row r="385" spans="1:9" x14ac:dyDescent="0.35">
      <c r="A385" s="172">
        <v>42265</v>
      </c>
      <c r="I385" s="174">
        <v>42265</v>
      </c>
    </row>
    <row r="386" spans="1:9" x14ac:dyDescent="0.35">
      <c r="A386" s="172">
        <v>42266</v>
      </c>
      <c r="I386" s="174">
        <v>42266</v>
      </c>
    </row>
    <row r="387" spans="1:9" x14ac:dyDescent="0.35">
      <c r="A387" s="172">
        <v>42267</v>
      </c>
      <c r="I387" s="174">
        <v>42267</v>
      </c>
    </row>
    <row r="388" spans="1:9" x14ac:dyDescent="0.35">
      <c r="A388" s="172">
        <v>42268</v>
      </c>
      <c r="I388" s="174">
        <v>42268</v>
      </c>
    </row>
    <row r="389" spans="1:9" x14ac:dyDescent="0.35">
      <c r="A389" s="172">
        <v>42269</v>
      </c>
      <c r="I389" s="174">
        <v>42269</v>
      </c>
    </row>
    <row r="390" spans="1:9" x14ac:dyDescent="0.35">
      <c r="A390" s="172">
        <v>42270</v>
      </c>
      <c r="I390" s="174">
        <v>42270</v>
      </c>
    </row>
    <row r="391" spans="1:9" x14ac:dyDescent="0.35">
      <c r="A391" s="172">
        <v>42271</v>
      </c>
      <c r="I391" s="174">
        <v>42271</v>
      </c>
    </row>
    <row r="392" spans="1:9" x14ac:dyDescent="0.35">
      <c r="A392" s="172">
        <v>42272</v>
      </c>
      <c r="I392" s="174">
        <v>42272</v>
      </c>
    </row>
    <row r="393" spans="1:9" x14ac:dyDescent="0.35">
      <c r="A393" s="172">
        <v>42273</v>
      </c>
      <c r="I393" s="174">
        <v>42273</v>
      </c>
    </row>
    <row r="394" spans="1:9" x14ac:dyDescent="0.35">
      <c r="A394" s="172">
        <v>42274</v>
      </c>
      <c r="I394" s="174">
        <v>42274</v>
      </c>
    </row>
    <row r="395" spans="1:9" x14ac:dyDescent="0.35">
      <c r="A395" s="172">
        <v>42275</v>
      </c>
      <c r="I395" s="174">
        <v>42275</v>
      </c>
    </row>
    <row r="396" spans="1:9" x14ac:dyDescent="0.35">
      <c r="A396" s="172">
        <v>42276</v>
      </c>
      <c r="I396" s="174">
        <v>42276</v>
      </c>
    </row>
    <row r="397" spans="1:9" x14ac:dyDescent="0.35">
      <c r="A397" s="172">
        <v>42277</v>
      </c>
      <c r="I397" s="174">
        <v>42277</v>
      </c>
    </row>
    <row r="398" spans="1:9" x14ac:dyDescent="0.35">
      <c r="A398" s="172">
        <v>42278</v>
      </c>
      <c r="I398" s="174">
        <v>42278</v>
      </c>
    </row>
    <row r="399" spans="1:9" x14ac:dyDescent="0.35">
      <c r="A399" s="172">
        <v>42279</v>
      </c>
      <c r="I399" s="174">
        <v>42279</v>
      </c>
    </row>
    <row r="400" spans="1:9" x14ac:dyDescent="0.35">
      <c r="A400" s="172">
        <v>42280</v>
      </c>
      <c r="I400" s="174">
        <v>42280</v>
      </c>
    </row>
    <row r="401" spans="1:9" x14ac:dyDescent="0.35">
      <c r="A401" s="172">
        <v>42281</v>
      </c>
      <c r="I401" s="174">
        <v>42281</v>
      </c>
    </row>
    <row r="402" spans="1:9" x14ac:dyDescent="0.35">
      <c r="A402" s="172">
        <v>42282</v>
      </c>
      <c r="I402" s="174">
        <v>42282</v>
      </c>
    </row>
    <row r="403" spans="1:9" x14ac:dyDescent="0.35">
      <c r="A403" s="172">
        <v>42283</v>
      </c>
      <c r="I403" s="174">
        <v>42283</v>
      </c>
    </row>
    <row r="404" spans="1:9" x14ac:dyDescent="0.35">
      <c r="A404" s="172">
        <v>42284</v>
      </c>
      <c r="I404" s="174">
        <v>42284</v>
      </c>
    </row>
    <row r="405" spans="1:9" x14ac:dyDescent="0.35">
      <c r="A405" s="172">
        <v>42285</v>
      </c>
      <c r="I405" s="174">
        <v>42285</v>
      </c>
    </row>
    <row r="406" spans="1:9" x14ac:dyDescent="0.35">
      <c r="A406" s="172">
        <v>42286</v>
      </c>
      <c r="I406" s="174">
        <v>42286</v>
      </c>
    </row>
    <row r="407" spans="1:9" x14ac:dyDescent="0.35">
      <c r="A407" s="172">
        <v>42287</v>
      </c>
      <c r="I407" s="174">
        <v>42287</v>
      </c>
    </row>
    <row r="408" spans="1:9" x14ac:dyDescent="0.35">
      <c r="A408" s="172">
        <v>42288</v>
      </c>
      <c r="I408" s="174">
        <v>42288</v>
      </c>
    </row>
    <row r="409" spans="1:9" x14ac:dyDescent="0.35">
      <c r="A409" s="172">
        <v>42289</v>
      </c>
      <c r="I409" s="174">
        <v>42289</v>
      </c>
    </row>
    <row r="410" spans="1:9" x14ac:dyDescent="0.35">
      <c r="A410" s="172">
        <v>42290</v>
      </c>
      <c r="I410" s="174">
        <v>42290</v>
      </c>
    </row>
    <row r="411" spans="1:9" x14ac:dyDescent="0.35">
      <c r="A411" s="172">
        <v>42291</v>
      </c>
      <c r="I411" s="174">
        <v>42291</v>
      </c>
    </row>
    <row r="412" spans="1:9" x14ac:dyDescent="0.35">
      <c r="A412" s="172">
        <v>42292</v>
      </c>
      <c r="I412" s="174">
        <v>42292</v>
      </c>
    </row>
    <row r="413" spans="1:9" x14ac:dyDescent="0.35">
      <c r="A413" s="172">
        <v>42293</v>
      </c>
      <c r="I413" s="174">
        <v>42293</v>
      </c>
    </row>
    <row r="414" spans="1:9" x14ac:dyDescent="0.35">
      <c r="A414" s="172">
        <v>42294</v>
      </c>
      <c r="I414" s="174">
        <v>42294</v>
      </c>
    </row>
    <row r="415" spans="1:9" x14ac:dyDescent="0.35">
      <c r="A415" s="172">
        <v>42295</v>
      </c>
      <c r="I415" s="174">
        <v>42295</v>
      </c>
    </row>
    <row r="416" spans="1:9" x14ac:dyDescent="0.35">
      <c r="A416" s="172">
        <v>42296</v>
      </c>
      <c r="I416" s="174">
        <v>42296</v>
      </c>
    </row>
    <row r="417" spans="1:9" x14ac:dyDescent="0.35">
      <c r="A417" s="172">
        <v>42297</v>
      </c>
      <c r="I417" s="174">
        <v>42297</v>
      </c>
    </row>
    <row r="418" spans="1:9" x14ac:dyDescent="0.35">
      <c r="A418" s="172">
        <v>42298</v>
      </c>
      <c r="I418" s="174">
        <v>42298</v>
      </c>
    </row>
    <row r="419" spans="1:9" x14ac:dyDescent="0.35">
      <c r="A419" s="172">
        <v>42299</v>
      </c>
      <c r="I419" s="174">
        <v>42299</v>
      </c>
    </row>
    <row r="420" spans="1:9" x14ac:dyDescent="0.35">
      <c r="A420" s="172">
        <v>42300</v>
      </c>
      <c r="I420" s="174">
        <v>42300</v>
      </c>
    </row>
    <row r="421" spans="1:9" x14ac:dyDescent="0.35">
      <c r="A421" s="172">
        <v>42301</v>
      </c>
      <c r="I421" s="174">
        <v>42301</v>
      </c>
    </row>
    <row r="422" spans="1:9" x14ac:dyDescent="0.35">
      <c r="A422" s="172">
        <v>42302</v>
      </c>
      <c r="I422" s="174">
        <v>42302</v>
      </c>
    </row>
    <row r="423" spans="1:9" x14ac:dyDescent="0.35">
      <c r="A423" s="172">
        <v>42303</v>
      </c>
      <c r="I423" s="174">
        <v>42303</v>
      </c>
    </row>
    <row r="424" spans="1:9" x14ac:dyDescent="0.35">
      <c r="A424" s="172">
        <v>42304</v>
      </c>
      <c r="I424" s="174">
        <v>42304</v>
      </c>
    </row>
    <row r="425" spans="1:9" x14ac:dyDescent="0.35">
      <c r="A425" s="172">
        <v>42305</v>
      </c>
      <c r="I425" s="174">
        <v>42305</v>
      </c>
    </row>
    <row r="426" spans="1:9" x14ac:dyDescent="0.35">
      <c r="A426" s="172">
        <v>42306</v>
      </c>
      <c r="I426" s="174">
        <v>42306</v>
      </c>
    </row>
    <row r="427" spans="1:9" x14ac:dyDescent="0.35">
      <c r="A427" s="172">
        <v>42307</v>
      </c>
      <c r="I427" s="174">
        <v>42307</v>
      </c>
    </row>
    <row r="428" spans="1:9" x14ac:dyDescent="0.35">
      <c r="A428" s="172">
        <v>42308</v>
      </c>
      <c r="I428" s="174">
        <v>42308</v>
      </c>
    </row>
    <row r="429" spans="1:9" x14ac:dyDescent="0.35">
      <c r="A429" s="172">
        <v>42309</v>
      </c>
      <c r="I429" s="174">
        <v>42309</v>
      </c>
    </row>
    <row r="430" spans="1:9" x14ac:dyDescent="0.35">
      <c r="A430" s="172">
        <v>42310</v>
      </c>
      <c r="I430" s="174">
        <v>42310</v>
      </c>
    </row>
    <row r="431" spans="1:9" x14ac:dyDescent="0.35">
      <c r="A431" s="172">
        <v>42311</v>
      </c>
      <c r="I431" s="174">
        <v>42311</v>
      </c>
    </row>
    <row r="432" spans="1:9" x14ac:dyDescent="0.35">
      <c r="A432" s="172">
        <v>42312</v>
      </c>
      <c r="I432" s="174">
        <v>42312</v>
      </c>
    </row>
    <row r="433" spans="1:9" x14ac:dyDescent="0.35">
      <c r="A433" s="172">
        <v>42313</v>
      </c>
      <c r="I433" s="174">
        <v>42313</v>
      </c>
    </row>
    <row r="434" spans="1:9" x14ac:dyDescent="0.35">
      <c r="A434" s="172">
        <v>42314</v>
      </c>
      <c r="I434" s="174">
        <v>42314</v>
      </c>
    </row>
    <row r="435" spans="1:9" x14ac:dyDescent="0.35">
      <c r="A435" s="172">
        <v>42315</v>
      </c>
      <c r="I435" s="174">
        <v>42315</v>
      </c>
    </row>
    <row r="436" spans="1:9" x14ac:dyDescent="0.35">
      <c r="A436" s="172">
        <v>42316</v>
      </c>
      <c r="I436" s="174">
        <v>42316</v>
      </c>
    </row>
    <row r="437" spans="1:9" x14ac:dyDescent="0.35">
      <c r="A437" s="172">
        <v>42317</v>
      </c>
      <c r="I437" s="174">
        <v>42317</v>
      </c>
    </row>
    <row r="438" spans="1:9" x14ac:dyDescent="0.35">
      <c r="A438" s="172">
        <v>42318</v>
      </c>
      <c r="I438" s="174">
        <v>42318</v>
      </c>
    </row>
    <row r="439" spans="1:9" x14ac:dyDescent="0.35">
      <c r="A439" s="172">
        <v>42319</v>
      </c>
      <c r="I439" s="174">
        <v>42319</v>
      </c>
    </row>
    <row r="440" spans="1:9" x14ac:dyDescent="0.35">
      <c r="A440" s="172">
        <v>42320</v>
      </c>
      <c r="I440" s="174">
        <v>42320</v>
      </c>
    </row>
    <row r="441" spans="1:9" x14ac:dyDescent="0.35">
      <c r="A441" s="172">
        <v>42321</v>
      </c>
      <c r="I441" s="174">
        <v>42321</v>
      </c>
    </row>
    <row r="442" spans="1:9" x14ac:dyDescent="0.35">
      <c r="A442" s="172">
        <v>42322</v>
      </c>
      <c r="I442" s="174">
        <v>42322</v>
      </c>
    </row>
    <row r="443" spans="1:9" x14ac:dyDescent="0.35">
      <c r="A443" s="172">
        <v>42323</v>
      </c>
      <c r="I443" s="174">
        <v>42323</v>
      </c>
    </row>
    <row r="444" spans="1:9" x14ac:dyDescent="0.35">
      <c r="A444" s="172">
        <v>42324</v>
      </c>
      <c r="I444" s="174">
        <v>42324</v>
      </c>
    </row>
    <row r="445" spans="1:9" x14ac:dyDescent="0.35">
      <c r="A445" s="172">
        <v>42325</v>
      </c>
      <c r="I445" s="174">
        <v>42325</v>
      </c>
    </row>
    <row r="446" spans="1:9" x14ac:dyDescent="0.35">
      <c r="A446" s="172">
        <v>42326</v>
      </c>
      <c r="I446" s="174">
        <v>42326</v>
      </c>
    </row>
    <row r="447" spans="1:9" x14ac:dyDescent="0.35">
      <c r="A447" s="172">
        <v>42327</v>
      </c>
      <c r="I447" s="174">
        <v>42327</v>
      </c>
    </row>
    <row r="448" spans="1:9" x14ac:dyDescent="0.35">
      <c r="A448" s="172">
        <v>42328</v>
      </c>
      <c r="I448" s="174">
        <v>42328</v>
      </c>
    </row>
    <row r="449" spans="1:9" x14ac:dyDescent="0.35">
      <c r="A449" s="172">
        <v>42329</v>
      </c>
      <c r="I449" s="174">
        <v>42329</v>
      </c>
    </row>
    <row r="450" spans="1:9" x14ac:dyDescent="0.35">
      <c r="A450" s="172">
        <v>42330</v>
      </c>
      <c r="I450" s="174">
        <v>42330</v>
      </c>
    </row>
    <row r="451" spans="1:9" x14ac:dyDescent="0.35">
      <c r="A451" s="172">
        <v>42331</v>
      </c>
      <c r="I451" s="174">
        <v>42331</v>
      </c>
    </row>
    <row r="452" spans="1:9" x14ac:dyDescent="0.35">
      <c r="A452" s="172">
        <v>42332</v>
      </c>
      <c r="I452" s="174">
        <v>42332</v>
      </c>
    </row>
    <row r="453" spans="1:9" x14ac:dyDescent="0.35">
      <c r="A453" s="172">
        <v>42333</v>
      </c>
      <c r="I453" s="174">
        <v>42333</v>
      </c>
    </row>
    <row r="454" spans="1:9" x14ac:dyDescent="0.35">
      <c r="A454" s="172">
        <v>42334</v>
      </c>
      <c r="I454" s="174">
        <v>42334</v>
      </c>
    </row>
    <row r="455" spans="1:9" x14ac:dyDescent="0.35">
      <c r="A455" s="172">
        <v>42335</v>
      </c>
      <c r="I455" s="174">
        <v>42335</v>
      </c>
    </row>
    <row r="456" spans="1:9" x14ac:dyDescent="0.35">
      <c r="A456" s="172">
        <v>42336</v>
      </c>
      <c r="I456" s="174">
        <v>42336</v>
      </c>
    </row>
    <row r="457" spans="1:9" x14ac:dyDescent="0.35">
      <c r="A457" s="172">
        <v>42337</v>
      </c>
      <c r="I457" s="174">
        <v>42337</v>
      </c>
    </row>
    <row r="458" spans="1:9" x14ac:dyDescent="0.35">
      <c r="A458" s="172">
        <v>42338</v>
      </c>
      <c r="I458" s="174">
        <v>42338</v>
      </c>
    </row>
    <row r="459" spans="1:9" x14ac:dyDescent="0.35">
      <c r="A459" s="172">
        <v>42339</v>
      </c>
      <c r="I459" s="174">
        <v>42339</v>
      </c>
    </row>
    <row r="460" spans="1:9" x14ac:dyDescent="0.35">
      <c r="A460" s="172">
        <v>42340</v>
      </c>
      <c r="I460" s="174">
        <v>42340</v>
      </c>
    </row>
    <row r="461" spans="1:9" x14ac:dyDescent="0.35">
      <c r="A461" s="172">
        <v>42341</v>
      </c>
      <c r="I461" s="174">
        <v>42341</v>
      </c>
    </row>
    <row r="462" spans="1:9" x14ac:dyDescent="0.35">
      <c r="A462" s="172">
        <v>42342</v>
      </c>
      <c r="I462" s="174">
        <v>42342</v>
      </c>
    </row>
    <row r="463" spans="1:9" x14ac:dyDescent="0.35">
      <c r="A463" s="172">
        <v>42343</v>
      </c>
      <c r="I463" s="174">
        <v>42343</v>
      </c>
    </row>
    <row r="464" spans="1:9" x14ac:dyDescent="0.35">
      <c r="A464" s="172">
        <v>42344</v>
      </c>
      <c r="I464" s="174">
        <v>42344</v>
      </c>
    </row>
    <row r="465" spans="1:9" x14ac:dyDescent="0.35">
      <c r="A465" s="172">
        <v>42345</v>
      </c>
      <c r="I465" s="174">
        <v>42345</v>
      </c>
    </row>
    <row r="466" spans="1:9" x14ac:dyDescent="0.35">
      <c r="A466" s="172">
        <v>42346</v>
      </c>
      <c r="I466" s="174">
        <v>42346</v>
      </c>
    </row>
    <row r="467" spans="1:9" x14ac:dyDescent="0.35">
      <c r="A467" s="172">
        <v>42347</v>
      </c>
      <c r="I467" s="174">
        <v>42347</v>
      </c>
    </row>
    <row r="468" spans="1:9" x14ac:dyDescent="0.35">
      <c r="A468" s="172">
        <v>42348</v>
      </c>
      <c r="I468" s="174">
        <v>42348</v>
      </c>
    </row>
    <row r="469" spans="1:9" x14ac:dyDescent="0.35">
      <c r="A469" s="172">
        <v>42349</v>
      </c>
      <c r="I469" s="174">
        <v>42349</v>
      </c>
    </row>
    <row r="470" spans="1:9" x14ac:dyDescent="0.35">
      <c r="A470" s="172">
        <v>42350</v>
      </c>
      <c r="I470" s="174">
        <v>42350</v>
      </c>
    </row>
    <row r="471" spans="1:9" x14ac:dyDescent="0.35">
      <c r="A471" s="172">
        <v>42351</v>
      </c>
      <c r="I471" s="174">
        <v>42351</v>
      </c>
    </row>
    <row r="472" spans="1:9" x14ac:dyDescent="0.35">
      <c r="A472" s="172">
        <v>42352</v>
      </c>
      <c r="I472" s="174">
        <v>42352</v>
      </c>
    </row>
    <row r="473" spans="1:9" x14ac:dyDescent="0.35">
      <c r="A473" s="172">
        <v>42353</v>
      </c>
      <c r="I473" s="174">
        <v>42353</v>
      </c>
    </row>
    <row r="474" spans="1:9" x14ac:dyDescent="0.35">
      <c r="A474" s="172">
        <v>42354</v>
      </c>
      <c r="I474" s="174">
        <v>42354</v>
      </c>
    </row>
    <row r="475" spans="1:9" x14ac:dyDescent="0.35">
      <c r="A475" s="172">
        <v>42355</v>
      </c>
      <c r="I475" s="174">
        <v>42355</v>
      </c>
    </row>
    <row r="476" spans="1:9" x14ac:dyDescent="0.35">
      <c r="A476" s="172">
        <v>42356</v>
      </c>
      <c r="I476" s="174">
        <v>42356</v>
      </c>
    </row>
    <row r="477" spans="1:9" x14ac:dyDescent="0.35">
      <c r="A477" s="172">
        <v>42357</v>
      </c>
      <c r="I477" s="174">
        <v>42357</v>
      </c>
    </row>
    <row r="478" spans="1:9" x14ac:dyDescent="0.35">
      <c r="A478" s="172">
        <v>42358</v>
      </c>
      <c r="I478" s="174">
        <v>42358</v>
      </c>
    </row>
    <row r="479" spans="1:9" x14ac:dyDescent="0.35">
      <c r="A479" s="172">
        <v>42359</v>
      </c>
      <c r="I479" s="174">
        <v>42359</v>
      </c>
    </row>
    <row r="480" spans="1:9" x14ac:dyDescent="0.35">
      <c r="A480" s="172">
        <v>42360</v>
      </c>
      <c r="I480" s="174">
        <v>42360</v>
      </c>
    </row>
    <row r="481" spans="1:9" x14ac:dyDescent="0.35">
      <c r="A481" s="172">
        <v>42361</v>
      </c>
      <c r="I481" s="174">
        <v>42361</v>
      </c>
    </row>
    <row r="482" spans="1:9" x14ac:dyDescent="0.35">
      <c r="A482" s="172">
        <v>42362</v>
      </c>
      <c r="I482" s="174">
        <v>42362</v>
      </c>
    </row>
    <row r="483" spans="1:9" x14ac:dyDescent="0.35">
      <c r="A483" s="172">
        <v>42363</v>
      </c>
      <c r="I483" s="174">
        <v>42363</v>
      </c>
    </row>
    <row r="484" spans="1:9" x14ac:dyDescent="0.35">
      <c r="A484" s="172">
        <v>42364</v>
      </c>
      <c r="I484" s="174">
        <v>42364</v>
      </c>
    </row>
    <row r="485" spans="1:9" x14ac:dyDescent="0.35">
      <c r="A485" s="172">
        <v>42365</v>
      </c>
      <c r="I485" s="174">
        <v>42365</v>
      </c>
    </row>
    <row r="486" spans="1:9" x14ac:dyDescent="0.35">
      <c r="A486" s="172">
        <v>42366</v>
      </c>
      <c r="I486" s="174">
        <v>42366</v>
      </c>
    </row>
    <row r="487" spans="1:9" x14ac:dyDescent="0.35">
      <c r="A487" s="172">
        <v>42367</v>
      </c>
      <c r="I487" s="174">
        <v>42367</v>
      </c>
    </row>
    <row r="488" spans="1:9" x14ac:dyDescent="0.35">
      <c r="A488" s="172">
        <v>42368</v>
      </c>
      <c r="I488" s="174">
        <v>42368</v>
      </c>
    </row>
    <row r="489" spans="1:9" x14ac:dyDescent="0.35">
      <c r="A489" s="172">
        <v>42369</v>
      </c>
      <c r="I489" s="174">
        <v>42369</v>
      </c>
    </row>
    <row r="490" spans="1:9" x14ac:dyDescent="0.35">
      <c r="A490" s="172">
        <v>42370</v>
      </c>
      <c r="I490" s="174">
        <v>42370</v>
      </c>
    </row>
    <row r="491" spans="1:9" x14ac:dyDescent="0.35">
      <c r="A491" s="172">
        <v>42371</v>
      </c>
      <c r="I491" s="174">
        <v>42371</v>
      </c>
    </row>
    <row r="492" spans="1:9" x14ac:dyDescent="0.35">
      <c r="A492" s="172">
        <v>42372</v>
      </c>
      <c r="I492" s="174">
        <v>42372</v>
      </c>
    </row>
    <row r="493" spans="1:9" x14ac:dyDescent="0.35">
      <c r="A493" s="172">
        <v>42373</v>
      </c>
      <c r="I493" s="174">
        <v>42373</v>
      </c>
    </row>
    <row r="494" spans="1:9" x14ac:dyDescent="0.35">
      <c r="A494" s="172">
        <v>42374</v>
      </c>
      <c r="I494" s="174">
        <v>42374</v>
      </c>
    </row>
    <row r="495" spans="1:9" x14ac:dyDescent="0.35">
      <c r="A495" s="172">
        <v>42375</v>
      </c>
      <c r="I495" s="174">
        <v>42375</v>
      </c>
    </row>
    <row r="496" spans="1:9" x14ac:dyDescent="0.35">
      <c r="A496" s="172">
        <v>42376</v>
      </c>
      <c r="I496" s="174">
        <v>42376</v>
      </c>
    </row>
    <row r="497" spans="1:9" x14ac:dyDescent="0.35">
      <c r="A497" s="172">
        <v>42377</v>
      </c>
      <c r="I497" s="174">
        <v>42377</v>
      </c>
    </row>
    <row r="498" spans="1:9" x14ac:dyDescent="0.35">
      <c r="A498" s="172">
        <v>42378</v>
      </c>
      <c r="I498" s="174">
        <v>42378</v>
      </c>
    </row>
    <row r="499" spans="1:9" x14ac:dyDescent="0.35">
      <c r="A499" s="172">
        <v>42379</v>
      </c>
      <c r="I499" s="174">
        <v>42379</v>
      </c>
    </row>
    <row r="500" spans="1:9" x14ac:dyDescent="0.35">
      <c r="A500" s="172">
        <v>42380</v>
      </c>
      <c r="I500" s="174">
        <v>42380</v>
      </c>
    </row>
    <row r="501" spans="1:9" x14ac:dyDescent="0.35">
      <c r="A501" s="172">
        <v>42381</v>
      </c>
      <c r="I501" s="174">
        <v>42381</v>
      </c>
    </row>
    <row r="502" spans="1:9" x14ac:dyDescent="0.35">
      <c r="A502" s="172">
        <v>42382</v>
      </c>
      <c r="I502" s="174">
        <v>42382</v>
      </c>
    </row>
    <row r="503" spans="1:9" x14ac:dyDescent="0.35">
      <c r="A503" s="172">
        <v>42383</v>
      </c>
      <c r="I503" s="174">
        <v>42383</v>
      </c>
    </row>
    <row r="504" spans="1:9" x14ac:dyDescent="0.35">
      <c r="A504" s="172">
        <v>42384</v>
      </c>
      <c r="I504" s="174">
        <v>42384</v>
      </c>
    </row>
    <row r="505" spans="1:9" x14ac:dyDescent="0.35">
      <c r="A505" s="172">
        <v>42385</v>
      </c>
      <c r="F505" s="35"/>
      <c r="I505" s="174">
        <v>42385</v>
      </c>
    </row>
    <row r="506" spans="1:9" x14ac:dyDescent="0.35">
      <c r="A506" s="172">
        <v>42386</v>
      </c>
      <c r="I506" s="174">
        <v>42386</v>
      </c>
    </row>
    <row r="507" spans="1:9" x14ac:dyDescent="0.35">
      <c r="A507" s="172">
        <v>42387</v>
      </c>
      <c r="I507" s="174">
        <v>42387</v>
      </c>
    </row>
    <row r="508" spans="1:9" x14ac:dyDescent="0.35">
      <c r="A508" s="172">
        <v>42388</v>
      </c>
      <c r="I508" s="174">
        <v>42388</v>
      </c>
    </row>
    <row r="509" spans="1:9" x14ac:dyDescent="0.35">
      <c r="A509" s="172">
        <v>42389</v>
      </c>
      <c r="I509" s="174">
        <v>42389</v>
      </c>
    </row>
    <row r="510" spans="1:9" x14ac:dyDescent="0.35">
      <c r="A510" s="172">
        <v>42390</v>
      </c>
      <c r="I510" s="174">
        <v>42390</v>
      </c>
    </row>
    <row r="511" spans="1:9" x14ac:dyDescent="0.35">
      <c r="A511" s="172">
        <v>42391</v>
      </c>
      <c r="I511" s="174">
        <v>42391</v>
      </c>
    </row>
    <row r="512" spans="1:9" x14ac:dyDescent="0.35">
      <c r="A512" s="172">
        <v>42392</v>
      </c>
      <c r="I512" s="174">
        <v>42392</v>
      </c>
    </row>
    <row r="513" spans="1:9" x14ac:dyDescent="0.35">
      <c r="A513" s="172">
        <v>42393</v>
      </c>
      <c r="I513" s="174">
        <v>42393</v>
      </c>
    </row>
    <row r="514" spans="1:9" x14ac:dyDescent="0.35">
      <c r="A514" s="172">
        <v>42394</v>
      </c>
      <c r="I514" s="174">
        <v>42394</v>
      </c>
    </row>
    <row r="515" spans="1:9" x14ac:dyDescent="0.35">
      <c r="A515" s="172">
        <v>42395</v>
      </c>
      <c r="I515" s="174">
        <v>42395</v>
      </c>
    </row>
    <row r="516" spans="1:9" x14ac:dyDescent="0.35">
      <c r="A516" s="172">
        <v>42396</v>
      </c>
      <c r="I516" s="174">
        <v>42396</v>
      </c>
    </row>
    <row r="517" spans="1:9" x14ac:dyDescent="0.35">
      <c r="A517" s="172">
        <v>42397</v>
      </c>
      <c r="I517" s="174">
        <v>42397</v>
      </c>
    </row>
    <row r="518" spans="1:9" x14ac:dyDescent="0.35">
      <c r="A518" s="172">
        <v>42398</v>
      </c>
      <c r="I518" s="174">
        <v>42398</v>
      </c>
    </row>
    <row r="519" spans="1:9" x14ac:dyDescent="0.35">
      <c r="A519" s="172">
        <v>42399</v>
      </c>
      <c r="I519" s="174">
        <v>42399</v>
      </c>
    </row>
    <row r="520" spans="1:9" x14ac:dyDescent="0.35">
      <c r="A520" s="172">
        <v>42400</v>
      </c>
      <c r="I520" s="174">
        <v>42400</v>
      </c>
    </row>
    <row r="521" spans="1:9" x14ac:dyDescent="0.35">
      <c r="A521" s="172">
        <v>42401</v>
      </c>
      <c r="I521" s="174">
        <v>42401</v>
      </c>
    </row>
    <row r="522" spans="1:9" x14ac:dyDescent="0.35">
      <c r="A522" s="172">
        <v>42402</v>
      </c>
      <c r="I522" s="174">
        <v>42402</v>
      </c>
    </row>
    <row r="523" spans="1:9" x14ac:dyDescent="0.35">
      <c r="A523" s="172">
        <v>42403</v>
      </c>
      <c r="I523" s="174">
        <v>42403</v>
      </c>
    </row>
    <row r="524" spans="1:9" x14ac:dyDescent="0.35">
      <c r="A524" s="172">
        <v>42404</v>
      </c>
      <c r="I524" s="174">
        <v>42404</v>
      </c>
    </row>
    <row r="525" spans="1:9" x14ac:dyDescent="0.35">
      <c r="A525" s="172">
        <v>42405</v>
      </c>
      <c r="I525" s="174">
        <v>42405</v>
      </c>
    </row>
    <row r="526" spans="1:9" x14ac:dyDescent="0.35">
      <c r="A526" s="172">
        <v>42406</v>
      </c>
      <c r="I526" s="174">
        <v>42406</v>
      </c>
    </row>
    <row r="527" spans="1:9" x14ac:dyDescent="0.35">
      <c r="A527" s="172">
        <v>42407</v>
      </c>
      <c r="I527" s="174">
        <v>42407</v>
      </c>
    </row>
    <row r="528" spans="1:9" x14ac:dyDescent="0.35">
      <c r="A528" s="172">
        <v>42408</v>
      </c>
      <c r="I528" s="174">
        <v>42408</v>
      </c>
    </row>
    <row r="529" spans="1:9" x14ac:dyDescent="0.35">
      <c r="A529" s="172">
        <v>42409</v>
      </c>
      <c r="I529" s="174">
        <v>42409</v>
      </c>
    </row>
    <row r="530" spans="1:9" x14ac:dyDescent="0.35">
      <c r="A530" s="172">
        <v>42410</v>
      </c>
      <c r="I530" s="174">
        <v>42410</v>
      </c>
    </row>
    <row r="531" spans="1:9" x14ac:dyDescent="0.35">
      <c r="A531" s="172">
        <v>42411</v>
      </c>
      <c r="I531" s="174">
        <v>42411</v>
      </c>
    </row>
    <row r="532" spans="1:9" x14ac:dyDescent="0.35">
      <c r="A532" s="172">
        <v>42412</v>
      </c>
      <c r="I532" s="174">
        <v>42412</v>
      </c>
    </row>
    <row r="533" spans="1:9" x14ac:dyDescent="0.35">
      <c r="A533" s="172">
        <v>42413</v>
      </c>
      <c r="I533" s="174">
        <v>42413</v>
      </c>
    </row>
    <row r="534" spans="1:9" x14ac:dyDescent="0.35">
      <c r="A534" s="172">
        <v>42414</v>
      </c>
      <c r="I534" s="174">
        <v>42414</v>
      </c>
    </row>
    <row r="535" spans="1:9" x14ac:dyDescent="0.35">
      <c r="A535" s="172">
        <v>42415</v>
      </c>
      <c r="I535" s="174">
        <v>42415</v>
      </c>
    </row>
    <row r="536" spans="1:9" x14ac:dyDescent="0.35">
      <c r="A536" s="172">
        <v>42416</v>
      </c>
      <c r="I536" s="174">
        <v>42416</v>
      </c>
    </row>
    <row r="537" spans="1:9" x14ac:dyDescent="0.35">
      <c r="A537" s="172">
        <v>42417</v>
      </c>
      <c r="I537" s="174">
        <v>42417</v>
      </c>
    </row>
    <row r="538" spans="1:9" x14ac:dyDescent="0.35">
      <c r="A538" s="172">
        <v>42418</v>
      </c>
      <c r="I538" s="174">
        <v>42418</v>
      </c>
    </row>
    <row r="539" spans="1:9" x14ac:dyDescent="0.35">
      <c r="A539" s="172">
        <v>42419</v>
      </c>
      <c r="I539" s="174">
        <v>42419</v>
      </c>
    </row>
    <row r="540" spans="1:9" x14ac:dyDescent="0.35">
      <c r="A540" s="172">
        <v>42420</v>
      </c>
      <c r="I540" s="174">
        <v>42420</v>
      </c>
    </row>
    <row r="541" spans="1:9" x14ac:dyDescent="0.35">
      <c r="A541" s="172">
        <v>42421</v>
      </c>
      <c r="I541" s="174">
        <v>42421</v>
      </c>
    </row>
    <row r="542" spans="1:9" x14ac:dyDescent="0.35">
      <c r="A542" s="172">
        <v>42422</v>
      </c>
      <c r="I542" s="174">
        <v>42422</v>
      </c>
    </row>
    <row r="543" spans="1:9" x14ac:dyDescent="0.35">
      <c r="A543" s="172">
        <v>42423</v>
      </c>
      <c r="I543" s="174">
        <v>42423</v>
      </c>
    </row>
    <row r="544" spans="1:9" x14ac:dyDescent="0.35">
      <c r="A544" s="172">
        <v>42424</v>
      </c>
      <c r="I544" s="174">
        <v>42424</v>
      </c>
    </row>
    <row r="545" spans="1:9" x14ac:dyDescent="0.35">
      <c r="A545" s="172">
        <v>42425</v>
      </c>
      <c r="I545" s="174">
        <v>42425</v>
      </c>
    </row>
    <row r="546" spans="1:9" x14ac:dyDescent="0.35">
      <c r="A546" s="172">
        <v>42426</v>
      </c>
      <c r="I546" s="174">
        <v>42426</v>
      </c>
    </row>
    <row r="547" spans="1:9" x14ac:dyDescent="0.35">
      <c r="A547" s="172">
        <v>42427</v>
      </c>
      <c r="I547" s="174">
        <v>42427</v>
      </c>
    </row>
    <row r="548" spans="1:9" x14ac:dyDescent="0.35">
      <c r="A548" s="172">
        <v>42428</v>
      </c>
      <c r="I548" s="174">
        <v>42428</v>
      </c>
    </row>
    <row r="549" spans="1:9" x14ac:dyDescent="0.35">
      <c r="A549" s="172">
        <v>42429</v>
      </c>
      <c r="I549" s="174">
        <v>42429</v>
      </c>
    </row>
    <row r="550" spans="1:9" x14ac:dyDescent="0.35">
      <c r="A550" s="172">
        <v>42430</v>
      </c>
      <c r="I550" s="174">
        <v>42430</v>
      </c>
    </row>
    <row r="551" spans="1:9" x14ac:dyDescent="0.35">
      <c r="A551" s="172">
        <v>42431</v>
      </c>
      <c r="I551" s="174">
        <v>42431</v>
      </c>
    </row>
    <row r="552" spans="1:9" x14ac:dyDescent="0.35">
      <c r="A552" s="172">
        <v>42432</v>
      </c>
      <c r="I552" s="174">
        <v>42432</v>
      </c>
    </row>
    <row r="553" spans="1:9" x14ac:dyDescent="0.35">
      <c r="A553" s="172">
        <v>42433</v>
      </c>
      <c r="I553" s="174">
        <v>42433</v>
      </c>
    </row>
    <row r="554" spans="1:9" x14ac:dyDescent="0.35">
      <c r="A554" s="172">
        <v>42434</v>
      </c>
      <c r="I554" s="174">
        <v>42434</v>
      </c>
    </row>
    <row r="555" spans="1:9" x14ac:dyDescent="0.35">
      <c r="A555" s="172">
        <v>42435</v>
      </c>
      <c r="I555" s="174">
        <v>42435</v>
      </c>
    </row>
    <row r="556" spans="1:9" x14ac:dyDescent="0.35">
      <c r="A556" s="172">
        <v>42436</v>
      </c>
      <c r="I556" s="174">
        <v>42436</v>
      </c>
    </row>
    <row r="557" spans="1:9" x14ac:dyDescent="0.35">
      <c r="A557" s="172">
        <v>42437</v>
      </c>
      <c r="I557" s="174">
        <v>42437</v>
      </c>
    </row>
    <row r="558" spans="1:9" x14ac:dyDescent="0.35">
      <c r="A558" s="172">
        <v>42438</v>
      </c>
      <c r="I558" s="174">
        <v>42438</v>
      </c>
    </row>
    <row r="559" spans="1:9" x14ac:dyDescent="0.35">
      <c r="A559" s="172">
        <v>42439</v>
      </c>
      <c r="I559" s="174">
        <v>42439</v>
      </c>
    </row>
    <row r="560" spans="1:9" x14ac:dyDescent="0.35">
      <c r="A560" s="172">
        <v>42440</v>
      </c>
      <c r="I560" s="174">
        <v>42440</v>
      </c>
    </row>
    <row r="561" spans="1:9" x14ac:dyDescent="0.35">
      <c r="A561" s="172">
        <v>42441</v>
      </c>
      <c r="I561" s="174">
        <v>42441</v>
      </c>
    </row>
    <row r="562" spans="1:9" x14ac:dyDescent="0.35">
      <c r="A562" s="172">
        <v>42442</v>
      </c>
      <c r="I562" s="174">
        <v>42442</v>
      </c>
    </row>
    <row r="563" spans="1:9" x14ac:dyDescent="0.35">
      <c r="A563" s="172">
        <v>42443</v>
      </c>
      <c r="I563" s="174">
        <v>42443</v>
      </c>
    </row>
    <row r="564" spans="1:9" x14ac:dyDescent="0.35">
      <c r="A564" s="172">
        <v>42444</v>
      </c>
      <c r="I564" s="174">
        <v>42444</v>
      </c>
    </row>
    <row r="565" spans="1:9" x14ac:dyDescent="0.35">
      <c r="A565" s="172">
        <v>42445</v>
      </c>
      <c r="I565" s="174">
        <v>42445</v>
      </c>
    </row>
    <row r="566" spans="1:9" x14ac:dyDescent="0.35">
      <c r="A566" s="172">
        <v>42446</v>
      </c>
      <c r="I566" s="174">
        <v>42446</v>
      </c>
    </row>
    <row r="567" spans="1:9" x14ac:dyDescent="0.35">
      <c r="A567" s="172">
        <v>42447</v>
      </c>
      <c r="I567" s="174">
        <v>42447</v>
      </c>
    </row>
    <row r="568" spans="1:9" x14ac:dyDescent="0.35">
      <c r="A568" s="172">
        <v>42448</v>
      </c>
      <c r="I568" s="174">
        <v>42448</v>
      </c>
    </row>
    <row r="569" spans="1:9" x14ac:dyDescent="0.35">
      <c r="A569" s="172">
        <v>42449</v>
      </c>
      <c r="I569" s="174">
        <v>42449</v>
      </c>
    </row>
    <row r="570" spans="1:9" x14ac:dyDescent="0.35">
      <c r="A570" s="172">
        <v>42450</v>
      </c>
      <c r="I570" s="174">
        <v>42450</v>
      </c>
    </row>
    <row r="571" spans="1:9" x14ac:dyDescent="0.35">
      <c r="A571" s="172">
        <v>42451</v>
      </c>
      <c r="I571" s="174">
        <v>42451</v>
      </c>
    </row>
    <row r="572" spans="1:9" x14ac:dyDescent="0.35">
      <c r="A572" s="172">
        <v>42452</v>
      </c>
      <c r="I572" s="174">
        <v>42452</v>
      </c>
    </row>
    <row r="573" spans="1:9" x14ac:dyDescent="0.35">
      <c r="A573" s="172">
        <v>42453</v>
      </c>
      <c r="I573" s="174">
        <v>42453</v>
      </c>
    </row>
    <row r="574" spans="1:9" x14ac:dyDescent="0.35">
      <c r="A574" s="172">
        <v>42454</v>
      </c>
      <c r="I574" s="174">
        <v>42454</v>
      </c>
    </row>
    <row r="575" spans="1:9" x14ac:dyDescent="0.35">
      <c r="A575" s="172">
        <v>42455</v>
      </c>
      <c r="I575" s="174">
        <v>42455</v>
      </c>
    </row>
    <row r="576" spans="1:9" x14ac:dyDescent="0.35">
      <c r="A576" s="172">
        <v>42456</v>
      </c>
      <c r="I576" s="174">
        <v>42456</v>
      </c>
    </row>
    <row r="577" spans="1:9" x14ac:dyDescent="0.35">
      <c r="A577" s="172">
        <v>42457</v>
      </c>
      <c r="I577" s="174">
        <v>42457</v>
      </c>
    </row>
    <row r="578" spans="1:9" x14ac:dyDescent="0.35">
      <c r="A578" s="172">
        <v>42458</v>
      </c>
      <c r="I578" s="174">
        <v>42458</v>
      </c>
    </row>
    <row r="579" spans="1:9" x14ac:dyDescent="0.35">
      <c r="A579" s="172">
        <v>42459</v>
      </c>
      <c r="I579" s="174">
        <v>42459</v>
      </c>
    </row>
    <row r="580" spans="1:9" x14ac:dyDescent="0.35">
      <c r="A580" s="172">
        <v>42460</v>
      </c>
      <c r="I580" s="174">
        <v>42460</v>
      </c>
    </row>
    <row r="581" spans="1:9" x14ac:dyDescent="0.35">
      <c r="A581" s="174">
        <v>42461</v>
      </c>
      <c r="I581" s="174">
        <v>42461</v>
      </c>
    </row>
    <row r="582" spans="1:9" x14ac:dyDescent="0.35">
      <c r="A582" s="174">
        <v>42462</v>
      </c>
      <c r="I582" s="174">
        <v>42462</v>
      </c>
    </row>
    <row r="583" spans="1:9" x14ac:dyDescent="0.35">
      <c r="A583" s="174">
        <v>42463</v>
      </c>
      <c r="I583" s="174">
        <v>42463</v>
      </c>
    </row>
    <row r="584" spans="1:9" x14ac:dyDescent="0.35">
      <c r="A584" s="174">
        <v>42464</v>
      </c>
      <c r="I584" s="174">
        <v>42464</v>
      </c>
    </row>
    <row r="585" spans="1:9" x14ac:dyDescent="0.35">
      <c r="A585" s="174">
        <v>42465</v>
      </c>
      <c r="I585" s="174">
        <v>42465</v>
      </c>
    </row>
    <row r="586" spans="1:9" x14ac:dyDescent="0.35">
      <c r="A586" s="174">
        <v>42466</v>
      </c>
      <c r="I586" s="174">
        <v>42466</v>
      </c>
    </row>
    <row r="587" spans="1:9" x14ac:dyDescent="0.35">
      <c r="A587" s="174">
        <v>42467</v>
      </c>
      <c r="I587" s="174">
        <v>42467</v>
      </c>
    </row>
    <row r="588" spans="1:9" x14ac:dyDescent="0.35">
      <c r="A588" s="174">
        <v>42468</v>
      </c>
      <c r="I588" s="174">
        <v>42468</v>
      </c>
    </row>
    <row r="589" spans="1:9" x14ac:dyDescent="0.35">
      <c r="A589" s="174">
        <v>42469</v>
      </c>
      <c r="I589" s="174">
        <v>42469</v>
      </c>
    </row>
    <row r="590" spans="1:9" x14ac:dyDescent="0.35">
      <c r="A590" s="174">
        <v>42470</v>
      </c>
      <c r="I590" s="174">
        <v>42470</v>
      </c>
    </row>
    <row r="591" spans="1:9" x14ac:dyDescent="0.35">
      <c r="A591" s="174">
        <v>42471</v>
      </c>
      <c r="I591" s="174">
        <v>42471</v>
      </c>
    </row>
    <row r="592" spans="1:9" x14ac:dyDescent="0.35">
      <c r="A592" s="174">
        <v>42472</v>
      </c>
      <c r="I592" s="174">
        <v>42472</v>
      </c>
    </row>
    <row r="593" spans="1:9" x14ac:dyDescent="0.35">
      <c r="A593" s="174">
        <v>42473</v>
      </c>
      <c r="I593" s="174">
        <v>42473</v>
      </c>
    </row>
    <row r="594" spans="1:9" x14ac:dyDescent="0.35">
      <c r="A594" s="174">
        <v>42474</v>
      </c>
      <c r="I594" s="174">
        <v>42474</v>
      </c>
    </row>
    <row r="595" spans="1:9" x14ac:dyDescent="0.35">
      <c r="A595" s="174">
        <v>42475</v>
      </c>
      <c r="I595" s="174">
        <v>42475</v>
      </c>
    </row>
    <row r="596" spans="1:9" x14ac:dyDescent="0.35">
      <c r="A596" s="174">
        <v>42476</v>
      </c>
      <c r="I596" s="174">
        <v>42476</v>
      </c>
    </row>
    <row r="597" spans="1:9" x14ac:dyDescent="0.35">
      <c r="A597" s="174">
        <v>42477</v>
      </c>
      <c r="I597" s="174">
        <v>42477</v>
      </c>
    </row>
    <row r="598" spans="1:9" x14ac:dyDescent="0.35">
      <c r="A598" s="174">
        <v>42478</v>
      </c>
      <c r="I598" s="174">
        <v>42478</v>
      </c>
    </row>
    <row r="599" spans="1:9" x14ac:dyDescent="0.35">
      <c r="A599" s="174">
        <v>42479</v>
      </c>
      <c r="I599" s="174">
        <v>42479</v>
      </c>
    </row>
    <row r="600" spans="1:9" x14ac:dyDescent="0.35">
      <c r="A600" s="174">
        <v>42480</v>
      </c>
      <c r="I600" s="174">
        <v>42480</v>
      </c>
    </row>
    <row r="601" spans="1:9" x14ac:dyDescent="0.35">
      <c r="A601" s="174">
        <v>42481</v>
      </c>
      <c r="I601" s="174">
        <v>42481</v>
      </c>
    </row>
  </sheetData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A40"/>
  <sheetViews>
    <sheetView workbookViewId="0">
      <selection activeCell="D10" sqref="D10"/>
    </sheetView>
  </sheetViews>
  <sheetFormatPr defaultColWidth="8.81640625" defaultRowHeight="14.5" x14ac:dyDescent="0.35"/>
  <cols>
    <col min="1" max="1" width="10.6328125" bestFit="1" customWidth="1"/>
    <col min="3" max="3" width="12" bestFit="1" customWidth="1"/>
    <col min="4" max="5" width="12.453125" bestFit="1" customWidth="1"/>
    <col min="9" max="9" width="10.6328125" bestFit="1" customWidth="1"/>
    <col min="16" max="16" width="10.6328125" bestFit="1" customWidth="1"/>
    <col min="23" max="23" width="10.6328125" bestFit="1" customWidth="1"/>
  </cols>
  <sheetData>
    <row r="1" spans="1:27" x14ac:dyDescent="0.35">
      <c r="A1" t="s">
        <v>97</v>
      </c>
      <c r="H1" t="s">
        <v>157</v>
      </c>
      <c r="O1" t="s">
        <v>78</v>
      </c>
      <c r="V1" t="s">
        <v>158</v>
      </c>
    </row>
    <row r="2" spans="1:27" x14ac:dyDescent="0.35">
      <c r="A2" s="19">
        <f>I2</f>
        <v>42163</v>
      </c>
      <c r="C2">
        <f>K2+R2+Y2</f>
        <v>1239.9592422417854</v>
      </c>
      <c r="E2">
        <f>M2+T2+AA2</f>
        <v>1294.8306809456146</v>
      </c>
      <c r="I2" s="19">
        <v>42163</v>
      </c>
      <c r="K2">
        <v>361.87602035623081</v>
      </c>
      <c r="L2">
        <v>361.85412478273537</v>
      </c>
      <c r="M2">
        <v>387.93573162399861</v>
      </c>
      <c r="P2" s="19">
        <v>42163</v>
      </c>
      <c r="R2">
        <v>514.014357005178</v>
      </c>
      <c r="S2">
        <v>513.98330868899416</v>
      </c>
      <c r="T2">
        <v>511.29681137671082</v>
      </c>
      <c r="W2" s="19">
        <v>42163</v>
      </c>
      <c r="Y2">
        <v>364.06886488037674</v>
      </c>
      <c r="Z2">
        <v>364.51352459662183</v>
      </c>
      <c r="AA2">
        <v>395.59813794490515</v>
      </c>
    </row>
    <row r="3" spans="1:27" x14ac:dyDescent="0.35">
      <c r="A3" s="19">
        <f t="shared" ref="A3:A17" si="0">I3</f>
        <v>42164</v>
      </c>
      <c r="B3">
        <f>J3+Q3+X3</f>
        <v>1288.5490192745879</v>
      </c>
      <c r="C3">
        <f t="shared" ref="C3:E17" si="1">K3+R3+Y3</f>
        <v>1282.2549685323652</v>
      </c>
      <c r="D3">
        <f t="shared" si="1"/>
        <v>1284.2631048884164</v>
      </c>
      <c r="E3">
        <f t="shared" si="1"/>
        <v>1333.5743229080515</v>
      </c>
      <c r="I3" s="19">
        <v>42164</v>
      </c>
      <c r="J3">
        <v>364.06333415414701</v>
      </c>
      <c r="K3">
        <v>364.66638106436903</v>
      </c>
      <c r="L3">
        <v>364.69856772763603</v>
      </c>
      <c r="M3">
        <v>388.82415174638197</v>
      </c>
      <c r="P3" s="19">
        <v>42164</v>
      </c>
      <c r="Q3">
        <v>568.17971473409011</v>
      </c>
      <c r="R3">
        <v>555.48284856743157</v>
      </c>
      <c r="S3">
        <v>555.53316898561968</v>
      </c>
      <c r="T3">
        <v>549.75650895733122</v>
      </c>
      <c r="W3" s="19">
        <v>42164</v>
      </c>
      <c r="X3">
        <v>356.30597038635079</v>
      </c>
      <c r="Y3">
        <v>362.10573890056457</v>
      </c>
      <c r="Z3">
        <v>364.03136817516054</v>
      </c>
      <c r="AA3">
        <v>394.99366220433831</v>
      </c>
    </row>
    <row r="4" spans="1:27" x14ac:dyDescent="0.35">
      <c r="A4" s="19">
        <f t="shared" si="0"/>
        <v>42165</v>
      </c>
      <c r="B4">
        <f t="shared" ref="B4:B17" si="2">J4+Q4+X4</f>
        <v>1322.395097765431</v>
      </c>
      <c r="C4">
        <f t="shared" si="1"/>
        <v>1313.8539205523887</v>
      </c>
      <c r="D4">
        <f t="shared" si="1"/>
        <v>1316.108217298864</v>
      </c>
      <c r="E4">
        <f t="shared" si="1"/>
        <v>1361.1313828372618</v>
      </c>
      <c r="I4" s="19">
        <v>42165</v>
      </c>
      <c r="J4">
        <v>366.10129150531498</v>
      </c>
      <c r="K4">
        <v>366.86512187699299</v>
      </c>
      <c r="L4">
        <v>366.89700343430735</v>
      </c>
      <c r="M4">
        <v>389.38856837111962</v>
      </c>
      <c r="P4" s="19">
        <v>42165</v>
      </c>
      <c r="Q4">
        <v>602.00304096200705</v>
      </c>
      <c r="R4">
        <v>585.81874833278141</v>
      </c>
      <c r="S4">
        <v>585.85914177988548</v>
      </c>
      <c r="T4">
        <v>577.94808830541763</v>
      </c>
      <c r="W4" s="19">
        <v>42165</v>
      </c>
      <c r="X4">
        <v>354.29076529810897</v>
      </c>
      <c r="Y4">
        <v>361.17005034261427</v>
      </c>
      <c r="Z4">
        <v>363.35207208467108</v>
      </c>
      <c r="AA4">
        <v>393.79472616072439</v>
      </c>
    </row>
    <row r="5" spans="1:27" x14ac:dyDescent="0.35">
      <c r="A5" s="19">
        <f t="shared" si="0"/>
        <v>42166</v>
      </c>
      <c r="B5">
        <f t="shared" si="2"/>
        <v>1344.1845707425396</v>
      </c>
      <c r="C5">
        <f t="shared" si="1"/>
        <v>1334.0976552250243</v>
      </c>
      <c r="D5">
        <f t="shared" si="1"/>
        <v>1336.8726345907917</v>
      </c>
      <c r="E5">
        <f t="shared" si="1"/>
        <v>1379.1121119731492</v>
      </c>
      <c r="I5" s="19">
        <v>42166</v>
      </c>
      <c r="J5">
        <v>367.59796757693454</v>
      </c>
      <c r="K5">
        <v>368.49630977455041</v>
      </c>
      <c r="L5">
        <v>368.55916338027856</v>
      </c>
      <c r="M5">
        <v>389.68032590350236</v>
      </c>
      <c r="P5" s="19">
        <v>42166</v>
      </c>
      <c r="Q5">
        <v>625.39423834144054</v>
      </c>
      <c r="R5">
        <v>606.69973737482781</v>
      </c>
      <c r="S5">
        <v>606.77839374904204</v>
      </c>
      <c r="T5">
        <v>597.30315713080677</v>
      </c>
      <c r="W5" s="19">
        <v>42166</v>
      </c>
      <c r="X5">
        <v>351.19236482416454</v>
      </c>
      <c r="Y5">
        <v>358.90160807564598</v>
      </c>
      <c r="Z5">
        <v>361.53507746147113</v>
      </c>
      <c r="AA5">
        <v>392.12862893884022</v>
      </c>
    </row>
    <row r="6" spans="1:27" x14ac:dyDescent="0.35">
      <c r="A6" s="19">
        <f t="shared" si="0"/>
        <v>42167</v>
      </c>
      <c r="B6">
        <f t="shared" si="2"/>
        <v>1325.953418934374</v>
      </c>
      <c r="C6">
        <f t="shared" si="1"/>
        <v>1314.2448982910632</v>
      </c>
      <c r="D6">
        <f t="shared" si="1"/>
        <v>1320.9048587417219</v>
      </c>
      <c r="E6">
        <f t="shared" si="1"/>
        <v>1359.9211845003083</v>
      </c>
      <c r="I6" s="19">
        <v>42167</v>
      </c>
      <c r="J6">
        <v>368.69296158603942</v>
      </c>
      <c r="K6">
        <v>369.6625867945296</v>
      </c>
      <c r="L6">
        <v>369.83824520179007</v>
      </c>
      <c r="M6">
        <v>389.83267411401874</v>
      </c>
      <c r="P6" s="19">
        <v>42167</v>
      </c>
      <c r="Q6">
        <v>614.61268279913781</v>
      </c>
      <c r="R6">
        <v>594.72023785668978</v>
      </c>
      <c r="S6">
        <v>594.94384539907037</v>
      </c>
      <c r="T6">
        <v>584.68322483297732</v>
      </c>
      <c r="W6" s="19">
        <v>42167</v>
      </c>
      <c r="X6">
        <v>342.64777454919675</v>
      </c>
      <c r="Y6">
        <v>349.8620736398438</v>
      </c>
      <c r="Z6">
        <v>356.12276814086158</v>
      </c>
      <c r="AA6">
        <v>385.40528555331235</v>
      </c>
    </row>
    <row r="7" spans="1:27" x14ac:dyDescent="0.35">
      <c r="A7" s="19">
        <f t="shared" si="0"/>
        <v>42168</v>
      </c>
      <c r="B7">
        <f t="shared" si="2"/>
        <v>1079.6207325396974</v>
      </c>
      <c r="C7">
        <f t="shared" si="1"/>
        <v>1075.4835967762538</v>
      </c>
      <c r="D7">
        <f t="shared" si="1"/>
        <v>1081.1413344517894</v>
      </c>
      <c r="E7">
        <f t="shared" si="1"/>
        <v>1116.9186014712964</v>
      </c>
      <c r="I7" s="19">
        <v>42168</v>
      </c>
      <c r="J7">
        <v>307.67539620281212</v>
      </c>
      <c r="K7">
        <v>308.45574372007144</v>
      </c>
      <c r="L7">
        <v>308.81320934536978</v>
      </c>
      <c r="M7">
        <v>324.61378696353842</v>
      </c>
      <c r="P7" s="19">
        <v>42168</v>
      </c>
      <c r="Q7">
        <v>462.01847127309043</v>
      </c>
      <c r="R7">
        <v>448.3639876898614</v>
      </c>
      <c r="S7">
        <v>448.73270910683044</v>
      </c>
      <c r="T7">
        <v>442.53514041351923</v>
      </c>
      <c r="W7" s="19">
        <v>42168</v>
      </c>
      <c r="X7">
        <v>309.92686506379488</v>
      </c>
      <c r="Y7">
        <v>318.66386536632081</v>
      </c>
      <c r="Z7">
        <v>323.59541599958908</v>
      </c>
      <c r="AA7">
        <v>349.76967409423889</v>
      </c>
    </row>
    <row r="8" spans="1:27" x14ac:dyDescent="0.35">
      <c r="A8" s="19">
        <f t="shared" si="0"/>
        <v>42169</v>
      </c>
      <c r="B8">
        <f t="shared" si="2"/>
        <v>0</v>
      </c>
      <c r="C8">
        <f t="shared" si="1"/>
        <v>1009.4055766160329</v>
      </c>
      <c r="D8">
        <f t="shared" si="1"/>
        <v>1012.602412589956</v>
      </c>
      <c r="E8">
        <f t="shared" si="1"/>
        <v>1045.5950124072415</v>
      </c>
      <c r="I8" s="19">
        <v>42169</v>
      </c>
      <c r="K8">
        <v>292.08416409374468</v>
      </c>
      <c r="L8">
        <v>292.46936043671462</v>
      </c>
      <c r="M8">
        <v>306.70634054311444</v>
      </c>
      <c r="P8" s="19">
        <v>42169</v>
      </c>
      <c r="R8">
        <v>403.81010361819341</v>
      </c>
      <c r="S8">
        <v>404.03570607186725</v>
      </c>
      <c r="T8">
        <v>397.72277264727398</v>
      </c>
      <c r="W8" s="19">
        <v>42169</v>
      </c>
      <c r="Y8">
        <v>313.51130890409485</v>
      </c>
      <c r="Z8">
        <v>316.09734608137404</v>
      </c>
      <c r="AA8">
        <v>341.16589921685318</v>
      </c>
    </row>
    <row r="9" spans="1:27" x14ac:dyDescent="0.35">
      <c r="A9" s="19">
        <f t="shared" si="0"/>
        <v>42170</v>
      </c>
      <c r="B9">
        <f t="shared" si="2"/>
        <v>0</v>
      </c>
      <c r="C9">
        <f t="shared" si="1"/>
        <v>1337.8966745346688</v>
      </c>
      <c r="D9">
        <f t="shared" si="1"/>
        <v>1339.4989588873959</v>
      </c>
      <c r="E9">
        <f t="shared" si="1"/>
        <v>1376.8620296029037</v>
      </c>
      <c r="I9" s="19">
        <v>42170</v>
      </c>
      <c r="K9">
        <v>378.82562116147722</v>
      </c>
      <c r="L9">
        <v>379.52944618314223</v>
      </c>
      <c r="M9">
        <v>397.80543291040289</v>
      </c>
      <c r="P9" s="19">
        <v>42170</v>
      </c>
      <c r="R9">
        <v>594.5904701144276</v>
      </c>
      <c r="S9">
        <v>595.19588553170399</v>
      </c>
      <c r="T9">
        <v>585.29948876854587</v>
      </c>
      <c r="W9" s="19">
        <v>42170</v>
      </c>
      <c r="Y9">
        <v>364.48058325876411</v>
      </c>
      <c r="Z9">
        <v>364.7736271725496</v>
      </c>
      <c r="AA9">
        <v>393.75710792395489</v>
      </c>
    </row>
    <row r="10" spans="1:27" x14ac:dyDescent="0.35">
      <c r="A10" s="19">
        <f t="shared" si="0"/>
        <v>42171</v>
      </c>
      <c r="B10">
        <f t="shared" si="2"/>
        <v>0</v>
      </c>
      <c r="C10">
        <f t="shared" si="1"/>
        <v>1360.4480494072536</v>
      </c>
      <c r="D10">
        <f t="shared" si="1"/>
        <v>1360.6095275460937</v>
      </c>
      <c r="E10">
        <f t="shared" si="1"/>
        <v>1395.519981984311</v>
      </c>
      <c r="I10" s="19">
        <v>42171</v>
      </c>
      <c r="K10">
        <v>378.31759571806691</v>
      </c>
      <c r="L10">
        <v>379.23546118682657</v>
      </c>
      <c r="M10">
        <v>396.96109749516614</v>
      </c>
      <c r="P10" s="19">
        <v>42171</v>
      </c>
      <c r="R10">
        <v>619.03275885491564</v>
      </c>
      <c r="S10">
        <v>619.92662563039846</v>
      </c>
      <c r="T10">
        <v>608.28931667959387</v>
      </c>
      <c r="W10" s="19">
        <v>42171</v>
      </c>
      <c r="Y10">
        <v>363.09769483427112</v>
      </c>
      <c r="Z10">
        <v>361.44744072886863</v>
      </c>
      <c r="AA10">
        <v>390.26956780955106</v>
      </c>
    </row>
    <row r="11" spans="1:27" x14ac:dyDescent="0.35">
      <c r="A11" s="19">
        <f t="shared" si="0"/>
        <v>42172</v>
      </c>
      <c r="B11">
        <f t="shared" si="2"/>
        <v>0</v>
      </c>
      <c r="C11">
        <f t="shared" si="1"/>
        <v>1374.3403508887761</v>
      </c>
      <c r="D11">
        <f t="shared" si="1"/>
        <v>1375.1236143425861</v>
      </c>
      <c r="E11">
        <f t="shared" si="1"/>
        <v>1408.3591490617173</v>
      </c>
      <c r="I11" s="19">
        <v>42172</v>
      </c>
      <c r="K11">
        <v>377.89224096385993</v>
      </c>
      <c r="L11">
        <v>379.32973354023926</v>
      </c>
      <c r="M11">
        <v>396.48870115307062</v>
      </c>
      <c r="P11" s="19">
        <v>42172</v>
      </c>
      <c r="R11">
        <v>635.73717739773326</v>
      </c>
      <c r="S11">
        <v>637.3068353339039</v>
      </c>
      <c r="T11">
        <v>624.289212494004</v>
      </c>
      <c r="W11" s="19">
        <v>42172</v>
      </c>
      <c r="Y11">
        <v>360.71093252718282</v>
      </c>
      <c r="Z11">
        <v>358.48704546844289</v>
      </c>
      <c r="AA11">
        <v>387.58123541464261</v>
      </c>
    </row>
    <row r="12" spans="1:27" x14ac:dyDescent="0.35">
      <c r="A12" s="19">
        <f t="shared" si="0"/>
        <v>42173</v>
      </c>
      <c r="B12">
        <f t="shared" si="2"/>
        <v>0</v>
      </c>
      <c r="C12">
        <f t="shared" si="1"/>
        <v>0</v>
      </c>
      <c r="D12">
        <f t="shared" si="1"/>
        <v>1385.2867969730019</v>
      </c>
      <c r="E12">
        <f t="shared" si="1"/>
        <v>1417.9661732752952</v>
      </c>
      <c r="I12" s="19">
        <v>42173</v>
      </c>
      <c r="L12">
        <v>379.52113860436975</v>
      </c>
      <c r="M12">
        <v>396.28181222984716</v>
      </c>
      <c r="P12" s="19">
        <v>42173</v>
      </c>
      <c r="S12">
        <v>649.47538355940321</v>
      </c>
      <c r="T12">
        <v>635.57164655623205</v>
      </c>
      <c r="W12" s="19">
        <v>42173</v>
      </c>
      <c r="Z12">
        <v>356.29027480922878</v>
      </c>
      <c r="AA12">
        <v>386.11271448921582</v>
      </c>
    </row>
    <row r="13" spans="1:27" x14ac:dyDescent="0.35">
      <c r="A13" s="19">
        <f t="shared" si="0"/>
        <v>42174</v>
      </c>
      <c r="B13">
        <f t="shared" si="2"/>
        <v>0</v>
      </c>
      <c r="C13">
        <f t="shared" si="1"/>
        <v>0</v>
      </c>
      <c r="D13">
        <f t="shared" si="1"/>
        <v>1362.8627414629614</v>
      </c>
      <c r="E13">
        <f t="shared" si="1"/>
        <v>1392.7997458378179</v>
      </c>
      <c r="I13" s="19">
        <v>42174</v>
      </c>
      <c r="L13">
        <v>380.00870297239697</v>
      </c>
      <c r="M13">
        <v>396.17550383390335</v>
      </c>
      <c r="P13" s="19">
        <v>42174</v>
      </c>
      <c r="S13">
        <v>630.75915261968987</v>
      </c>
      <c r="T13">
        <v>616.43106990605133</v>
      </c>
      <c r="W13" s="19">
        <v>42174</v>
      </c>
      <c r="Z13">
        <v>352.09488587087458</v>
      </c>
      <c r="AA13">
        <v>380.19317209786328</v>
      </c>
    </row>
    <row r="14" spans="1:27" x14ac:dyDescent="0.35">
      <c r="A14" s="19">
        <f t="shared" si="0"/>
        <v>42175</v>
      </c>
      <c r="B14">
        <f t="shared" si="2"/>
        <v>0</v>
      </c>
      <c r="C14">
        <f t="shared" si="1"/>
        <v>0</v>
      </c>
      <c r="D14">
        <f t="shared" si="1"/>
        <v>1111.9516428792926</v>
      </c>
      <c r="E14">
        <f t="shared" si="1"/>
        <v>1141.2680147950405</v>
      </c>
      <c r="I14" s="19">
        <v>42175</v>
      </c>
      <c r="L14">
        <v>316.5509908095832</v>
      </c>
      <c r="M14">
        <v>329.68433465621501</v>
      </c>
      <c r="P14" s="19">
        <v>42175</v>
      </c>
      <c r="S14">
        <v>477.13858643089804</v>
      </c>
      <c r="T14">
        <v>466.83905535418336</v>
      </c>
      <c r="W14" s="19">
        <v>42175</v>
      </c>
      <c r="Z14">
        <v>318.26206563881141</v>
      </c>
      <c r="AA14">
        <v>344.74462478464227</v>
      </c>
    </row>
    <row r="15" spans="1:27" x14ac:dyDescent="0.35">
      <c r="A15" s="19">
        <f t="shared" si="0"/>
        <v>42176</v>
      </c>
      <c r="B15">
        <f t="shared" si="2"/>
        <v>0</v>
      </c>
      <c r="C15">
        <f t="shared" si="1"/>
        <v>0</v>
      </c>
      <c r="D15">
        <f t="shared" si="1"/>
        <v>1038.5535970377921</v>
      </c>
      <c r="E15">
        <f t="shared" si="1"/>
        <v>1067.1452529173407</v>
      </c>
      <c r="I15" s="19">
        <v>42176</v>
      </c>
      <c r="L15">
        <v>298.90475124539887</v>
      </c>
      <c r="M15">
        <v>311.27942367943541</v>
      </c>
      <c r="P15" s="19">
        <v>42176</v>
      </c>
      <c r="S15">
        <v>428.34673693450924</v>
      </c>
      <c r="T15">
        <v>419.04817256197504</v>
      </c>
      <c r="W15" s="19">
        <v>42176</v>
      </c>
      <c r="Z15">
        <v>311.30210885788392</v>
      </c>
      <c r="AA15">
        <v>336.81765667593038</v>
      </c>
    </row>
    <row r="16" spans="1:27" x14ac:dyDescent="0.35">
      <c r="A16" s="19">
        <f t="shared" si="0"/>
        <v>42177</v>
      </c>
      <c r="B16">
        <f t="shared" si="2"/>
        <v>0</v>
      </c>
      <c r="C16">
        <f t="shared" si="1"/>
        <v>0</v>
      </c>
      <c r="D16">
        <f t="shared" si="1"/>
        <v>1381.3952164552934</v>
      </c>
      <c r="E16">
        <f t="shared" si="1"/>
        <v>1414.7932375533753</v>
      </c>
      <c r="I16" s="19">
        <v>42177</v>
      </c>
      <c r="L16">
        <v>387.36693312269568</v>
      </c>
      <c r="M16">
        <v>403.58971785169564</v>
      </c>
      <c r="P16" s="19">
        <v>42177</v>
      </c>
      <c r="S16">
        <v>633.74884584477149</v>
      </c>
      <c r="T16">
        <v>620.25925038292883</v>
      </c>
      <c r="W16" s="19">
        <v>42177</v>
      </c>
      <c r="Z16">
        <v>360.27943748782639</v>
      </c>
      <c r="AA16">
        <v>390.94426931875091</v>
      </c>
    </row>
    <row r="17" spans="1:27" x14ac:dyDescent="0.35">
      <c r="A17" s="19">
        <f t="shared" si="0"/>
        <v>42116</v>
      </c>
      <c r="B17">
        <f t="shared" si="2"/>
        <v>0</v>
      </c>
      <c r="C17">
        <f t="shared" si="1"/>
        <v>0</v>
      </c>
      <c r="D17">
        <f t="shared" si="1"/>
        <v>1630.4471093622637</v>
      </c>
      <c r="E17">
        <f t="shared" si="1"/>
        <v>0</v>
      </c>
      <c r="I17" s="19">
        <v>42116</v>
      </c>
      <c r="L17">
        <v>353.95739724575276</v>
      </c>
      <c r="P17" s="19">
        <v>42116</v>
      </c>
      <c r="S17">
        <v>640.83822138682979</v>
      </c>
      <c r="W17" s="19">
        <v>42116</v>
      </c>
      <c r="Z17">
        <v>635.65149072968131</v>
      </c>
    </row>
    <row r="23" spans="1:27" x14ac:dyDescent="0.35">
      <c r="A23" t="s">
        <v>194</v>
      </c>
    </row>
    <row r="24" spans="1:27" x14ac:dyDescent="0.35">
      <c r="A24" s="133"/>
    </row>
    <row r="25" spans="1:27" x14ac:dyDescent="0.35">
      <c r="A25" s="133">
        <f>I25</f>
        <v>42162</v>
      </c>
      <c r="C25">
        <f>K25+R25+Y25</f>
        <v>975.28580173455157</v>
      </c>
      <c r="E25">
        <f>M25+T25+AA25</f>
        <v>975.43538726944007</v>
      </c>
      <c r="I25" s="133">
        <v>42162</v>
      </c>
      <c r="K25">
        <v>299.05006860253133</v>
      </c>
      <c r="M25">
        <v>299.07259999551906</v>
      </c>
      <c r="P25" s="133">
        <v>42162</v>
      </c>
      <c r="R25">
        <v>367.32082430417989</v>
      </c>
      <c r="T25">
        <v>367.35288968897635</v>
      </c>
      <c r="W25" s="133">
        <v>42162</v>
      </c>
      <c r="Y25">
        <v>308.91490882784035</v>
      </c>
      <c r="AA25">
        <v>309.00989758494455</v>
      </c>
    </row>
    <row r="26" spans="1:27" x14ac:dyDescent="0.35">
      <c r="A26" s="133">
        <f>I26</f>
        <v>42163</v>
      </c>
      <c r="B26">
        <f>J26+Q26+X26</f>
        <v>1295.856126126243</v>
      </c>
      <c r="C26">
        <f>K26+R26+Y26</f>
        <v>1296.6476690963184</v>
      </c>
      <c r="D26">
        <f>L26+S26+Z26</f>
        <v>1294.8306809456146</v>
      </c>
      <c r="E26">
        <f>M26+T26+AA26</f>
        <v>1295.4186252774057</v>
      </c>
      <c r="I26" s="133">
        <v>42163</v>
      </c>
      <c r="J26">
        <v>388.01151139496886</v>
      </c>
      <c r="K26">
        <v>387.18331112426483</v>
      </c>
      <c r="L26">
        <v>387.93573162399861</v>
      </c>
      <c r="M26">
        <v>387.13808268112666</v>
      </c>
      <c r="P26" s="133">
        <v>42163</v>
      </c>
      <c r="Q26">
        <v>511.40426845199238</v>
      </c>
      <c r="R26">
        <v>520.84495719059885</v>
      </c>
      <c r="S26">
        <v>511.29681137671082</v>
      </c>
      <c r="T26">
        <v>520.7585459567249</v>
      </c>
      <c r="W26" s="133">
        <v>42163</v>
      </c>
      <c r="X26">
        <v>396.44034627928193</v>
      </c>
      <c r="Y26">
        <v>388.61940078145471</v>
      </c>
      <c r="Z26">
        <v>395.59813794490515</v>
      </c>
      <c r="AA26">
        <v>387.52199663955423</v>
      </c>
    </row>
    <row r="27" spans="1:27" x14ac:dyDescent="0.35">
      <c r="A27" s="133">
        <f t="shared" ref="A27:A40" si="3">I27</f>
        <v>42164</v>
      </c>
      <c r="B27">
        <f t="shared" ref="B27:B40" si="4">J27+Q27+X27</f>
        <v>1333.7219193982298</v>
      </c>
      <c r="C27">
        <f t="shared" ref="C27:C40" si="5">K27+R27+Y27</f>
        <v>1336.8616523637659</v>
      </c>
      <c r="D27">
        <f t="shared" ref="D27:D40" si="6">L27+S27+Z27</f>
        <v>1333.5743229080515</v>
      </c>
      <c r="E27">
        <f t="shared" ref="E27:E40" si="7">M27+T27+AA27</f>
        <v>1336.9409291061795</v>
      </c>
      <c r="I27" s="133">
        <v>42164</v>
      </c>
      <c r="J27">
        <v>388.7938639674648</v>
      </c>
      <c r="K27">
        <v>387.61954587533592</v>
      </c>
      <c r="L27">
        <v>388.82415174638197</v>
      </c>
      <c r="M27">
        <v>387.69124778569534</v>
      </c>
      <c r="P27" s="133">
        <v>42164</v>
      </c>
      <c r="Q27">
        <v>549.69696950867251</v>
      </c>
      <c r="R27">
        <v>564.41739935305725</v>
      </c>
      <c r="S27">
        <v>549.75650895733122</v>
      </c>
      <c r="T27">
        <v>564.51475744467689</v>
      </c>
      <c r="W27" s="133">
        <v>42164</v>
      </c>
      <c r="X27">
        <v>395.23108592209246</v>
      </c>
      <c r="Y27">
        <v>384.82470713537271</v>
      </c>
      <c r="Z27">
        <v>394.99366220433831</v>
      </c>
      <c r="AA27">
        <v>384.73492387580717</v>
      </c>
    </row>
    <row r="28" spans="1:27" x14ac:dyDescent="0.35">
      <c r="A28" s="133">
        <f t="shared" si="3"/>
        <v>42165</v>
      </c>
      <c r="B28">
        <f t="shared" si="4"/>
        <v>1361.307816752379</v>
      </c>
      <c r="C28">
        <f t="shared" si="5"/>
        <v>1366.7851111805653</v>
      </c>
      <c r="D28">
        <f t="shared" si="6"/>
        <v>1361.1313828372618</v>
      </c>
      <c r="E28">
        <f t="shared" si="7"/>
        <v>1366.6138115016802</v>
      </c>
      <c r="I28" s="133">
        <v>42165</v>
      </c>
      <c r="J28">
        <v>389.32488517993835</v>
      </c>
      <c r="K28">
        <v>387.90286336308384</v>
      </c>
      <c r="L28">
        <v>389.38856837111962</v>
      </c>
      <c r="M28">
        <v>388.01643983392847</v>
      </c>
      <c r="P28" s="133">
        <v>42165</v>
      </c>
      <c r="Q28">
        <v>577.85613572712271</v>
      </c>
      <c r="R28">
        <v>596.24986649316088</v>
      </c>
      <c r="S28">
        <v>577.94808830541763</v>
      </c>
      <c r="T28">
        <v>596.39043269875333</v>
      </c>
      <c r="W28" s="133">
        <v>42165</v>
      </c>
      <c r="X28">
        <v>394.12679584531782</v>
      </c>
      <c r="Y28">
        <v>382.6323813243207</v>
      </c>
      <c r="Z28">
        <v>393.79472616072439</v>
      </c>
      <c r="AA28">
        <v>382.20693896899849</v>
      </c>
    </row>
    <row r="29" spans="1:27" x14ac:dyDescent="0.35">
      <c r="A29" s="133">
        <f t="shared" si="3"/>
        <v>42166</v>
      </c>
      <c r="B29">
        <f t="shared" si="4"/>
        <v>1379.2554990717217</v>
      </c>
      <c r="C29">
        <f t="shared" si="5"/>
        <v>1385.6259441482655</v>
      </c>
      <c r="D29">
        <f t="shared" si="6"/>
        <v>1379.1121119731492</v>
      </c>
      <c r="E29">
        <f t="shared" si="7"/>
        <v>1386.2360841813413</v>
      </c>
      <c r="I29" s="133">
        <v>42166</v>
      </c>
      <c r="J29">
        <v>389.62294508697016</v>
      </c>
      <c r="K29">
        <v>388.03008880772978</v>
      </c>
      <c r="L29">
        <v>389.68032590350236</v>
      </c>
      <c r="M29">
        <v>388.1442537880821</v>
      </c>
      <c r="P29" s="133">
        <v>42166</v>
      </c>
      <c r="Q29">
        <v>597.23600736863114</v>
      </c>
      <c r="R29">
        <v>618.34748773169008</v>
      </c>
      <c r="S29">
        <v>597.30315713080677</v>
      </c>
      <c r="T29">
        <v>618.47094800843354</v>
      </c>
      <c r="W29" s="133">
        <v>42166</v>
      </c>
      <c r="X29">
        <v>392.39654661612053</v>
      </c>
      <c r="Y29">
        <v>379.24836760884563</v>
      </c>
      <c r="Z29">
        <v>392.12862893884022</v>
      </c>
      <c r="AA29">
        <v>379.62088238482568</v>
      </c>
    </row>
    <row r="30" spans="1:27" x14ac:dyDescent="0.35">
      <c r="A30" s="133">
        <f t="shared" si="3"/>
        <v>42167</v>
      </c>
      <c r="B30">
        <f t="shared" si="4"/>
        <v>1356.7867505251656</v>
      </c>
      <c r="C30">
        <f t="shared" si="5"/>
        <v>1366.6150782792624</v>
      </c>
      <c r="D30">
        <f t="shared" si="6"/>
        <v>1359.9211845003083</v>
      </c>
      <c r="E30">
        <f t="shared" si="7"/>
        <v>1368.2833191111472</v>
      </c>
      <c r="I30" s="133">
        <v>42167</v>
      </c>
      <c r="J30">
        <v>389.73628415637575</v>
      </c>
      <c r="K30">
        <v>388.02493738343225</v>
      </c>
      <c r="L30">
        <v>389.83267411401874</v>
      </c>
      <c r="M30">
        <v>388.21873367462018</v>
      </c>
      <c r="P30" s="133">
        <v>42167</v>
      </c>
      <c r="Q30">
        <v>584.57168078950724</v>
      </c>
      <c r="R30">
        <v>606.93010952016891</v>
      </c>
      <c r="S30">
        <v>584.68322483297732</v>
      </c>
      <c r="T30">
        <v>607.15046377099645</v>
      </c>
      <c r="W30" s="133">
        <v>42167</v>
      </c>
      <c r="X30">
        <v>382.47878557928266</v>
      </c>
      <c r="Y30">
        <v>371.66003137566116</v>
      </c>
      <c r="Z30">
        <v>385.40528555331235</v>
      </c>
      <c r="AA30">
        <v>372.91412166553062</v>
      </c>
    </row>
    <row r="31" spans="1:27" x14ac:dyDescent="0.35">
      <c r="A31" s="133">
        <f t="shared" si="3"/>
        <v>42168</v>
      </c>
      <c r="B31">
        <f t="shared" si="4"/>
        <v>1113.7739071977016</v>
      </c>
      <c r="C31">
        <f t="shared" si="5"/>
        <v>1117.1490255695978</v>
      </c>
      <c r="D31">
        <f t="shared" si="6"/>
        <v>1116.9186014712964</v>
      </c>
      <c r="E31">
        <f t="shared" si="7"/>
        <v>1118.7211292270163</v>
      </c>
      <c r="I31" s="133">
        <v>42168</v>
      </c>
      <c r="J31">
        <v>324.30943069623243</v>
      </c>
      <c r="K31">
        <v>322.78937103503023</v>
      </c>
      <c r="L31">
        <v>324.61378696353842</v>
      </c>
      <c r="M31">
        <v>323.04482726761427</v>
      </c>
      <c r="P31" s="133">
        <v>42168</v>
      </c>
      <c r="Q31">
        <v>442.17992688782209</v>
      </c>
      <c r="R31">
        <v>457.91579850937921</v>
      </c>
      <c r="S31">
        <v>442.53514041351923</v>
      </c>
      <c r="T31">
        <v>458.13847308289041</v>
      </c>
      <c r="W31" s="133">
        <v>42168</v>
      </c>
      <c r="X31">
        <v>347.28454961364707</v>
      </c>
      <c r="Y31">
        <v>336.44385602518838</v>
      </c>
      <c r="Z31">
        <v>349.76967409423889</v>
      </c>
      <c r="AA31">
        <v>337.53782887651153</v>
      </c>
    </row>
    <row r="32" spans="1:27" x14ac:dyDescent="0.35">
      <c r="A32" s="133">
        <f t="shared" si="3"/>
        <v>42169</v>
      </c>
      <c r="B32">
        <f t="shared" si="4"/>
        <v>1045.059398632905</v>
      </c>
      <c r="C32">
        <f t="shared" si="5"/>
        <v>1047.8978156993139</v>
      </c>
      <c r="D32">
        <f t="shared" si="6"/>
        <v>1045.5950124072415</v>
      </c>
      <c r="E32">
        <f t="shared" si="7"/>
        <v>1047.6356022832606</v>
      </c>
      <c r="I32" s="133">
        <v>42169</v>
      </c>
      <c r="J32">
        <v>306.20037477725936</v>
      </c>
      <c r="K32">
        <v>304.83912744891455</v>
      </c>
      <c r="L32">
        <v>306.70634054311444</v>
      </c>
      <c r="M32">
        <v>304.99935433275476</v>
      </c>
      <c r="P32" s="133">
        <v>42169</v>
      </c>
      <c r="Q32">
        <v>397.28570795705906</v>
      </c>
      <c r="R32">
        <v>413.03619837857838</v>
      </c>
      <c r="S32">
        <v>397.72277264727398</v>
      </c>
      <c r="T32">
        <v>413.05180823603064</v>
      </c>
      <c r="W32" s="133">
        <v>42169</v>
      </c>
      <c r="X32">
        <v>341.57331589858654</v>
      </c>
      <c r="Y32">
        <v>330.02248987182088</v>
      </c>
      <c r="Z32">
        <v>341.16589921685318</v>
      </c>
      <c r="AA32">
        <v>329.58443971447525</v>
      </c>
    </row>
    <row r="33" spans="1:27" x14ac:dyDescent="0.35">
      <c r="A33" s="133">
        <f t="shared" si="3"/>
        <v>42170</v>
      </c>
      <c r="B33">
        <f t="shared" si="4"/>
        <v>1377.2964662680326</v>
      </c>
      <c r="C33">
        <f t="shared" si="5"/>
        <v>1386.3920579291</v>
      </c>
      <c r="D33">
        <f t="shared" si="6"/>
        <v>1376.8620296029037</v>
      </c>
      <c r="E33">
        <f t="shared" si="7"/>
        <v>1382.7650938047598</v>
      </c>
      <c r="I33" s="133">
        <v>42170</v>
      </c>
      <c r="J33">
        <v>396.93981884987454</v>
      </c>
      <c r="K33">
        <v>395.4218121164094</v>
      </c>
      <c r="L33">
        <v>397.80543291040289</v>
      </c>
      <c r="M33">
        <v>395.56239960551028</v>
      </c>
      <c r="P33" s="133">
        <v>42170</v>
      </c>
      <c r="Q33">
        <v>584.57768178470883</v>
      </c>
      <c r="R33">
        <v>606.98957958954452</v>
      </c>
      <c r="S33">
        <v>585.29948876854587</v>
      </c>
      <c r="T33">
        <v>607.0362340778488</v>
      </c>
      <c r="W33" s="133">
        <v>42170</v>
      </c>
      <c r="X33">
        <v>395.77896563344927</v>
      </c>
      <c r="Y33">
        <v>383.9806662231461</v>
      </c>
      <c r="Z33">
        <v>393.75710792395489</v>
      </c>
      <c r="AA33">
        <v>380.16646012140058</v>
      </c>
    </row>
    <row r="34" spans="1:27" x14ac:dyDescent="0.35">
      <c r="A34" s="133">
        <f t="shared" si="3"/>
        <v>42171</v>
      </c>
      <c r="B34">
        <f t="shared" si="4"/>
        <v>1399.5480465287799</v>
      </c>
      <c r="C34">
        <f t="shared" si="5"/>
        <v>1407.2557915465088</v>
      </c>
      <c r="D34">
        <f t="shared" si="6"/>
        <v>1395.519981984311</v>
      </c>
      <c r="E34">
        <f t="shared" si="7"/>
        <v>1404.3148805489332</v>
      </c>
      <c r="I34" s="133">
        <v>42171</v>
      </c>
      <c r="J34">
        <v>396.15808277853409</v>
      </c>
      <c r="K34">
        <v>394.37703984024978</v>
      </c>
      <c r="L34">
        <v>396.96109749516614</v>
      </c>
      <c r="M34">
        <v>394.59632405211408</v>
      </c>
      <c r="P34" s="133">
        <v>42171</v>
      </c>
      <c r="Q34">
        <v>607.65796227304372</v>
      </c>
      <c r="R34">
        <v>632.65185670401922</v>
      </c>
      <c r="S34">
        <v>608.28931667959387</v>
      </c>
      <c r="T34">
        <v>632.84330457749388</v>
      </c>
      <c r="W34" s="133">
        <v>42171</v>
      </c>
      <c r="X34">
        <v>395.73200147720206</v>
      </c>
      <c r="Y34">
        <v>380.22689500223993</v>
      </c>
      <c r="Z34">
        <v>390.26956780955106</v>
      </c>
      <c r="AA34">
        <v>376.87525191932508</v>
      </c>
    </row>
    <row r="35" spans="1:27" x14ac:dyDescent="0.35">
      <c r="A35" s="133">
        <f t="shared" si="3"/>
        <v>42172</v>
      </c>
      <c r="B35">
        <f t="shared" si="4"/>
        <v>1407.4871347899714</v>
      </c>
      <c r="C35">
        <f t="shared" si="5"/>
        <v>0</v>
      </c>
      <c r="D35">
        <f t="shared" si="6"/>
        <v>1408.3591490617173</v>
      </c>
      <c r="E35">
        <f t="shared" si="7"/>
        <v>1418.7426069483217</v>
      </c>
      <c r="I35" s="133">
        <v>42172</v>
      </c>
      <c r="J35">
        <v>395.78547064835323</v>
      </c>
      <c r="L35">
        <v>396.48870115307062</v>
      </c>
      <c r="M35">
        <v>394.03214951177961</v>
      </c>
      <c r="P35" s="133">
        <v>42172</v>
      </c>
      <c r="Q35">
        <v>623.77255673141235</v>
      </c>
      <c r="S35">
        <v>624.289212494004</v>
      </c>
      <c r="T35">
        <v>650.82438517533797</v>
      </c>
      <c r="W35" s="133">
        <v>42172</v>
      </c>
      <c r="X35">
        <v>387.9291074102058</v>
      </c>
      <c r="Z35">
        <v>387.58123541464261</v>
      </c>
      <c r="AA35">
        <v>373.88607226120405</v>
      </c>
    </row>
    <row r="36" spans="1:27" x14ac:dyDescent="0.35">
      <c r="A36" s="133">
        <f t="shared" si="3"/>
        <v>42173</v>
      </c>
      <c r="B36">
        <f t="shared" si="4"/>
        <v>0</v>
      </c>
      <c r="C36">
        <f t="shared" si="5"/>
        <v>0</v>
      </c>
      <c r="D36">
        <f t="shared" si="6"/>
        <v>1417.9661732752952</v>
      </c>
      <c r="E36">
        <f t="shared" si="7"/>
        <v>1430.904084037956</v>
      </c>
      <c r="I36" s="133">
        <v>42173</v>
      </c>
      <c r="L36">
        <v>396.28181222984716</v>
      </c>
      <c r="M36">
        <v>393.77878160031906</v>
      </c>
      <c r="P36" s="133">
        <v>42173</v>
      </c>
      <c r="S36">
        <v>635.57164655623205</v>
      </c>
      <c r="T36">
        <v>663.55438145516769</v>
      </c>
      <c r="W36" s="133">
        <v>42173</v>
      </c>
      <c r="Z36">
        <v>386.11271448921582</v>
      </c>
      <c r="AA36">
        <v>373.57092098246926</v>
      </c>
    </row>
    <row r="37" spans="1:27" x14ac:dyDescent="0.35">
      <c r="A37" s="133">
        <f t="shared" si="3"/>
        <v>42174</v>
      </c>
      <c r="B37">
        <f t="shared" si="4"/>
        <v>0</v>
      </c>
      <c r="C37">
        <f t="shared" si="5"/>
        <v>0</v>
      </c>
      <c r="D37">
        <f t="shared" si="6"/>
        <v>1392.7997458378179</v>
      </c>
      <c r="E37">
        <f t="shared" si="7"/>
        <v>1404.7366684218528</v>
      </c>
      <c r="I37" s="133">
        <v>42174</v>
      </c>
      <c r="L37">
        <v>396.17550383390335</v>
      </c>
      <c r="M37">
        <v>393.52891460695531</v>
      </c>
      <c r="P37" s="133">
        <v>42174</v>
      </c>
      <c r="S37">
        <v>616.43106990605133</v>
      </c>
      <c r="T37">
        <v>644.12042542922882</v>
      </c>
      <c r="W37" s="133">
        <v>42174</v>
      </c>
      <c r="Z37">
        <v>380.19317209786328</v>
      </c>
      <c r="AA37">
        <v>367.08732838566863</v>
      </c>
    </row>
    <row r="38" spans="1:27" x14ac:dyDescent="0.35">
      <c r="A38" s="133">
        <f t="shared" si="3"/>
        <v>42175</v>
      </c>
      <c r="B38">
        <f t="shared" si="4"/>
        <v>0</v>
      </c>
      <c r="C38">
        <f t="shared" si="5"/>
        <v>0</v>
      </c>
      <c r="D38">
        <f t="shared" si="6"/>
        <v>1141.2680147950405</v>
      </c>
      <c r="E38">
        <f t="shared" si="7"/>
        <v>1146.9165996955867</v>
      </c>
      <c r="I38" s="133">
        <v>42175</v>
      </c>
      <c r="L38">
        <v>329.68433465621501</v>
      </c>
      <c r="M38">
        <v>327.39260662973885</v>
      </c>
      <c r="P38" s="133">
        <v>42175</v>
      </c>
      <c r="S38">
        <v>466.83905535418336</v>
      </c>
      <c r="T38">
        <v>487.30961144896042</v>
      </c>
      <c r="W38" s="133">
        <v>42175</v>
      </c>
      <c r="Z38">
        <v>344.74462478464227</v>
      </c>
      <c r="AA38">
        <v>332.21438161688747</v>
      </c>
    </row>
    <row r="39" spans="1:27" x14ac:dyDescent="0.35">
      <c r="A39" s="133">
        <f t="shared" si="3"/>
        <v>42176</v>
      </c>
      <c r="B39">
        <f t="shared" si="4"/>
        <v>0</v>
      </c>
      <c r="C39">
        <f t="shared" si="5"/>
        <v>0</v>
      </c>
      <c r="D39">
        <f t="shared" si="6"/>
        <v>1067.1452529173407</v>
      </c>
      <c r="E39">
        <f t="shared" si="7"/>
        <v>1071.5679862099751</v>
      </c>
      <c r="I39" s="133">
        <v>42176</v>
      </c>
      <c r="L39">
        <v>311.27942367943541</v>
      </c>
      <c r="M39">
        <v>309.01276728566785</v>
      </c>
      <c r="P39" s="133">
        <v>42176</v>
      </c>
      <c r="S39">
        <v>419.04817256197504</v>
      </c>
      <c r="T39">
        <v>437.76515309701699</v>
      </c>
      <c r="W39" s="133">
        <v>42176</v>
      </c>
      <c r="Z39">
        <v>336.81765667593038</v>
      </c>
      <c r="AA39">
        <v>324.79006582729011</v>
      </c>
    </row>
    <row r="40" spans="1:27" x14ac:dyDescent="0.35">
      <c r="A40" s="133">
        <f t="shared" si="3"/>
        <v>42177</v>
      </c>
      <c r="B40">
        <f t="shared" si="4"/>
        <v>0</v>
      </c>
      <c r="C40">
        <f t="shared" si="5"/>
        <v>0</v>
      </c>
      <c r="D40">
        <f t="shared" si="6"/>
        <v>1414.7932375533753</v>
      </c>
      <c r="E40">
        <f t="shared" si="7"/>
        <v>0</v>
      </c>
      <c r="I40" s="133">
        <v>42177</v>
      </c>
      <c r="L40">
        <v>403.58971785169564</v>
      </c>
      <c r="P40" s="133">
        <v>42177</v>
      </c>
      <c r="S40">
        <v>620.25925038292883</v>
      </c>
      <c r="W40" s="133">
        <v>42177</v>
      </c>
      <c r="Z40">
        <v>390.94426931875091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"/>
  <sheetViews>
    <sheetView workbookViewId="0"/>
  </sheetViews>
  <sheetFormatPr defaultColWidth="8.81640625" defaultRowHeight="14.5" x14ac:dyDescent="0.35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Buttons</vt:lpstr>
      <vt:lpstr>Sheet1</vt:lpstr>
      <vt:lpstr>Prereport</vt:lpstr>
      <vt:lpstr>datatransposed</vt:lpstr>
      <vt:lpstr>SRGBalances</vt:lpstr>
      <vt:lpstr>HistoricalStock</vt:lpstr>
      <vt:lpstr>HistGWhs</vt:lpstr>
      <vt:lpstr>SRGSTOCKS</vt:lpstr>
      <vt:lpstr>PCFCast</vt:lpstr>
      <vt:lpstr>Sheet2</vt:lpstr>
      <vt:lpstr>nPCHistory</vt:lpstr>
      <vt:lpstr>PCHistory</vt:lpstr>
      <vt:lpstr>SRGBalancesData</vt:lpstr>
      <vt:lpstr>SRGBalancesDateColumn</vt:lpstr>
      <vt:lpstr>SRGSTOCKSDateColumn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Dermesonoglou, Faidon Minas</cp:lastModifiedBy>
  <cp:lastPrinted>2014-11-02T11:37:27Z</cp:lastPrinted>
  <dcterms:created xsi:type="dcterms:W3CDTF">2014-04-11T15:54:43Z</dcterms:created>
  <dcterms:modified xsi:type="dcterms:W3CDTF">2019-09-29T20:38:09Z</dcterms:modified>
</cp:coreProperties>
</file>