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8525" windowHeight="11505"/>
  </bookViews>
  <sheets>
    <sheet name="Dashboard" sheetId="7" r:id="rId1"/>
    <sheet name="ImportedData" sheetId="3" r:id="rId2"/>
    <sheet name="OMEL" sheetId="20" r:id="rId3"/>
    <sheet name="ES" sheetId="18" r:id="rId4"/>
    <sheet name="PT" sheetId="19" r:id="rId5"/>
    <sheet name="NotePad" sheetId="16" r:id="rId6"/>
  </sheets>
  <functionGroups/>
  <definedNames>
    <definedName name="_xlnm._FilterDatabase" localSheetId="1" hidden="1">ImportedData!$A$3:$H$16997</definedName>
  </definedNames>
  <calcPr calcId="125725"/>
</workbook>
</file>

<file path=xl/calcChain.xml><?xml version="1.0" encoding="utf-8"?>
<calcChain xmlns="http://schemas.openxmlformats.org/spreadsheetml/2006/main">
  <c r="J16" i="7"/>
  <c r="I16"/>
  <c r="O5"/>
  <c r="O6"/>
  <c r="O7" l="1"/>
  <c r="O9" l="1"/>
  <c r="I14" s="1"/>
  <c r="J14" s="1"/>
  <c r="I7" l="1"/>
  <c r="J7" s="1"/>
  <c r="I15"/>
  <c r="J15" s="1"/>
  <c r="I6"/>
  <c r="J6" s="1"/>
  <c r="I5"/>
  <c r="J5" s="1"/>
</calcChain>
</file>

<file path=xl/sharedStrings.xml><?xml version="1.0" encoding="utf-8"?>
<sst xmlns="http://schemas.openxmlformats.org/spreadsheetml/2006/main" count="46" uniqueCount="40">
  <si>
    <t>Data</t>
  </si>
  <si>
    <t>File Name</t>
  </si>
  <si>
    <t>Delivery Day</t>
  </si>
  <si>
    <t>Market</t>
  </si>
  <si>
    <t>Markets</t>
  </si>
  <si>
    <r>
      <t>▼</t>
    </r>
    <r>
      <rPr>
        <i/>
        <sz val="10"/>
        <rFont val="Arial"/>
        <family val="2"/>
      </rPr>
      <t xml:space="preserve">   select market from drop down list</t>
    </r>
  </si>
  <si>
    <t>Date Range</t>
  </si>
  <si>
    <t>Delivery Date</t>
  </si>
  <si>
    <t>Selected Date</t>
  </si>
  <si>
    <t>please insert date in format DD/MM/YYYY</t>
  </si>
  <si>
    <t>Resulting Pathway</t>
  </si>
  <si>
    <t>Selection Panel:</t>
  </si>
  <si>
    <t>Stage 1</t>
  </si>
  <si>
    <t>Stage 2</t>
  </si>
  <si>
    <t>Stage 3</t>
  </si>
  <si>
    <t>DEUCE for the Iberian Market:</t>
  </si>
  <si>
    <t>SP</t>
  </si>
  <si>
    <t>PL</t>
  </si>
  <si>
    <t>MI</t>
  </si>
  <si>
    <t>http://www.omie.es/datosPub/marginalpdbc/</t>
  </si>
  <si>
    <t>http://www.omie.es/datosPub/curva_pbc/</t>
  </si>
  <si>
    <t>Source Urls</t>
  </si>
  <si>
    <t>Prices</t>
  </si>
  <si>
    <t>Data Type</t>
  </si>
  <si>
    <r>
      <t>▼</t>
    </r>
    <r>
      <rPr>
        <i/>
        <sz val="10"/>
        <rFont val="Arial"/>
        <family val="2"/>
      </rPr>
      <t xml:space="preserve">   select data type from drop down list</t>
    </r>
  </si>
  <si>
    <t>AC Curves</t>
  </si>
  <si>
    <t>Download Spain and Portuguese Prices and Aggregate Curves</t>
  </si>
  <si>
    <t>whilst creating the xls files, all above files are checked for international issues</t>
  </si>
  <si>
    <t>process AC curva_pbc_yyyymmdd</t>
  </si>
  <si>
    <t>http://www.omie.es/datosPub/pdbc_tot/</t>
  </si>
  <si>
    <t>ES</t>
  </si>
  <si>
    <t>PT</t>
  </si>
  <si>
    <t>OffsetBid</t>
  </si>
  <si>
    <t>Destination Directories</t>
  </si>
  <si>
    <t>Insert below your FilePaths (Price, AC, ACCreate)</t>
  </si>
  <si>
    <t>creates Market Prices and Quantities xls files</t>
  </si>
  <si>
    <t>creates Iberian Aggregate Curve Uploads</t>
  </si>
  <si>
    <t>C:\</t>
  </si>
  <si>
    <t>Insert your FilePaths on Range H14:H16. Insert Delivery Day at B15</t>
  </si>
  <si>
    <t>Created on Excel 2007 with a Ribbon Tab</t>
  </si>
</sst>
</file>

<file path=xl/styles.xml><?xml version="1.0" encoding="utf-8"?>
<styleSheet xmlns="http://schemas.openxmlformats.org/spreadsheetml/2006/main">
  <fonts count="8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i/>
      <sz val="10"/>
      <color rgb="FF0070C0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Fill="1"/>
    <xf numFmtId="0" fontId="4" fillId="0" borderId="0" xfId="0" applyFont="1"/>
    <xf numFmtId="0" fontId="4" fillId="0" borderId="0" xfId="0" applyFont="1" applyFill="1" applyAlignment="1">
      <alignment horizontal="right"/>
    </xf>
    <xf numFmtId="0" fontId="2" fillId="3" borderId="0" xfId="0" applyFont="1" applyFill="1"/>
    <xf numFmtId="0" fontId="0" fillId="4" borderId="0" xfId="0" applyFill="1"/>
    <xf numFmtId="0" fontId="5" fillId="0" borderId="0" xfId="0" quotePrefix="1" applyFont="1"/>
    <xf numFmtId="0" fontId="0" fillId="5" borderId="0" xfId="0" applyFill="1"/>
    <xf numFmtId="0" fontId="6" fillId="6" borderId="0" xfId="0" applyFont="1" applyFill="1" applyAlignment="1">
      <alignment horizontal="center" vertical="center"/>
    </xf>
    <xf numFmtId="0" fontId="7" fillId="0" borderId="0" xfId="1" applyAlignment="1" applyProtection="1"/>
    <xf numFmtId="0" fontId="4" fillId="3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FD36"/>
  <sheetViews>
    <sheetView tabSelected="1" workbookViewId="0">
      <selection activeCell="B20" sqref="B20"/>
    </sheetView>
  </sheetViews>
  <sheetFormatPr defaultRowHeight="12.75"/>
  <cols>
    <col min="1" max="1" width="13.28515625" customWidth="1"/>
    <col min="2" max="2" width="20.42578125" customWidth="1"/>
    <col min="3" max="3" width="36.28515625" customWidth="1"/>
    <col min="4" max="4" width="12.5703125" customWidth="1"/>
    <col min="7" max="7" width="9.140625" customWidth="1"/>
    <col min="8" max="8" width="45.5703125" customWidth="1"/>
    <col min="9" max="9" width="28.5703125" customWidth="1"/>
    <col min="10" max="10" width="57.42578125" customWidth="1"/>
    <col min="11" max="11" width="16.85546875" customWidth="1"/>
    <col min="12" max="12" width="9.140625" customWidth="1"/>
    <col min="13" max="13" width="15.85546875" customWidth="1"/>
    <col min="14" max="14" width="15.42578125" customWidth="1"/>
    <col min="15" max="15" width="13.28515625" customWidth="1"/>
  </cols>
  <sheetData>
    <row r="1" spans="1:160" ht="22.5" customHeight="1">
      <c r="C1" s="17" t="s">
        <v>39</v>
      </c>
      <c r="F1" s="16"/>
      <c r="P1" s="14"/>
    </row>
    <row r="3" spans="1:160">
      <c r="A3" s="5" t="s">
        <v>15</v>
      </c>
      <c r="B3" s="4"/>
      <c r="C3" s="4"/>
      <c r="G3" s="10"/>
    </row>
    <row r="4" spans="1:160">
      <c r="A4" s="11" t="s">
        <v>12</v>
      </c>
      <c r="B4" s="11" t="s">
        <v>38</v>
      </c>
      <c r="G4" s="10"/>
      <c r="H4" s="2" t="s">
        <v>21</v>
      </c>
      <c r="I4" s="2" t="s">
        <v>1</v>
      </c>
      <c r="J4" s="2" t="s">
        <v>10</v>
      </c>
      <c r="L4" s="2" t="s">
        <v>4</v>
      </c>
      <c r="M4" s="2" t="s">
        <v>0</v>
      </c>
      <c r="N4" s="2" t="s">
        <v>6</v>
      </c>
      <c r="O4" s="2" t="s">
        <v>7</v>
      </c>
    </row>
    <row r="5" spans="1:160">
      <c r="G5" s="12"/>
      <c r="H5" t="s">
        <v>19</v>
      </c>
      <c r="I5" s="11" t="str">
        <f>"marginalpdbc_" &amp;$O$9 &amp; ".1"</f>
        <v>marginalpdbc_20170209.1</v>
      </c>
      <c r="J5" s="9" t="str">
        <f>H5&amp;I5</f>
        <v>http://www.omie.es/datosPub/marginalpdbc/marginalpdbc_20170209.1</v>
      </c>
      <c r="L5" s="11" t="s">
        <v>18</v>
      </c>
      <c r="M5" s="11" t="s">
        <v>22</v>
      </c>
      <c r="N5" s="7"/>
      <c r="O5">
        <f>YEAR(B15)</f>
        <v>2017</v>
      </c>
    </row>
    <row r="6" spans="1:160">
      <c r="A6" s="11" t="s">
        <v>13</v>
      </c>
      <c r="B6" s="11" t="s">
        <v>26</v>
      </c>
      <c r="G6" s="12"/>
      <c r="H6" s="11" t="s">
        <v>29</v>
      </c>
      <c r="I6" t="str">
        <f>"pdbc_tot_"&amp;$O$9&amp; ".1"</f>
        <v>pdbc_tot_20170209.1</v>
      </c>
      <c r="J6" s="9" t="str">
        <f>H6&amp;I6</f>
        <v>http://www.omie.es/datosPub/pdbc_tot/pdbc_tot_20170209.1</v>
      </c>
      <c r="L6" s="11" t="s">
        <v>16</v>
      </c>
      <c r="M6" s="11" t="s">
        <v>25</v>
      </c>
      <c r="N6" s="7"/>
      <c r="O6">
        <f>MONTH(B15)</f>
        <v>2</v>
      </c>
    </row>
    <row r="7" spans="1:160">
      <c r="B7" s="11" t="s">
        <v>35</v>
      </c>
      <c r="G7" s="10"/>
      <c r="H7" s="11" t="s">
        <v>20</v>
      </c>
      <c r="I7" s="11" t="str">
        <f>"curva_pbc_"&amp;$O$9&amp; ".1"</f>
        <v>curva_pbc_20170209.1</v>
      </c>
      <c r="J7" s="9" t="str">
        <f>H7&amp;I7</f>
        <v>http://www.omie.es/datosPub/curva_pbc/curva_pbc_20170209.1</v>
      </c>
      <c r="L7" s="11" t="s">
        <v>17</v>
      </c>
      <c r="M7" s="10"/>
      <c r="O7">
        <f>DAY(B15)</f>
        <v>9</v>
      </c>
    </row>
    <row r="8" spans="1:160">
      <c r="A8" s="11"/>
      <c r="B8" s="11" t="s">
        <v>27</v>
      </c>
      <c r="G8" s="10"/>
    </row>
    <row r="9" spans="1:160">
      <c r="B9" s="11"/>
      <c r="G9" s="10"/>
      <c r="N9" t="s">
        <v>8</v>
      </c>
      <c r="O9" s="1">
        <f>(O5*10000)+(O6*100)+O7</f>
        <v>20170209</v>
      </c>
    </row>
    <row r="10" spans="1:160">
      <c r="A10" s="11" t="s">
        <v>14</v>
      </c>
      <c r="B10" s="11" t="s">
        <v>28</v>
      </c>
      <c r="G10" s="10"/>
    </row>
    <row r="11" spans="1:160">
      <c r="B11" s="11" t="s">
        <v>36</v>
      </c>
      <c r="G11" s="10"/>
      <c r="H11" s="13" t="s">
        <v>34</v>
      </c>
    </row>
    <row r="12" spans="1:160">
      <c r="G12" s="10"/>
      <c r="J12" s="9"/>
    </row>
    <row r="13" spans="1:160">
      <c r="A13" s="5" t="s">
        <v>11</v>
      </c>
      <c r="B13" s="4"/>
      <c r="C13" s="4"/>
      <c r="G13" s="10"/>
      <c r="H13" s="2" t="s">
        <v>33</v>
      </c>
      <c r="I13" s="2" t="s">
        <v>1</v>
      </c>
      <c r="J13" s="2" t="s">
        <v>10</v>
      </c>
      <c r="FC13" t="s">
        <v>32</v>
      </c>
      <c r="FD13" s="16">
        <v>343</v>
      </c>
    </row>
    <row r="14" spans="1:160">
      <c r="G14" s="10"/>
      <c r="H14" s="19" t="s">
        <v>37</v>
      </c>
      <c r="I14" s="11" t="str">
        <f>"OMEL_" &amp;$O$9</f>
        <v>OMEL_20170209</v>
      </c>
      <c r="J14" s="9" t="str">
        <f>H14&amp;I14&amp;".xls"</f>
        <v>C:\OMEL_20170209.xls</v>
      </c>
      <c r="M14" s="2"/>
      <c r="N14" s="2"/>
    </row>
    <row r="15" spans="1:160">
      <c r="A15" t="s">
        <v>2</v>
      </c>
      <c r="B15" s="8">
        <v>42775</v>
      </c>
      <c r="C15" s="3" t="s">
        <v>9</v>
      </c>
      <c r="G15" s="10"/>
      <c r="H15" s="19" t="s">
        <v>37</v>
      </c>
      <c r="I15" s="11" t="str">
        <f>"curva_pbc_"&amp;$O$9</f>
        <v>curva_pbc_20170209</v>
      </c>
      <c r="J15" s="9" t="str">
        <f>H15&amp;I15&amp;".xls"</f>
        <v>C:\curva_pbc_20170209.xls</v>
      </c>
      <c r="FC15" t="s">
        <v>30</v>
      </c>
      <c r="FD15" s="16">
        <v>15642</v>
      </c>
    </row>
    <row r="16" spans="1:160">
      <c r="A16" t="s">
        <v>3</v>
      </c>
      <c r="B16" s="6" t="s">
        <v>18</v>
      </c>
      <c r="C16" s="15" t="s">
        <v>5</v>
      </c>
      <c r="G16" s="10"/>
      <c r="H16" s="19" t="s">
        <v>37</v>
      </c>
      <c r="I16" s="11" t="str">
        <f>"ACUpload_"&amp;$O$9</f>
        <v>ACUpload_20170209</v>
      </c>
      <c r="J16" s="9" t="str">
        <f>H16&amp;I16&amp;".xls"</f>
        <v>C:\ACUpload_20170209.xls</v>
      </c>
      <c r="FC16" t="s">
        <v>31</v>
      </c>
      <c r="FD16" s="16">
        <v>1382</v>
      </c>
    </row>
    <row r="17" spans="1:10">
      <c r="A17" t="s">
        <v>23</v>
      </c>
      <c r="B17" s="6" t="s">
        <v>22</v>
      </c>
      <c r="C17" s="15" t="s">
        <v>24</v>
      </c>
      <c r="G17" s="10"/>
      <c r="J17" s="9"/>
    </row>
    <row r="18" spans="1:10">
      <c r="G18" s="10"/>
      <c r="J18" s="9"/>
    </row>
    <row r="20" spans="1:10">
      <c r="B20" s="7"/>
    </row>
    <row r="25" spans="1:10">
      <c r="H25" s="11"/>
      <c r="I25" s="11"/>
      <c r="J25" s="11"/>
    </row>
    <row r="28" spans="1:10">
      <c r="J28" s="18"/>
    </row>
    <row r="29" spans="1:10">
      <c r="J29" s="9"/>
    </row>
    <row r="30" spans="1:10">
      <c r="J30" s="9"/>
    </row>
    <row r="31" spans="1:10">
      <c r="H31" s="2"/>
      <c r="J31" s="9"/>
    </row>
    <row r="32" spans="1:10">
      <c r="H32" s="11"/>
      <c r="J32" s="9"/>
    </row>
    <row r="33" spans="8:10">
      <c r="H33" s="11"/>
      <c r="J33" s="9"/>
    </row>
    <row r="34" spans="8:10">
      <c r="J34" s="9"/>
    </row>
    <row r="35" spans="8:10">
      <c r="J35" s="9"/>
    </row>
    <row r="36" spans="8:10">
      <c r="J36" s="9"/>
    </row>
  </sheetData>
  <phoneticPr fontId="1" type="noConversion"/>
  <dataValidations count="3">
    <dataValidation type="date" allowBlank="1" showErrorMessage="1" errorTitle="TARA Alert" error="Please insert a date in the range: Today -365 days and Today+1 day." sqref="B15">
      <formula1>N5</formula1>
      <formula2>N6</formula2>
    </dataValidation>
    <dataValidation type="list" allowBlank="1" showInputMessage="1" showErrorMessage="1" sqref="B16">
      <formula1>$L$5:$L$7</formula1>
    </dataValidation>
    <dataValidation type="list" allowBlank="1" showInputMessage="1" showErrorMessage="1" sqref="B17">
      <formula1>$M$5:$M$6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"/>
  <sheetViews>
    <sheetView workbookViewId="0">
      <selection activeCell="F8" sqref="F8"/>
    </sheetView>
  </sheetViews>
  <sheetFormatPr defaultRowHeight="12.75"/>
  <cols>
    <col min="1" max="1" width="27.7109375" bestFit="1" customWidth="1"/>
    <col min="2" max="2" width="30.7109375" bestFit="1" customWidth="1"/>
    <col min="3" max="3" width="4.7109375" bestFit="1" customWidth="1"/>
    <col min="4" max="4" width="10.140625" bestFit="1" customWidth="1"/>
    <col min="5" max="5" width="13.28515625" bestFit="1" customWidth="1"/>
    <col min="6" max="6" width="20" bestFit="1" customWidth="1"/>
    <col min="7" max="7" width="19" bestFit="1" customWidth="1"/>
    <col min="8" max="8" width="21.42578125" bestFit="1" customWidth="1"/>
  </cols>
  <sheetData/>
  <phoneticPr fontId="1" type="noConversion"/>
  <pageMargins left="0.75" right="0.75" top="1" bottom="1" header="0.5" footer="0.5"/>
  <pageSetup paperSize="9" scale="1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sqref="A1:XFD1048576"/>
    </sheetView>
  </sheetViews>
  <sheetFormatPr defaultRowHeight="12.75"/>
  <cols>
    <col min="1" max="1" width="31.140625" bestFit="1" customWidth="1"/>
    <col min="2" max="2" width="7.5703125" bestFit="1" customWidth="1"/>
    <col min="3" max="26" width="8" bestFit="1" customWidth="1"/>
    <col min="27" max="27" width="4.2851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sqref="A1:XFD1048576"/>
    </sheetView>
  </sheetViews>
  <sheetFormatPr defaultRowHeight="12.7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sqref="A1:XFD1048576"/>
    </sheetView>
  </sheetViews>
  <sheetFormatPr defaultRowHeight="12.75"/>
  <cols>
    <col min="2" max="2" width="10.140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A45" sqref="A45"/>
    </sheetView>
  </sheetViews>
  <sheetFormatPr defaultColWidth="9.140625" defaultRowHeight="12.75"/>
  <cols>
    <col min="1" max="1" width="31.140625" bestFit="1" customWidth="1"/>
    <col min="2" max="2" width="30.7109375" bestFit="1" customWidth="1"/>
    <col min="3" max="4" width="10.42578125" customWidth="1"/>
    <col min="5" max="5" width="30.42578125" bestFit="1" customWidth="1"/>
    <col min="6" max="8" width="10.42578125" customWidth="1"/>
    <col min="27" max="27" width="4.28515625" customWidth="1"/>
  </cols>
  <sheetData/>
  <phoneticPr fontId="1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!--RibbonX Visual Designer 1.93 for Microsoft Excel 12.0. XML Code produced on 2014/10/03-->
<customUI xmlns="http://schemas.microsoft.com/office/2006/01/customui">
  <ribbon>
    <tabs>
      <tab id="Tab1" label="DEUCE">
        <group id="Group1" label="OMEL">
          <button id="Button1" imageMso="ServerConnection" label="Download OMEL Price" size="large" onAction="MyMacro1"/>
          <button id="Button2" imageMso="ServerConnection" label="Download Aggregate Curve" size="large" onAction="MyMacro2"/>
          <button id="Button3" imageMso="RecurrenceEdit" label="Create Aggregate Curve" size="large" onAction="MyMacro3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ImportedData</vt:lpstr>
      <vt:lpstr>OMEL</vt:lpstr>
      <vt:lpstr>ES</vt:lpstr>
      <vt:lpstr>PT</vt:lpstr>
      <vt:lpstr>NotePad</vt:lpstr>
    </vt:vector>
  </TitlesOfParts>
  <Company>TEI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Faidon (Minas) Dermesonoglou</cp:lastModifiedBy>
  <cp:lastPrinted>2013-08-21T15:10:23Z</cp:lastPrinted>
  <dcterms:created xsi:type="dcterms:W3CDTF">2013-07-04T16:51:05Z</dcterms:created>
  <dcterms:modified xsi:type="dcterms:W3CDTF">2017-07-03T10:47:41Z</dcterms:modified>
</cp:coreProperties>
</file>